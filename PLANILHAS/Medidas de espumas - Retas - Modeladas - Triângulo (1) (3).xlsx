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das" sheetId="1" r:id="rId5"/>
    <sheet state="visible" name="Retas" sheetId="2" r:id="rId6"/>
    <sheet state="visible" name="Triângulo" sheetId="3" r:id="rId7"/>
  </sheets>
  <definedNames>
    <definedName hidden="1" localSheetId="0" name="_xlnm._FilterDatabase">Modeladas!$B$17:$U$55</definedName>
    <definedName hidden="1" localSheetId="1" name="_xlnm._FilterDatabase">Retas!$B$17:$T$62</definedName>
  </definedNames>
  <calcPr/>
</workbook>
</file>

<file path=xl/sharedStrings.xml><?xml version="1.0" encoding="utf-8"?>
<sst xmlns="http://schemas.openxmlformats.org/spreadsheetml/2006/main" count="472" uniqueCount="160">
  <si>
    <t>TEL.: 17 3421 2907 / 17 98126 3862</t>
  </si>
  <si>
    <t>RUA JOÃO VILLAR PONTES, 3424 - PQ. IND. 1</t>
  </si>
  <si>
    <t>CEP 15.503-019 VOTUPORANGA - SP</t>
  </si>
  <si>
    <t>CLIENTE:</t>
  </si>
  <si>
    <t>DELLON</t>
  </si>
  <si>
    <t>NOME FANTASIA:</t>
  </si>
  <si>
    <t xml:space="preserve">HADASSA </t>
  </si>
  <si>
    <t>E-MAIL</t>
  </si>
  <si>
    <t>ENDEREÇO: Rua Jundiai, 605</t>
  </si>
  <si>
    <t>N°</t>
  </si>
  <si>
    <t>BAIRRO: Monte Belo</t>
  </si>
  <si>
    <t>ENDEREÇO: Rua jundiai , 605</t>
  </si>
  <si>
    <t>CEP:</t>
  </si>
  <si>
    <t>CIDADE: Itaququecetuba</t>
  </si>
  <si>
    <t>CIDADE: Itaquaquecetuba</t>
  </si>
  <si>
    <t>ESTADO</t>
  </si>
  <si>
    <t>COD. PAGAMENTOS:</t>
  </si>
  <si>
    <t>TEF:</t>
  </si>
  <si>
    <t>CNPJ/CPF:</t>
  </si>
  <si>
    <t>IE:</t>
  </si>
  <si>
    <t>ENDEREÇO DE ENTREGA: Rua Jundiai, 605</t>
  </si>
  <si>
    <t>ENDEREÇO DE ENTREGA: Rua: Jundiai, 605</t>
  </si>
  <si>
    <t>PRAZO DE ENTREGA:</t>
  </si>
  <si>
    <t>DATA:</t>
  </si>
  <si>
    <t xml:space="preserve"> PEÇAS MODELADAS</t>
  </si>
  <si>
    <t>PEÇAS RETAS</t>
  </si>
  <si>
    <t xml:space="preserve"> PEÇAS TRIÂNGULO</t>
  </si>
  <si>
    <t>QUANT.</t>
  </si>
  <si>
    <t>NOME</t>
  </si>
  <si>
    <t>DENSIDADE</t>
  </si>
  <si>
    <t>COR</t>
  </si>
  <si>
    <t xml:space="preserve">MEDIDAS*                                  </t>
  </si>
  <si>
    <t>M3</t>
  </si>
  <si>
    <t>PREÇO M3</t>
  </si>
  <si>
    <t>PREÇO PEÇA</t>
  </si>
  <si>
    <t>TOTAL</t>
  </si>
  <si>
    <t>ESP</t>
  </si>
  <si>
    <t>compl</t>
  </si>
  <si>
    <t>LADO 1</t>
  </si>
  <si>
    <t>LADO 2</t>
  </si>
  <si>
    <t>COMP</t>
  </si>
  <si>
    <t xml:space="preserve">larg.        ESP       </t>
  </si>
  <si>
    <t>LADO 3</t>
  </si>
  <si>
    <t>LARG</t>
  </si>
  <si>
    <t>x</t>
  </si>
  <si>
    <t>ATHENAS ENCOSTO</t>
  </si>
  <si>
    <t xml:space="preserve">ATHENAS ASSENTO CAVA SOFA </t>
  </si>
  <si>
    <t>LOMBAR APOIO</t>
  </si>
  <si>
    <t>DS</t>
  </si>
  <si>
    <t>BRANCA</t>
  </si>
  <si>
    <t>0,430  x  0,06</t>
  </si>
  <si>
    <t>ATHENAS ASSENTO</t>
  </si>
  <si>
    <t>ATHENAS BRAÇOS SOFA</t>
  </si>
  <si>
    <t>0,520 x  0,06</t>
  </si>
  <si>
    <t>ATHENAS TESTA</t>
  </si>
  <si>
    <t>0,310  x 0,027</t>
  </si>
  <si>
    <t xml:space="preserve">ATHENAS ENCOSTO CAVA SOFA </t>
  </si>
  <si>
    <t>BARBEIRO ENCOSTO</t>
  </si>
  <si>
    <t>0,420 x  0,06</t>
  </si>
  <si>
    <t>ATHENAS FAIXA BRAÇO SOFA</t>
  </si>
  <si>
    <t>CIRANDIA ENCOSTO</t>
  </si>
  <si>
    <t>0,30 x  0,01</t>
  </si>
  <si>
    <t>ELITE ASSENTO SOFA</t>
  </si>
  <si>
    <t>ELITE DESCANSO LAVATÓRIO</t>
  </si>
  <si>
    <t>0,315 x  0,05</t>
  </si>
  <si>
    <t>ELITE ENCOSTO SOFA</t>
  </si>
  <si>
    <t>ELITE ENCOSTO LAVATÓRIO</t>
  </si>
  <si>
    <t>TOTAL M3:</t>
  </si>
  <si>
    <t>0,38 x  0,05</t>
  </si>
  <si>
    <t>Chanfrado</t>
  </si>
  <si>
    <t>ESPERA ASSENTO</t>
  </si>
  <si>
    <t>FERRARI ASSENTO</t>
  </si>
  <si>
    <t>0,50 x 0,06</t>
  </si>
  <si>
    <t>ESPERA ENCOSTO</t>
  </si>
  <si>
    <t>FERRARI CABEÇOTE</t>
  </si>
  <si>
    <t>DESCONTOS PRATICADOS:</t>
  </si>
  <si>
    <t>0,115 x 0,06</t>
  </si>
  <si>
    <t>OBS.:</t>
  </si>
  <si>
    <t>FERRARI ENCOSTO</t>
  </si>
  <si>
    <t>FECHA BRAÇO SOFA</t>
  </si>
  <si>
    <t>0,445 x 0,6</t>
  </si>
  <si>
    <t>RODRIGO</t>
  </si>
  <si>
    <t>FABIO</t>
  </si>
  <si>
    <t>LADY PESEIRA</t>
  </si>
  <si>
    <t>REPRESENTANTE</t>
  </si>
  <si>
    <t>LAVIER 1 ASSENTO SOFA</t>
  </si>
  <si>
    <t xml:space="preserve">GOBBI ASSENTO </t>
  </si>
  <si>
    <t>0,500 x 0,07</t>
  </si>
  <si>
    <t>LAVIER 2 ASSENTO SOFA</t>
  </si>
  <si>
    <t>GOBBI ENCOSTO</t>
  </si>
  <si>
    <t>0,430 x 0,06</t>
  </si>
  <si>
    <t>LAVIER 2 ASSENTO LAVATÓRIO</t>
  </si>
  <si>
    <t>IRON PESEIRA</t>
  </si>
  <si>
    <t>LAVIER 2 ENCOSTO LAVATÓRIO</t>
  </si>
  <si>
    <t>0,175 x 0,05</t>
  </si>
  <si>
    <t>IRON ASSENTO</t>
  </si>
  <si>
    <t>0,485 x 0,06</t>
  </si>
  <si>
    <t>LAVIER ASSENTO LAVATÓRIO</t>
  </si>
  <si>
    <t>LAVIER ENCOSTO LAVATÓRIO</t>
  </si>
  <si>
    <t>IRON ASSENTO LAVATÓRIO</t>
  </si>
  <si>
    <t>LUXO BRAÇO</t>
  </si>
  <si>
    <t>IRON CABEÇOTE</t>
  </si>
  <si>
    <t>0,12 x 0,06</t>
  </si>
  <si>
    <t xml:space="preserve">IRON ENCOSTO  </t>
  </si>
  <si>
    <t>0,42 x 0,05</t>
  </si>
  <si>
    <t>MATISSE CAVA ASSENTO</t>
  </si>
  <si>
    <t>IRON ENCOSTO LAVATÓRIO</t>
  </si>
  <si>
    <t>MATISSE CAVA ENCOSTO</t>
  </si>
  <si>
    <t>MAQUIAGE PEZEIRA</t>
  </si>
  <si>
    <t>0,40 x 0,06</t>
  </si>
  <si>
    <t>MAQUIAGEM ASSENTO</t>
  </si>
  <si>
    <t>0,47 x 0,065</t>
  </si>
  <si>
    <t xml:space="preserve">ASSENTO SOFA ESPERA </t>
  </si>
  <si>
    <t>MAQUIAGEM CABEÇOTE</t>
  </si>
  <si>
    <t xml:space="preserve">ENCOSTO LAVATORIO EVIDENCE </t>
  </si>
  <si>
    <t>MAQUIAGEM ENCOSTO</t>
  </si>
  <si>
    <t>0,47 x 0,05</t>
  </si>
  <si>
    <t>ESPUMA APOIO DE BRAÇO LAVATÓRIO</t>
  </si>
  <si>
    <t>MATISSE ASSENTO</t>
  </si>
  <si>
    <t>0,47 x 0,06</t>
  </si>
  <si>
    <t>X</t>
  </si>
  <si>
    <t>MATISSE CABEÇOTE</t>
  </si>
  <si>
    <t>ESPUMA LATERAL BRAÇO DE SOFÁ</t>
  </si>
  <si>
    <t>ESPUMA BRAÇO DE LAVATÓRIO ELITE</t>
  </si>
  <si>
    <t>MATISSE ENCOSTO</t>
  </si>
  <si>
    <t>0,46 x 0,06</t>
  </si>
  <si>
    <t>ESPUMA ENCOSTO DE LAVATÓRIO LAVIÊ</t>
  </si>
  <si>
    <t>MOCHO ASSENTO SELA</t>
  </si>
  <si>
    <t>ESPUMA DESCANSO DE LAVATÓRIO ELITE</t>
  </si>
  <si>
    <t>0,39x 0,050</t>
  </si>
  <si>
    <t>MOCHO ENCOSTO</t>
  </si>
  <si>
    <t>0,26 x 0,05</t>
  </si>
  <si>
    <t>ESPUMA CABEÇOTE DE MATISSE</t>
  </si>
  <si>
    <t>Moldado cabeça de et</t>
  </si>
  <si>
    <t>ESPUMA ENCOSTO DE SOFÁ LAVIÊ 2</t>
  </si>
  <si>
    <t>ELITE/EVIDENCE/SPLENDOR-SOFA CABEÇOTE</t>
  </si>
  <si>
    <t>0,125 x 0,06</t>
  </si>
  <si>
    <t>ESPUMA ENCOSTO DE CIRANDINHA</t>
  </si>
  <si>
    <t>TOPAZIO ENCOSTO</t>
  </si>
  <si>
    <t>ESPUMA BRAÇO DE SOFÁ LAVIE</t>
  </si>
  <si>
    <t>0,40 x 0,05</t>
  </si>
  <si>
    <t>ESPUMA PESEIRA DE IRON</t>
  </si>
  <si>
    <t xml:space="preserve">ENCOSTO SOFA LAVIE </t>
  </si>
  <si>
    <t>0,430 x0,395 x 0,10</t>
  </si>
  <si>
    <t xml:space="preserve">ENCOSTO SOFA ESPERA </t>
  </si>
  <si>
    <t>0,510 x 0,310 x 0,050</t>
  </si>
  <si>
    <t>ESPUMA ENCOSTO SOFÁ LAVIÊ MODELADO</t>
  </si>
  <si>
    <t>0,43 x 0,395</t>
  </si>
  <si>
    <t>ESPUMA ASSENTO FERRARI MODELADO</t>
  </si>
  <si>
    <t>0,495 x 0,5</t>
  </si>
  <si>
    <t>ESPUMA ENCOSTO FERRARI MODELADO</t>
  </si>
  <si>
    <t>0,53 x 0,445</t>
  </si>
  <si>
    <t>ESPUMA CABEÇOTE DE IRON MODELADO</t>
  </si>
  <si>
    <t>0,195 x 0,115</t>
  </si>
  <si>
    <t>ESPUMA ASSENTO DE IRON MODELADO</t>
  </si>
  <si>
    <t>0,45 x 0,485</t>
  </si>
  <si>
    <t>ESPUMA ENCOSTO DE IRON MODELADO</t>
  </si>
  <si>
    <t>0,48 x 0,42</t>
  </si>
  <si>
    <t xml:space="preserve">* COMPRIMENTO E LARGURA É ACRESCENTADO 1 CM </t>
  </si>
  <si>
    <t xml:space="preserve">PEÇAS EMBALADA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</si>
</sst>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&quot;&quot;00&quot;.&quot;000\-000"/>
    <numFmt numFmtId="166" formatCode="&quot;&quot;00&quot;/&quot;00&quot;/&quot;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0.0000"/>
    <numFmt numFmtId="171" formatCode="&quot;R$&quot;\ 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/>
    <font>
      <b/>
      <sz val="9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0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2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4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" fillId="2" fontId="1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left" vertical="center"/>
    </xf>
    <xf borderId="8" fillId="2" fontId="1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8" fillId="2" fontId="1" numFmtId="164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2" fontId="1" numFmtId="165" xfId="0" applyAlignment="1" applyBorder="1" applyFill="1" applyFont="1" applyNumberFormat="1">
      <alignment horizontal="center" vertical="center"/>
    </xf>
    <xf borderId="5" fillId="2" fontId="1" numFmtId="165" xfId="0" applyAlignment="1" applyBorder="1" applyFill="1" applyFont="1" applyNumberFormat="1">
      <alignment horizontal="left" vertical="center"/>
    </xf>
    <xf borderId="7" fillId="2" fontId="1" numFmtId="165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center" vertical="center"/>
    </xf>
    <xf borderId="8" fillId="2" fontId="1" numFmtId="166" xfId="0" applyAlignment="1" applyBorder="1" applyFill="1" applyFont="1" applyNumberFormat="1">
      <alignment horizontal="left" vertical="center"/>
    </xf>
    <xf borderId="8" fillId="2" fontId="1" numFmtId="167" xfId="0" applyAlignment="1" applyBorder="1" applyFill="1" applyFont="1" applyNumberFormat="1">
      <alignment horizontal="center" vertical="center"/>
    </xf>
    <xf borderId="5" fillId="2" fontId="1" numFmtId="167" xfId="0" applyAlignment="1" applyBorder="1" applyFill="1" applyFont="1" applyNumberFormat="1">
      <alignment horizontal="left" vertical="center"/>
    </xf>
    <xf borderId="7" fillId="2" fontId="1" numFmtId="167" xfId="0" applyAlignment="1" applyBorder="1" applyFill="1" applyFont="1" applyNumberFormat="1">
      <alignment horizontal="left" vertical="center"/>
    </xf>
    <xf borderId="5" fillId="2" fontId="1" numFmtId="168" xfId="0" applyAlignment="1" applyBorder="1" applyFill="1" applyFont="1" applyNumberFormat="1">
      <alignment horizontal="left" vertical="center"/>
    </xf>
    <xf borderId="12" fillId="2" fontId="1" numFmtId="169" xfId="0" applyAlignment="1" applyBorder="1" applyFill="1" applyFont="1" applyNumberFormat="1">
      <alignment horizontal="center" vertical="center"/>
    </xf>
    <xf borderId="8" fillId="2" fontId="1" numFmtId="169" xfId="0" applyAlignment="1" applyBorder="1" applyFill="1" applyFont="1" applyNumberFormat="1">
      <alignment horizontal="center" vertical="center"/>
    </xf>
    <xf borderId="5" fillId="2" fontId="1" numFmtId="169" xfId="0" applyAlignment="1" applyBorder="1" applyFill="1" applyFont="1" applyNumberFormat="1">
      <alignment horizontal="left" vertical="center"/>
    </xf>
    <xf borderId="7" fillId="2" fontId="1" numFmtId="169" xfId="0" applyAlignment="1" applyBorder="1" applyFill="1" applyFont="1" applyNumberFormat="1">
      <alignment horizontal="left" vertical="center"/>
    </xf>
    <xf borderId="5" fillId="2" fontId="1" numFmtId="14" xfId="0" applyAlignment="1" applyBorder="1" applyFill="1" applyFont="1" applyNumberFormat="1">
      <alignment horizontal="left" vertical="center"/>
    </xf>
    <xf borderId="7" fillId="2" fontId="1" numFmtId="1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6" fillId="0" fontId="1" numFmtId="14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6" fillId="2" fontId="1" numFmtId="14" xfId="0" applyAlignment="1" applyBorder="1" applyFill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7" fillId="2" fontId="1" numFmtId="1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9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3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horizontal="center" shrinkToFit="0" vertical="center" wrapText="1"/>
    </xf>
    <xf borderId="24" fillId="3" fontId="1" numFmtId="0" xfId="0" applyAlignment="1" applyBorder="1" applyFill="1" applyFont="1">
      <alignment horizontal="center" vertical="center"/>
    </xf>
    <xf borderId="25" fillId="0" fontId="3" numFmtId="0" xfId="0" applyBorder="1" applyFont="1"/>
    <xf borderId="26" fillId="3" fontId="1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19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3" fontId="1" numFmtId="0" xfId="0" applyAlignment="1" applyBorder="1" applyFill="1" applyFont="1">
      <alignment horizontal="center" shrinkToFit="0" vertical="center" wrapText="1"/>
    </xf>
    <xf borderId="7" fillId="3" fontId="1" numFmtId="164" xfId="0" applyAlignment="1" applyBorder="1" applyFill="1" applyFont="1" applyNumberFormat="1">
      <alignment horizontal="center" shrinkToFit="0" vertical="center" wrapText="1"/>
    </xf>
    <xf borderId="12" fillId="3" fontId="1" numFmtId="0" xfId="0" applyAlignment="1" applyBorder="1" applyFill="1" applyFont="1">
      <alignment horizontal="center" shrinkToFit="0" vertical="center" wrapText="1"/>
    </xf>
    <xf borderId="12" fillId="3" fontId="1" numFmtId="164" xfId="0" applyAlignment="1" applyBorder="1" applyFill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1" vertical="center" wrapText="0"/>
    </xf>
    <xf borderId="3" fillId="0" fontId="1" numFmtId="2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7" numFmtId="164" xfId="0" applyAlignment="1" applyBorder="1" applyFont="1" applyNumberFormat="1">
      <alignment horizontal="center" shrinkToFit="1" vertical="center" wrapText="0"/>
    </xf>
    <xf borderId="0" fillId="0" fontId="1" numFmtId="2" xfId="0" applyAlignment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shrinkToFit="1" vertical="center" wrapText="0"/>
    </xf>
    <xf borderId="0" fillId="0" fontId="8" numFmtId="2" xfId="0" applyAlignment="1" applyFont="1" applyNumberFormat="1">
      <alignment horizontal="center" vertical="center"/>
    </xf>
    <xf borderId="33" fillId="0" fontId="2" numFmtId="0" xfId="0" applyAlignment="1" applyBorder="1" applyFont="1">
      <alignment horizontal="center" shrinkToFit="0" vertical="center" wrapText="1"/>
    </xf>
    <xf borderId="33" fillId="0" fontId="9" numFmtId="1" xfId="0" applyAlignment="1" applyBorder="1" applyFont="1" applyNumberFormat="1">
      <alignment horizontal="center" shrinkToFit="1" vertical="center" wrapText="0"/>
    </xf>
    <xf borderId="33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3" fillId="0" fontId="1" numFmtId="170" xfId="0" applyAlignment="1" applyBorder="1" applyFont="1" applyNumberFormat="1">
      <alignment horizontal="center" vertical="center"/>
    </xf>
    <xf borderId="33" fillId="0" fontId="1" numFmtId="171" xfId="0" applyAlignment="1" applyBorder="1" applyFont="1" applyNumberFormat="1">
      <alignment horizontal="center" vertical="center"/>
    </xf>
    <xf borderId="33" fillId="4" fontId="1" numFmtId="171" xfId="0" applyAlignment="1" applyBorder="1" applyFill="1" applyFont="1" applyNumberFormat="1">
      <alignment horizontal="center" vertical="center"/>
    </xf>
    <xf borderId="33" fillId="2" fontId="1" numFmtId="171" xfId="0" applyAlignment="1" applyBorder="1" applyFill="1" applyFont="1" applyNumberFormat="1">
      <alignment horizontal="center" vertical="center"/>
    </xf>
    <xf borderId="7" fillId="2" fontId="1" numFmtId="171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6" fillId="0" fontId="1" numFmtId="170" xfId="0" applyAlignment="1" applyBorder="1" applyFont="1" applyNumberFormat="1">
      <alignment horizontal="center" vertical="center"/>
    </xf>
    <xf borderId="33" fillId="0" fontId="1" numFmtId="3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5" fontId="10" numFmtId="171" xfId="0" applyAlignment="1" applyBorder="1" applyFill="1" applyFont="1" applyNumberForma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11" numFmtId="171" xfId="0" applyAlignment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7" fillId="0" fontId="3" numFmtId="0" xfId="0" applyBorder="1" applyFont="1"/>
    <xf borderId="38" fillId="2" fontId="1" numFmtId="171" xfId="0" applyAlignment="1" applyBorder="1" applyFill="1" applyFont="1" applyNumberForma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readingOrder="0" vertical="center"/>
    </xf>
    <xf borderId="3" fillId="0" fontId="1" numFmtId="164" xfId="0" applyAlignment="1" applyBorder="1" applyFont="1" applyNumberFormat="1">
      <alignment readingOrder="0" vertical="center"/>
    </xf>
    <xf borderId="6" fillId="0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33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164" xfId="0" applyAlignment="1" applyBorder="1" applyFont="1" applyNumberFormat="1">
      <alignment readingOrder="0"/>
    </xf>
    <xf borderId="3" fillId="0" fontId="6" numFmtId="0" xfId="0" applyAlignment="1" applyBorder="1" applyFont="1">
      <alignment readingOrder="0"/>
    </xf>
    <xf borderId="6" fillId="0" fontId="6" numFmtId="2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6" fillId="0" fontId="1" numFmtId="164" xfId="0" applyAlignment="1" applyBorder="1" applyFont="1" applyNumberFormat="1">
      <alignment horizontal="center" vertical="center"/>
    </xf>
    <xf borderId="33" fillId="0" fontId="1" numFmtId="164" xfId="0" applyAlignment="1" applyBorder="1" applyFont="1" applyNumberFormat="1">
      <alignment horizontal="center" vertical="center"/>
    </xf>
    <xf borderId="33" fillId="0" fontId="6" numFmtId="0" xfId="0" applyBorder="1" applyFont="1"/>
    <xf borderId="38" fillId="5" fontId="10" numFmtId="171" xfId="0" applyAlignment="1" applyBorder="1" applyFill="1" applyFont="1" applyNumberFormat="1">
      <alignment horizontal="center" vertical="center"/>
    </xf>
    <xf borderId="6" fillId="0" fontId="6" numFmtId="0" xfId="0" applyBorder="1" applyFont="1"/>
    <xf borderId="1" fillId="0" fontId="1" numFmtId="164" xfId="0" applyAlignment="1" applyBorder="1" applyFont="1" applyNumberFormat="1">
      <alignment horizontal="left" vertical="center"/>
    </xf>
    <xf borderId="6" fillId="0" fontId="1" numFmtId="0" xfId="0" applyAlignment="1" applyBorder="1" applyFon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33" fillId="0" fontId="1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33" fillId="0" fontId="1" numFmtId="164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center"/>
    </xf>
    <xf borderId="3" fillId="0" fontId="6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vertical="center"/>
    </xf>
    <xf borderId="41" fillId="0" fontId="6" numFmtId="0" xfId="0" applyBorder="1" applyFont="1"/>
    <xf borderId="37" fillId="0" fontId="6" numFmtId="0" xfId="0" applyBorder="1" applyFont="1"/>
    <xf borderId="42" fillId="0" fontId="6" numFmtId="0" xfId="0" applyBorder="1" applyFont="1"/>
    <xf borderId="3" fillId="0" fontId="6" numFmtId="0" xfId="0" applyBorder="1" applyFont="1"/>
    <xf borderId="29" fillId="0" fontId="6" numFmtId="0" xfId="0" applyBorder="1" applyFont="1"/>
    <xf borderId="6" fillId="0" fontId="6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vertical="center"/>
    </xf>
    <xf borderId="14" fillId="0" fontId="6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38.0"/>
    <col customWidth="1" min="11" max="11" width="5.0"/>
    <col customWidth="1" min="12" max="12" width="9.14"/>
    <col customWidth="1" min="13" max="13" width="13.14"/>
    <col customWidth="1" min="14" max="14" width="6.86"/>
    <col customWidth="1" min="15" max="15" width="1.43"/>
    <col customWidth="1" min="16" max="16" width="16.29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24.71"/>
    <col customWidth="1" min="22" max="22" width="14.71"/>
    <col customWidth="1" min="23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R3" s="4"/>
      <c r="S3" s="4"/>
      <c r="T3" s="1"/>
      <c r="U3" s="1"/>
      <c r="V3" s="1"/>
      <c r="W3" s="1"/>
      <c r="X3" s="1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R4" s="4"/>
      <c r="S4" s="4"/>
      <c r="T4" s="1"/>
      <c r="U4" s="1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4"/>
      <c r="S5" s="4"/>
      <c r="T5" s="1"/>
      <c r="U5" s="1"/>
      <c r="V5" s="1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11"/>
      <c r="U6" s="12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6"/>
      <c r="P7" s="17"/>
      <c r="Q7" s="18"/>
      <c r="R7" s="19"/>
      <c r="S7" s="20"/>
      <c r="T7" s="21"/>
      <c r="U7" s="24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11</v>
      </c>
      <c r="J8" s="8"/>
      <c r="K8" s="9"/>
      <c r="L8" s="10"/>
      <c r="M8" s="8"/>
      <c r="N8" s="8"/>
      <c r="O8" s="9"/>
      <c r="P8" s="22"/>
      <c r="Q8" s="13"/>
      <c r="R8" s="23"/>
      <c r="S8" s="10"/>
      <c r="T8" s="11"/>
      <c r="U8" s="12"/>
      <c r="V8" s="25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10</v>
      </c>
      <c r="J9" s="8"/>
      <c r="K9" s="9"/>
      <c r="L9" s="10"/>
      <c r="M9" s="8"/>
      <c r="N9" s="8"/>
      <c r="O9" s="9"/>
      <c r="P9" s="22"/>
      <c r="Q9" s="13"/>
      <c r="R9" s="26"/>
      <c r="S9" s="27"/>
      <c r="T9" s="11"/>
      <c r="U9" s="28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14</v>
      </c>
      <c r="J10" s="8"/>
      <c r="K10" s="9"/>
      <c r="L10" s="10"/>
      <c r="M10" s="8"/>
      <c r="N10" s="8"/>
      <c r="O10" s="9"/>
      <c r="P10" s="22"/>
      <c r="Q10" s="13"/>
      <c r="R10" s="23"/>
      <c r="S10" s="10"/>
      <c r="T10" s="11"/>
      <c r="U10" s="12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29"/>
      <c r="O11" s="9"/>
      <c r="P11" s="22"/>
      <c r="Q11" s="13"/>
      <c r="R11" s="32"/>
      <c r="S11" s="33"/>
      <c r="T11" s="11"/>
      <c r="U11" s="34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5"/>
      <c r="M12" s="8"/>
      <c r="N12" s="8"/>
      <c r="O12" s="9"/>
      <c r="P12" s="22"/>
      <c r="Q12" s="13" t="s">
        <v>19</v>
      </c>
      <c r="R12" s="37"/>
      <c r="S12" s="38"/>
      <c r="T12" s="11"/>
      <c r="U12" s="39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20</v>
      </c>
      <c r="J13" s="8"/>
      <c r="K13" s="9"/>
      <c r="L13" s="10"/>
      <c r="M13" s="8"/>
      <c r="N13" s="8"/>
      <c r="O13" s="9"/>
      <c r="P13" s="22"/>
      <c r="Q13" s="10"/>
      <c r="R13" s="9"/>
      <c r="S13" s="40"/>
      <c r="T13" s="11"/>
      <c r="U13" s="41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2"/>
      <c r="J14" s="43"/>
      <c r="K14" s="4"/>
      <c r="L14" s="4"/>
      <c r="M14" s="44"/>
      <c r="P14" s="3"/>
      <c r="Q14" s="1"/>
      <c r="R14" s="1"/>
      <c r="S14" s="1"/>
      <c r="T14" s="42"/>
      <c r="U14" s="42"/>
      <c r="V14" s="42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5" t="s">
        <v>23</v>
      </c>
      <c r="J15" s="46"/>
      <c r="K15" s="44"/>
      <c r="L15" s="47" t="s">
        <v>24</v>
      </c>
      <c r="Q15" s="48"/>
      <c r="R15" s="49"/>
      <c r="S15" s="49"/>
      <c r="T15" s="50"/>
      <c r="U15" s="51"/>
      <c r="V15" s="42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52"/>
      <c r="W16" s="53"/>
      <c r="X16" s="52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27</v>
      </c>
      <c r="J17" s="54" t="s">
        <v>28</v>
      </c>
      <c r="K17" s="55" t="s">
        <v>29</v>
      </c>
      <c r="L17" s="56"/>
      <c r="M17" s="57" t="s">
        <v>30</v>
      </c>
      <c r="N17" s="61"/>
      <c r="O17" s="60"/>
      <c r="P17" s="62"/>
      <c r="Q17" s="54" t="s">
        <v>32</v>
      </c>
      <c r="R17" s="63" t="s">
        <v>33</v>
      </c>
      <c r="S17" s="63" t="s">
        <v>34</v>
      </c>
      <c r="T17" s="54" t="s">
        <v>35</v>
      </c>
      <c r="U17" s="64"/>
      <c r="V17" s="1"/>
      <c r="W17" s="1"/>
      <c r="X17" s="1"/>
      <c r="Y17" s="1"/>
      <c r="Z17" s="1"/>
    </row>
    <row r="18" ht="16.5" hidden="1" customHeight="1">
      <c r="A18" s="1"/>
      <c r="B18" s="1"/>
      <c r="C18" s="1"/>
      <c r="D18" s="1"/>
      <c r="E18" s="1"/>
      <c r="F18" s="1"/>
      <c r="G18" s="1"/>
      <c r="H18" s="1"/>
      <c r="I18" s="65"/>
      <c r="J18" s="65"/>
      <c r="K18" s="66"/>
      <c r="L18" s="67"/>
      <c r="M18" s="68"/>
      <c r="N18" s="70" t="s">
        <v>37</v>
      </c>
      <c r="O18" s="71"/>
      <c r="P18" s="72" t="s">
        <v>41</v>
      </c>
      <c r="Q18" s="65"/>
      <c r="R18" s="65"/>
      <c r="S18" s="65"/>
      <c r="T18" s="65"/>
      <c r="U18" s="64"/>
      <c r="V18" s="1"/>
      <c r="W18" s="1"/>
      <c r="X18" s="1"/>
      <c r="Y18" s="1"/>
      <c r="Z18" s="1"/>
    </row>
    <row r="19" ht="14.25" hidden="1" customHeight="1">
      <c r="A19" s="1"/>
      <c r="B19" s="73">
        <v>1.0</v>
      </c>
      <c r="C19" s="75" t="s">
        <v>44</v>
      </c>
      <c r="D19" s="74">
        <v>0.02</v>
      </c>
      <c r="E19" s="76">
        <f>SUM(N19)</f>
        <v>0.48</v>
      </c>
      <c r="F19" s="77">
        <v>0.0</v>
      </c>
      <c r="G19" s="76">
        <f>SUM(P19)</f>
        <v>0</v>
      </c>
      <c r="H19" s="79">
        <f>SUM(B19*E19*G19)</f>
        <v>0</v>
      </c>
      <c r="I19" s="80">
        <v>25.0</v>
      </c>
      <c r="J19" s="82" t="s">
        <v>45</v>
      </c>
      <c r="K19" s="83" t="s">
        <v>48</v>
      </c>
      <c r="L19" s="75">
        <v>3503.0</v>
      </c>
      <c r="M19" s="84" t="s">
        <v>49</v>
      </c>
      <c r="N19" s="76">
        <v>0.48</v>
      </c>
      <c r="O19" s="74" t="s">
        <v>44</v>
      </c>
      <c r="P19" s="86" t="s">
        <v>50</v>
      </c>
      <c r="Q19" s="89">
        <f>SUM(I19*B19*E19*G19+D19)</f>
        <v>0.02</v>
      </c>
      <c r="R19" s="90">
        <v>865.0</v>
      </c>
      <c r="S19" s="91">
        <f>SUM(B19*E19*G19*R19)</f>
        <v>0</v>
      </c>
      <c r="T19" s="92">
        <f>SUM(Q19*R19)</f>
        <v>17.3</v>
      </c>
      <c r="U19" s="93"/>
      <c r="V19" s="1"/>
      <c r="W19" s="1"/>
      <c r="X19" s="1"/>
      <c r="Y19" s="1"/>
      <c r="Z19" s="1"/>
    </row>
    <row r="20" ht="14.25" hidden="1" customHeight="1">
      <c r="A20" s="1"/>
      <c r="B20" s="73"/>
      <c r="C20" s="75"/>
      <c r="D20" s="74"/>
      <c r="E20" s="76"/>
      <c r="F20" s="77"/>
      <c r="G20" s="76"/>
      <c r="H20" s="79"/>
      <c r="I20" s="80">
        <v>25.0</v>
      </c>
      <c r="J20" s="82" t="s">
        <v>51</v>
      </c>
      <c r="K20" s="83" t="s">
        <v>48</v>
      </c>
      <c r="L20" s="75">
        <v>3503.0</v>
      </c>
      <c r="M20" s="84" t="s">
        <v>49</v>
      </c>
      <c r="N20" s="76">
        <v>0.465</v>
      </c>
      <c r="O20" s="74" t="s">
        <v>44</v>
      </c>
      <c r="P20" s="86" t="s">
        <v>53</v>
      </c>
      <c r="Q20" s="89"/>
      <c r="R20" s="90"/>
      <c r="S20" s="91"/>
      <c r="T20" s="92"/>
      <c r="U20" s="93"/>
      <c r="V20" s="1"/>
      <c r="W20" s="1"/>
      <c r="X20" s="1"/>
      <c r="Y20" s="1"/>
      <c r="Z20" s="1"/>
    </row>
    <row r="21" ht="14.25" hidden="1" customHeight="1">
      <c r="A21" s="1"/>
      <c r="B21" s="73"/>
      <c r="C21" s="75"/>
      <c r="D21" s="74"/>
      <c r="E21" s="76"/>
      <c r="F21" s="77"/>
      <c r="G21" s="76"/>
      <c r="H21" s="79"/>
      <c r="I21" s="80"/>
      <c r="J21" s="82" t="s">
        <v>54</v>
      </c>
      <c r="K21" s="83" t="s">
        <v>48</v>
      </c>
      <c r="L21" s="75">
        <v>3503.0</v>
      </c>
      <c r="M21" s="84" t="s">
        <v>49</v>
      </c>
      <c r="N21" s="76">
        <v>0.5</v>
      </c>
      <c r="O21" s="74" t="s">
        <v>44</v>
      </c>
      <c r="P21" s="86" t="s">
        <v>55</v>
      </c>
      <c r="Q21" s="89"/>
      <c r="R21" s="90"/>
      <c r="S21" s="91"/>
      <c r="T21" s="92"/>
      <c r="U21" s="93"/>
      <c r="V21" s="1"/>
      <c r="W21" s="1"/>
      <c r="X21" s="1"/>
      <c r="Y21" s="1"/>
      <c r="Z21" s="1"/>
    </row>
    <row r="22" ht="14.25" hidden="1" customHeight="1">
      <c r="A22" s="1"/>
      <c r="B22" s="73">
        <v>1.0</v>
      </c>
      <c r="C22" s="75" t="s">
        <v>44</v>
      </c>
      <c r="D22" s="74">
        <v>0.02</v>
      </c>
      <c r="E22" s="76">
        <f t="shared" ref="E22:E47" si="1">SUM(N22)</f>
        <v>0.46</v>
      </c>
      <c r="F22" s="77">
        <v>0.0</v>
      </c>
      <c r="G22" s="76">
        <f t="shared" ref="G22:G47" si="2">SUM(P22)</f>
        <v>0</v>
      </c>
      <c r="H22" s="79">
        <f t="shared" ref="H22:H26" si="3">SUM(B22*E22*G22)</f>
        <v>0</v>
      </c>
      <c r="I22" s="80"/>
      <c r="J22" s="82" t="s">
        <v>57</v>
      </c>
      <c r="K22" s="83" t="s">
        <v>48</v>
      </c>
      <c r="L22" s="75">
        <v>3503.0</v>
      </c>
      <c r="M22" s="84" t="s">
        <v>49</v>
      </c>
      <c r="N22" s="76">
        <v>0.46</v>
      </c>
      <c r="O22" s="74" t="s">
        <v>44</v>
      </c>
      <c r="P22" s="86" t="s">
        <v>58</v>
      </c>
      <c r="Q22" s="89">
        <f t="shared" ref="Q22:Q26" si="4">SUM(I22*B22*E22*G22+D22)</f>
        <v>0.02</v>
      </c>
      <c r="R22" s="90">
        <v>865.0</v>
      </c>
      <c r="S22" s="91">
        <f t="shared" ref="S22:S26" si="5">SUM(B22*E22*G22*R22)</f>
        <v>0</v>
      </c>
      <c r="T22" s="92">
        <f>SUM(Q22*R22)</f>
        <v>17.3</v>
      </c>
      <c r="U22" s="93"/>
      <c r="V22" s="1"/>
      <c r="W22" s="1"/>
      <c r="X22" s="1"/>
      <c r="Y22" s="1"/>
      <c r="Z22" s="1"/>
    </row>
    <row r="23" ht="14.25" hidden="1" customHeight="1">
      <c r="A23" s="1"/>
      <c r="B23" s="73">
        <v>1.0</v>
      </c>
      <c r="C23" s="75" t="s">
        <v>44</v>
      </c>
      <c r="D23" s="74">
        <v>0.02</v>
      </c>
      <c r="E23" s="76">
        <f t="shared" si="1"/>
        <v>0.4</v>
      </c>
      <c r="F23" s="77">
        <v>0.0</v>
      </c>
      <c r="G23" s="76">
        <f t="shared" si="2"/>
        <v>0</v>
      </c>
      <c r="H23" s="79">
        <f t="shared" si="3"/>
        <v>0</v>
      </c>
      <c r="I23" s="81"/>
      <c r="J23" s="82" t="s">
        <v>60</v>
      </c>
      <c r="K23" s="83" t="s">
        <v>48</v>
      </c>
      <c r="L23" s="75">
        <v>3503.0</v>
      </c>
      <c r="M23" s="84" t="s">
        <v>49</v>
      </c>
      <c r="N23" s="76">
        <v>0.4</v>
      </c>
      <c r="O23" s="74" t="s">
        <v>44</v>
      </c>
      <c r="P23" s="86" t="s">
        <v>61</v>
      </c>
      <c r="Q23" s="89">
        <f t="shared" si="4"/>
        <v>0.02</v>
      </c>
      <c r="R23" s="90">
        <v>865.0</v>
      </c>
      <c r="S23" s="91">
        <f t="shared" si="5"/>
        <v>0</v>
      </c>
      <c r="T23" s="92">
        <f t="shared" ref="T23:T26" si="6">SUM(I23*S23)</f>
        <v>0</v>
      </c>
      <c r="U23" s="93"/>
      <c r="V23" s="1"/>
      <c r="W23" s="1"/>
      <c r="X23" s="1"/>
      <c r="Y23" s="1"/>
      <c r="Z23" s="1"/>
    </row>
    <row r="24" ht="14.25" hidden="1" customHeight="1">
      <c r="A24" s="1"/>
      <c r="B24" s="73">
        <v>1.0</v>
      </c>
      <c r="C24" s="75" t="s">
        <v>44</v>
      </c>
      <c r="D24" s="74">
        <v>0.02</v>
      </c>
      <c r="E24" s="76">
        <f t="shared" si="1"/>
        <v>0.46</v>
      </c>
      <c r="F24" s="77">
        <v>0.0</v>
      </c>
      <c r="G24" s="76">
        <f t="shared" si="2"/>
        <v>0</v>
      </c>
      <c r="H24" s="79">
        <f t="shared" si="3"/>
        <v>0</v>
      </c>
      <c r="I24" s="81"/>
      <c r="J24" s="82" t="s">
        <v>63</v>
      </c>
      <c r="K24" s="83" t="s">
        <v>48</v>
      </c>
      <c r="L24" s="75">
        <v>3503.0</v>
      </c>
      <c r="M24" s="84" t="s">
        <v>49</v>
      </c>
      <c r="N24" s="76">
        <v>0.46</v>
      </c>
      <c r="O24" s="74" t="s">
        <v>44</v>
      </c>
      <c r="P24" s="86" t="s">
        <v>64</v>
      </c>
      <c r="Q24" s="89">
        <f t="shared" si="4"/>
        <v>0.02</v>
      </c>
      <c r="R24" s="90">
        <v>865.0</v>
      </c>
      <c r="S24" s="91">
        <f t="shared" si="5"/>
        <v>0</v>
      </c>
      <c r="T24" s="92">
        <f t="shared" si="6"/>
        <v>0</v>
      </c>
      <c r="U24" s="93"/>
      <c r="V24" s="1"/>
      <c r="W24" s="1"/>
      <c r="X24" s="1"/>
      <c r="Y24" s="1"/>
      <c r="Z24" s="1"/>
    </row>
    <row r="25" ht="14.25" hidden="1" customHeight="1">
      <c r="A25" s="1"/>
      <c r="B25" s="73">
        <v>1.0</v>
      </c>
      <c r="C25" s="75" t="s">
        <v>44</v>
      </c>
      <c r="D25" s="74">
        <v>0.02</v>
      </c>
      <c r="E25" s="76">
        <f t="shared" si="1"/>
        <v>0.495</v>
      </c>
      <c r="F25" s="77">
        <v>0.0</v>
      </c>
      <c r="G25" s="76">
        <f t="shared" si="2"/>
        <v>0</v>
      </c>
      <c r="H25" s="79">
        <f t="shared" si="3"/>
        <v>0</v>
      </c>
      <c r="I25" s="81"/>
      <c r="J25" s="82" t="s">
        <v>66</v>
      </c>
      <c r="K25" s="83" t="s">
        <v>48</v>
      </c>
      <c r="L25" s="75">
        <v>3503.0</v>
      </c>
      <c r="M25" s="84" t="s">
        <v>49</v>
      </c>
      <c r="N25" s="76">
        <v>0.495</v>
      </c>
      <c r="O25" s="74" t="s">
        <v>44</v>
      </c>
      <c r="P25" s="86" t="s">
        <v>68</v>
      </c>
      <c r="Q25" s="89">
        <f t="shared" si="4"/>
        <v>0.02</v>
      </c>
      <c r="R25" s="90">
        <v>865.0</v>
      </c>
      <c r="S25" s="91">
        <f t="shared" si="5"/>
        <v>0</v>
      </c>
      <c r="T25" s="92">
        <f t="shared" si="6"/>
        <v>0</v>
      </c>
      <c r="U25" s="101" t="s">
        <v>69</v>
      </c>
      <c r="V25" s="1"/>
      <c r="W25" s="1"/>
      <c r="X25" s="1"/>
      <c r="Y25" s="1"/>
      <c r="Z25" s="1"/>
    </row>
    <row r="26" ht="14.25" hidden="1" customHeight="1">
      <c r="A26" s="1"/>
      <c r="B26" s="73">
        <v>1.0</v>
      </c>
      <c r="C26" s="75" t="s">
        <v>44</v>
      </c>
      <c r="D26" s="74">
        <v>0.02</v>
      </c>
      <c r="E26" s="76">
        <f t="shared" si="1"/>
        <v>0.485</v>
      </c>
      <c r="F26" s="77">
        <v>0.0</v>
      </c>
      <c r="G26" s="76">
        <f t="shared" si="2"/>
        <v>0</v>
      </c>
      <c r="H26" s="79">
        <f t="shared" si="3"/>
        <v>0</v>
      </c>
      <c r="I26" s="81">
        <v>10.0</v>
      </c>
      <c r="J26" s="82" t="s">
        <v>71</v>
      </c>
      <c r="K26" s="83" t="s">
        <v>48</v>
      </c>
      <c r="L26" s="75">
        <v>3503.0</v>
      </c>
      <c r="M26" s="84" t="s">
        <v>49</v>
      </c>
      <c r="N26" s="76">
        <v>0.485</v>
      </c>
      <c r="O26" s="74" t="s">
        <v>44</v>
      </c>
      <c r="P26" s="86" t="s">
        <v>72</v>
      </c>
      <c r="Q26" s="89">
        <f t="shared" si="4"/>
        <v>0.02</v>
      </c>
      <c r="R26" s="90">
        <v>865.0</v>
      </c>
      <c r="S26" s="91">
        <f t="shared" si="5"/>
        <v>0</v>
      </c>
      <c r="T26" s="92">
        <f t="shared" si="6"/>
        <v>0</v>
      </c>
      <c r="U26" s="93"/>
      <c r="V26" s="1"/>
      <c r="W26" s="1"/>
      <c r="X26" s="1"/>
      <c r="Y26" s="1"/>
      <c r="Z26" s="1"/>
    </row>
    <row r="27" ht="14.25" hidden="1" customHeight="1">
      <c r="A27" s="1"/>
      <c r="B27" s="73"/>
      <c r="C27" s="75"/>
      <c r="D27" s="74"/>
      <c r="E27" s="76">
        <f t="shared" si="1"/>
        <v>0.175</v>
      </c>
      <c r="F27" s="77"/>
      <c r="G27" s="76">
        <f t="shared" si="2"/>
        <v>0</v>
      </c>
      <c r="H27" s="79"/>
      <c r="I27" s="81">
        <v>20.0</v>
      </c>
      <c r="J27" s="82" t="s">
        <v>74</v>
      </c>
      <c r="K27" s="83" t="s">
        <v>48</v>
      </c>
      <c r="L27" s="75">
        <v>3503.0</v>
      </c>
      <c r="M27" s="84" t="s">
        <v>49</v>
      </c>
      <c r="N27" s="76">
        <v>0.175</v>
      </c>
      <c r="O27" s="74" t="s">
        <v>44</v>
      </c>
      <c r="P27" s="86" t="s">
        <v>76</v>
      </c>
      <c r="Q27" s="89"/>
      <c r="R27" s="90"/>
      <c r="S27" s="91"/>
      <c r="T27" s="92"/>
      <c r="U27" s="93"/>
      <c r="V27" s="1"/>
      <c r="W27" s="1"/>
      <c r="X27" s="1"/>
      <c r="Y27" s="1"/>
      <c r="Z27" s="1"/>
    </row>
    <row r="28" ht="14.25" hidden="1" customHeight="1">
      <c r="A28" s="1"/>
      <c r="B28" s="73">
        <v>1.0</v>
      </c>
      <c r="C28" s="75" t="s">
        <v>44</v>
      </c>
      <c r="D28" s="74">
        <v>0.02</v>
      </c>
      <c r="E28" s="76">
        <f t="shared" si="1"/>
        <v>0.53</v>
      </c>
      <c r="F28" s="77">
        <v>0.0</v>
      </c>
      <c r="G28" s="76">
        <f t="shared" si="2"/>
        <v>0</v>
      </c>
      <c r="H28" s="79">
        <f t="shared" ref="H28:H29" si="7">SUM(B28*E28*G28)</f>
        <v>0</v>
      </c>
      <c r="I28" s="81">
        <v>6.0</v>
      </c>
      <c r="J28" s="82" t="s">
        <v>78</v>
      </c>
      <c r="K28" s="83" t="s">
        <v>48</v>
      </c>
      <c r="L28" s="75">
        <v>3503.0</v>
      </c>
      <c r="M28" s="84" t="s">
        <v>49</v>
      </c>
      <c r="N28" s="76">
        <v>0.53</v>
      </c>
      <c r="O28" s="74" t="s">
        <v>44</v>
      </c>
      <c r="P28" s="86" t="s">
        <v>80</v>
      </c>
      <c r="Q28" s="89">
        <f t="shared" ref="Q28:Q30" si="8">SUM(I28*B28*E28*G28+D28)</f>
        <v>0.02</v>
      </c>
      <c r="R28" s="90">
        <v>865.0</v>
      </c>
      <c r="S28" s="91">
        <f t="shared" ref="S28:S30" si="9">SUM(B28*E28*G28*R28)</f>
        <v>0</v>
      </c>
      <c r="T28" s="92">
        <f t="shared" ref="T28:T29" si="10">SUM(I28*S28)</f>
        <v>0</v>
      </c>
      <c r="U28" s="93"/>
      <c r="V28" s="1"/>
      <c r="W28" s="1"/>
      <c r="X28" s="1"/>
      <c r="Y28" s="1"/>
      <c r="Z28" s="1"/>
    </row>
    <row r="29" ht="14.25" hidden="1" customHeight="1">
      <c r="A29" s="1"/>
      <c r="B29" s="73">
        <v>1.0</v>
      </c>
      <c r="C29" s="75" t="s">
        <v>44</v>
      </c>
      <c r="D29" s="74">
        <v>0.02</v>
      </c>
      <c r="E29" s="76">
        <f t="shared" si="1"/>
        <v>0.49</v>
      </c>
      <c r="F29" s="77">
        <v>0.0</v>
      </c>
      <c r="G29" s="76">
        <f t="shared" si="2"/>
        <v>0</v>
      </c>
      <c r="H29" s="79">
        <f t="shared" si="7"/>
        <v>0</v>
      </c>
      <c r="I29" s="81"/>
      <c r="J29" s="82" t="s">
        <v>86</v>
      </c>
      <c r="K29" s="83" t="s">
        <v>48</v>
      </c>
      <c r="L29" s="75">
        <v>3503.0</v>
      </c>
      <c r="M29" s="84" t="s">
        <v>49</v>
      </c>
      <c r="N29" s="86">
        <v>0.49</v>
      </c>
      <c r="O29" s="74" t="s">
        <v>44</v>
      </c>
      <c r="P29" s="86" t="s">
        <v>87</v>
      </c>
      <c r="Q29" s="89">
        <f t="shared" si="8"/>
        <v>0.02</v>
      </c>
      <c r="R29" s="90">
        <v>865.0</v>
      </c>
      <c r="S29" s="91">
        <f t="shared" si="9"/>
        <v>0</v>
      </c>
      <c r="T29" s="92">
        <f t="shared" si="10"/>
        <v>0</v>
      </c>
      <c r="U29" s="93"/>
      <c r="V29" s="1"/>
      <c r="W29" s="1"/>
      <c r="X29" s="1"/>
      <c r="Y29" s="1"/>
      <c r="Z29" s="1"/>
    </row>
    <row r="30" ht="14.25" hidden="1" customHeight="1">
      <c r="A30" s="1"/>
      <c r="B30" s="73">
        <v>1.0</v>
      </c>
      <c r="C30" s="75" t="s">
        <v>44</v>
      </c>
      <c r="D30" s="74">
        <v>0.02</v>
      </c>
      <c r="E30" s="76">
        <f t="shared" si="1"/>
        <v>0.51</v>
      </c>
      <c r="F30" s="77">
        <v>0.0</v>
      </c>
      <c r="G30" s="76">
        <f t="shared" si="2"/>
        <v>0</v>
      </c>
      <c r="H30" s="79">
        <f>SUM(G30*E30*B30)</f>
        <v>0</v>
      </c>
      <c r="I30" s="81"/>
      <c r="J30" s="82" t="s">
        <v>89</v>
      </c>
      <c r="K30" s="83" t="s">
        <v>48</v>
      </c>
      <c r="L30" s="75">
        <v>3503.0</v>
      </c>
      <c r="M30" s="84" t="s">
        <v>49</v>
      </c>
      <c r="N30" s="76">
        <v>0.51</v>
      </c>
      <c r="O30" s="74" t="s">
        <v>44</v>
      </c>
      <c r="P30" s="86" t="s">
        <v>90</v>
      </c>
      <c r="Q30" s="89">
        <f t="shared" si="8"/>
        <v>0.02</v>
      </c>
      <c r="R30" s="90">
        <v>865.0</v>
      </c>
      <c r="S30" s="91">
        <f t="shared" si="9"/>
        <v>0</v>
      </c>
      <c r="T30" s="92">
        <f>SUM(Q30*R30)</f>
        <v>17.3</v>
      </c>
      <c r="U30" s="107"/>
      <c r="V30" s="25"/>
      <c r="W30" s="1"/>
      <c r="X30" s="1"/>
      <c r="Y30" s="1"/>
      <c r="Z30" s="1"/>
    </row>
    <row r="31" ht="14.25" hidden="1" customHeight="1">
      <c r="A31" s="1"/>
      <c r="B31" s="73"/>
      <c r="C31" s="75"/>
      <c r="D31" s="74"/>
      <c r="E31" s="76">
        <f t="shared" si="1"/>
        <v>0.34</v>
      </c>
      <c r="F31" s="77"/>
      <c r="G31" s="76">
        <f t="shared" si="2"/>
        <v>0</v>
      </c>
      <c r="H31" s="79"/>
      <c r="I31" s="81">
        <v>290.0</v>
      </c>
      <c r="J31" s="82" t="s">
        <v>92</v>
      </c>
      <c r="K31" s="83" t="s">
        <v>48</v>
      </c>
      <c r="L31" s="75">
        <v>3503.0</v>
      </c>
      <c r="M31" s="84" t="s">
        <v>49</v>
      </c>
      <c r="N31" s="76">
        <v>0.34</v>
      </c>
      <c r="O31" s="74" t="s">
        <v>44</v>
      </c>
      <c r="P31" s="86" t="s">
        <v>94</v>
      </c>
      <c r="Q31" s="89"/>
      <c r="R31" s="90"/>
      <c r="S31" s="91"/>
      <c r="T31" s="92"/>
      <c r="U31" s="107"/>
      <c r="V31" s="25"/>
      <c r="W31" s="1"/>
      <c r="X31" s="1"/>
      <c r="Y31" s="1"/>
      <c r="Z31" s="1"/>
    </row>
    <row r="32" ht="14.25" hidden="1" customHeight="1">
      <c r="A32" s="1"/>
      <c r="B32" s="73">
        <v>1.0</v>
      </c>
      <c r="C32" s="75" t="s">
        <v>44</v>
      </c>
      <c r="D32" s="74">
        <v>0.02</v>
      </c>
      <c r="E32" s="76">
        <f t="shared" si="1"/>
        <v>0.45</v>
      </c>
      <c r="F32" s="77">
        <v>0.0</v>
      </c>
      <c r="G32" s="76">
        <f t="shared" si="2"/>
        <v>0</v>
      </c>
      <c r="H32" s="79">
        <f t="shared" ref="H32:H47" si="11">SUM(G32*E32*B32)</f>
        <v>0</v>
      </c>
      <c r="I32" s="81">
        <v>350.0</v>
      </c>
      <c r="J32" s="82" t="s">
        <v>95</v>
      </c>
      <c r="K32" s="83" t="s">
        <v>48</v>
      </c>
      <c r="L32" s="75">
        <v>3503.0</v>
      </c>
      <c r="M32" s="84" t="s">
        <v>49</v>
      </c>
      <c r="N32" s="76">
        <v>0.45</v>
      </c>
      <c r="O32" s="74" t="s">
        <v>44</v>
      </c>
      <c r="P32" s="86" t="s">
        <v>96</v>
      </c>
      <c r="Q32" s="89">
        <f t="shared" ref="Q32:Q47" si="12">SUM(I32*B32*E32*G32+D32)</f>
        <v>0.02</v>
      </c>
      <c r="R32" s="90">
        <v>865.0</v>
      </c>
      <c r="S32" s="91">
        <f t="shared" ref="S32:S47" si="13">SUM(B32*E32*G32*R32)</f>
        <v>0</v>
      </c>
      <c r="T32" s="92">
        <f t="shared" ref="T32:T47" si="14">SUM(Q32*R32)</f>
        <v>17.3</v>
      </c>
      <c r="U32" s="107"/>
      <c r="V32" s="25"/>
      <c r="W32" s="1"/>
      <c r="X32" s="1"/>
      <c r="Y32" s="1"/>
      <c r="Z32" s="1"/>
    </row>
    <row r="33" ht="14.25" hidden="1" customHeight="1">
      <c r="A33" s="1"/>
      <c r="B33" s="73">
        <v>1.0</v>
      </c>
      <c r="C33" s="75" t="s">
        <v>44</v>
      </c>
      <c r="D33" s="74">
        <v>0.02</v>
      </c>
      <c r="E33" s="76">
        <f t="shared" si="1"/>
        <v>0.45</v>
      </c>
      <c r="F33" s="77">
        <v>0.0</v>
      </c>
      <c r="G33" s="76">
        <f t="shared" si="2"/>
        <v>0</v>
      </c>
      <c r="H33" s="79">
        <f t="shared" si="11"/>
        <v>0</v>
      </c>
      <c r="I33" s="81"/>
      <c r="J33" s="82" t="s">
        <v>99</v>
      </c>
      <c r="K33" s="83" t="s">
        <v>48</v>
      </c>
      <c r="L33" s="75">
        <v>3503.0</v>
      </c>
      <c r="M33" s="84" t="s">
        <v>49</v>
      </c>
      <c r="N33" s="76">
        <v>0.45</v>
      </c>
      <c r="O33" s="74" t="s">
        <v>44</v>
      </c>
      <c r="P33" s="86" t="s">
        <v>96</v>
      </c>
      <c r="Q33" s="89">
        <f t="shared" si="12"/>
        <v>0.02</v>
      </c>
      <c r="R33" s="90">
        <v>865.0</v>
      </c>
      <c r="S33" s="91">
        <f t="shared" si="13"/>
        <v>0</v>
      </c>
      <c r="T33" s="92">
        <f t="shared" si="14"/>
        <v>17.3</v>
      </c>
      <c r="U33" s="107"/>
      <c r="V33" s="25"/>
      <c r="W33" s="1"/>
      <c r="X33" s="1"/>
      <c r="Y33" s="1"/>
      <c r="Z33" s="1"/>
    </row>
    <row r="34" ht="14.25" hidden="1" customHeight="1">
      <c r="A34" s="1"/>
      <c r="B34" s="73">
        <v>1.0</v>
      </c>
      <c r="C34" s="75" t="s">
        <v>44</v>
      </c>
      <c r="D34" s="74">
        <v>0.02</v>
      </c>
      <c r="E34" s="76">
        <f t="shared" si="1"/>
        <v>0.205</v>
      </c>
      <c r="F34" s="77">
        <v>0.0</v>
      </c>
      <c r="G34" s="76">
        <f t="shared" si="2"/>
        <v>0</v>
      </c>
      <c r="H34" s="79">
        <f t="shared" si="11"/>
        <v>0</v>
      </c>
      <c r="I34" s="81">
        <v>135.0</v>
      </c>
      <c r="J34" s="82" t="s">
        <v>101</v>
      </c>
      <c r="K34" s="83" t="s">
        <v>48</v>
      </c>
      <c r="L34" s="75">
        <v>3503.0</v>
      </c>
      <c r="M34" s="84" t="s">
        <v>49</v>
      </c>
      <c r="N34" s="76">
        <v>0.205</v>
      </c>
      <c r="O34" s="74" t="s">
        <v>44</v>
      </c>
      <c r="P34" s="86" t="s">
        <v>102</v>
      </c>
      <c r="Q34" s="89">
        <f t="shared" si="12"/>
        <v>0.02</v>
      </c>
      <c r="R34" s="90">
        <v>865.0</v>
      </c>
      <c r="S34" s="91">
        <f t="shared" si="13"/>
        <v>0</v>
      </c>
      <c r="T34" s="92">
        <f t="shared" si="14"/>
        <v>17.3</v>
      </c>
      <c r="U34" s="107"/>
      <c r="V34" s="25"/>
      <c r="W34" s="1"/>
      <c r="X34" s="1"/>
      <c r="Y34" s="1"/>
      <c r="Z34" s="1"/>
    </row>
    <row r="35" ht="14.25" hidden="1" customHeight="1">
      <c r="A35" s="1"/>
      <c r="B35" s="73">
        <v>1.0</v>
      </c>
      <c r="C35" s="75" t="s">
        <v>44</v>
      </c>
      <c r="D35" s="74">
        <v>0.02</v>
      </c>
      <c r="E35" s="76">
        <f t="shared" si="1"/>
        <v>0.48</v>
      </c>
      <c r="F35" s="77">
        <v>0.0</v>
      </c>
      <c r="G35" s="76">
        <f t="shared" si="2"/>
        <v>0</v>
      </c>
      <c r="H35" s="79">
        <f t="shared" si="11"/>
        <v>0</v>
      </c>
      <c r="I35" s="81">
        <v>155.0</v>
      </c>
      <c r="J35" s="82" t="s">
        <v>103</v>
      </c>
      <c r="K35" s="83" t="s">
        <v>48</v>
      </c>
      <c r="L35" s="75">
        <v>3503.0</v>
      </c>
      <c r="M35" s="84" t="s">
        <v>49</v>
      </c>
      <c r="N35" s="76">
        <v>0.48</v>
      </c>
      <c r="O35" s="74" t="s">
        <v>44</v>
      </c>
      <c r="P35" s="86" t="s">
        <v>104</v>
      </c>
      <c r="Q35" s="89">
        <f t="shared" si="12"/>
        <v>0.02</v>
      </c>
      <c r="R35" s="90">
        <v>865.0</v>
      </c>
      <c r="S35" s="91">
        <f t="shared" si="13"/>
        <v>0</v>
      </c>
      <c r="T35" s="92">
        <f t="shared" si="14"/>
        <v>17.3</v>
      </c>
      <c r="U35" s="107"/>
      <c r="V35" s="25"/>
      <c r="W35" s="1"/>
      <c r="X35" s="1"/>
      <c r="Y35" s="1"/>
      <c r="Z35" s="1"/>
    </row>
    <row r="36" ht="14.25" hidden="1" customHeight="1">
      <c r="A36" s="1"/>
      <c r="B36" s="73">
        <v>1.0</v>
      </c>
      <c r="C36" s="75" t="s">
        <v>44</v>
      </c>
      <c r="D36" s="74">
        <v>0.02</v>
      </c>
      <c r="E36" s="76">
        <f t="shared" si="1"/>
        <v>0.48</v>
      </c>
      <c r="F36" s="77">
        <v>0.0</v>
      </c>
      <c r="G36" s="76">
        <f t="shared" si="2"/>
        <v>0</v>
      </c>
      <c r="H36" s="79">
        <f t="shared" si="11"/>
        <v>0</v>
      </c>
      <c r="I36" s="81"/>
      <c r="J36" s="82" t="s">
        <v>106</v>
      </c>
      <c r="K36" s="83" t="s">
        <v>48</v>
      </c>
      <c r="L36" s="75">
        <v>3503.0</v>
      </c>
      <c r="M36" s="84" t="s">
        <v>49</v>
      </c>
      <c r="N36" s="76">
        <v>0.48</v>
      </c>
      <c r="O36" s="74" t="s">
        <v>44</v>
      </c>
      <c r="P36" s="86" t="s">
        <v>104</v>
      </c>
      <c r="Q36" s="89">
        <f t="shared" si="12"/>
        <v>0.02</v>
      </c>
      <c r="R36" s="90">
        <v>865.0</v>
      </c>
      <c r="S36" s="91">
        <f t="shared" si="13"/>
        <v>0</v>
      </c>
      <c r="T36" s="92">
        <f t="shared" si="14"/>
        <v>17.3</v>
      </c>
      <c r="U36" s="107"/>
      <c r="V36" s="25"/>
      <c r="W36" s="1"/>
      <c r="X36" s="1"/>
      <c r="Y36" s="1"/>
      <c r="Z36" s="1"/>
    </row>
    <row r="37" ht="14.25" hidden="1" customHeight="1">
      <c r="A37" s="1"/>
      <c r="B37" s="73">
        <v>1.0</v>
      </c>
      <c r="C37" s="75" t="s">
        <v>44</v>
      </c>
      <c r="D37" s="74">
        <v>0.02</v>
      </c>
      <c r="E37" s="76">
        <f t="shared" si="1"/>
        <v>0.46</v>
      </c>
      <c r="F37" s="77">
        <v>0.0</v>
      </c>
      <c r="G37" s="76">
        <f t="shared" si="2"/>
        <v>0</v>
      </c>
      <c r="H37" s="79">
        <f t="shared" si="11"/>
        <v>0</v>
      </c>
      <c r="I37" s="80"/>
      <c r="J37" s="82" t="s">
        <v>108</v>
      </c>
      <c r="K37" s="83" t="s">
        <v>48</v>
      </c>
      <c r="L37" s="75">
        <v>3503.0</v>
      </c>
      <c r="M37" s="84" t="s">
        <v>49</v>
      </c>
      <c r="N37" s="76">
        <v>0.46</v>
      </c>
      <c r="O37" s="74" t="s">
        <v>44</v>
      </c>
      <c r="P37" s="86" t="s">
        <v>109</v>
      </c>
      <c r="Q37" s="89">
        <f t="shared" si="12"/>
        <v>0.02</v>
      </c>
      <c r="R37" s="90">
        <v>865.0</v>
      </c>
      <c r="S37" s="91">
        <f t="shared" si="13"/>
        <v>0</v>
      </c>
      <c r="T37" s="92">
        <f t="shared" si="14"/>
        <v>17.3</v>
      </c>
      <c r="U37" s="107"/>
      <c r="V37" s="25"/>
      <c r="W37" s="1"/>
      <c r="X37" s="1"/>
      <c r="Y37" s="1"/>
      <c r="Z37" s="1"/>
    </row>
    <row r="38" ht="14.25" hidden="1" customHeight="1">
      <c r="A38" s="1"/>
      <c r="B38" s="73">
        <v>1.0</v>
      </c>
      <c r="C38" s="75" t="s">
        <v>44</v>
      </c>
      <c r="D38" s="74">
        <v>0.02</v>
      </c>
      <c r="E38" s="76">
        <f t="shared" si="1"/>
        <v>0.52</v>
      </c>
      <c r="F38" s="77">
        <v>0.0</v>
      </c>
      <c r="G38" s="76">
        <f t="shared" si="2"/>
        <v>0</v>
      </c>
      <c r="H38" s="79">
        <f t="shared" si="11"/>
        <v>0</v>
      </c>
      <c r="I38" s="81"/>
      <c r="J38" s="82" t="s">
        <v>110</v>
      </c>
      <c r="K38" s="83" t="s">
        <v>48</v>
      </c>
      <c r="L38" s="75">
        <v>3503.0</v>
      </c>
      <c r="M38" s="84" t="s">
        <v>49</v>
      </c>
      <c r="N38" s="76">
        <v>0.52</v>
      </c>
      <c r="O38" s="74" t="s">
        <v>44</v>
      </c>
      <c r="P38" s="86" t="s">
        <v>111</v>
      </c>
      <c r="Q38" s="89">
        <f t="shared" si="12"/>
        <v>0.02</v>
      </c>
      <c r="R38" s="90">
        <v>865.0</v>
      </c>
      <c r="S38" s="91">
        <f t="shared" si="13"/>
        <v>0</v>
      </c>
      <c r="T38" s="92">
        <f t="shared" si="14"/>
        <v>17.3</v>
      </c>
      <c r="U38" s="107"/>
      <c r="V38" s="25"/>
      <c r="W38" s="1"/>
      <c r="X38" s="1"/>
      <c r="Y38" s="1"/>
      <c r="Z38" s="1"/>
    </row>
    <row r="39" ht="14.25" hidden="1" customHeight="1">
      <c r="A39" s="1"/>
      <c r="B39" s="73">
        <v>1.0</v>
      </c>
      <c r="C39" s="75" t="s">
        <v>44</v>
      </c>
      <c r="D39" s="74">
        <v>0.02</v>
      </c>
      <c r="E39" s="76">
        <f t="shared" si="1"/>
        <v>0.22</v>
      </c>
      <c r="F39" s="77">
        <v>0.0</v>
      </c>
      <c r="G39" s="76">
        <f t="shared" si="2"/>
        <v>0</v>
      </c>
      <c r="H39" s="79">
        <f t="shared" si="11"/>
        <v>0</v>
      </c>
      <c r="I39" s="81"/>
      <c r="J39" s="82" t="s">
        <v>113</v>
      </c>
      <c r="K39" s="83" t="s">
        <v>48</v>
      </c>
      <c r="L39" s="75">
        <v>3503.0</v>
      </c>
      <c r="M39" s="84" t="s">
        <v>49</v>
      </c>
      <c r="N39" s="76">
        <v>0.22</v>
      </c>
      <c r="O39" s="74" t="s">
        <v>44</v>
      </c>
      <c r="P39" s="86" t="s">
        <v>102</v>
      </c>
      <c r="Q39" s="89">
        <f t="shared" si="12"/>
        <v>0.02</v>
      </c>
      <c r="R39" s="90">
        <v>865.0</v>
      </c>
      <c r="S39" s="91">
        <f t="shared" si="13"/>
        <v>0</v>
      </c>
      <c r="T39" s="92">
        <f t="shared" si="14"/>
        <v>17.3</v>
      </c>
      <c r="U39" s="107"/>
      <c r="V39" s="25"/>
      <c r="W39" s="1"/>
      <c r="X39" s="1"/>
      <c r="Y39" s="1"/>
      <c r="Z39" s="1"/>
    </row>
    <row r="40" ht="14.25" hidden="1" customHeight="1">
      <c r="A40" s="1"/>
      <c r="B40" s="73">
        <v>1.0</v>
      </c>
      <c r="C40" s="75" t="s">
        <v>44</v>
      </c>
      <c r="D40" s="74">
        <v>0.02</v>
      </c>
      <c r="E40" s="76">
        <f t="shared" si="1"/>
        <v>0.51</v>
      </c>
      <c r="F40" s="77">
        <v>0.0</v>
      </c>
      <c r="G40" s="76">
        <f t="shared" si="2"/>
        <v>0</v>
      </c>
      <c r="H40" s="79">
        <f t="shared" si="11"/>
        <v>0</v>
      </c>
      <c r="I40" s="81"/>
      <c r="J40" s="82" t="s">
        <v>115</v>
      </c>
      <c r="K40" s="83" t="s">
        <v>48</v>
      </c>
      <c r="L40" s="75">
        <v>3503.0</v>
      </c>
      <c r="M40" s="84" t="s">
        <v>49</v>
      </c>
      <c r="N40" s="76">
        <v>0.51</v>
      </c>
      <c r="O40" s="74" t="s">
        <v>44</v>
      </c>
      <c r="P40" s="86" t="s">
        <v>116</v>
      </c>
      <c r="Q40" s="89">
        <f t="shared" si="12"/>
        <v>0.02</v>
      </c>
      <c r="R40" s="90">
        <v>865.0</v>
      </c>
      <c r="S40" s="91">
        <f t="shared" si="13"/>
        <v>0</v>
      </c>
      <c r="T40" s="92">
        <f t="shared" si="14"/>
        <v>17.3</v>
      </c>
      <c r="U40" s="107"/>
      <c r="V40" s="25"/>
      <c r="W40" s="1"/>
      <c r="X40" s="1"/>
      <c r="Y40" s="1"/>
      <c r="Z40" s="1"/>
    </row>
    <row r="41" ht="14.25" hidden="1" customHeight="1">
      <c r="A41" s="1"/>
      <c r="B41" s="73">
        <v>1.0</v>
      </c>
      <c r="C41" s="75" t="s">
        <v>44</v>
      </c>
      <c r="D41" s="74">
        <v>0.02</v>
      </c>
      <c r="E41" s="76">
        <f t="shared" si="1"/>
        <v>0.54</v>
      </c>
      <c r="F41" s="77">
        <v>0.0</v>
      </c>
      <c r="G41" s="76">
        <f t="shared" si="2"/>
        <v>0</v>
      </c>
      <c r="H41" s="79">
        <f t="shared" si="11"/>
        <v>0</v>
      </c>
      <c r="I41" s="81"/>
      <c r="J41" s="82" t="s">
        <v>118</v>
      </c>
      <c r="K41" s="83" t="s">
        <v>48</v>
      </c>
      <c r="L41" s="75">
        <v>3503.0</v>
      </c>
      <c r="M41" s="84" t="s">
        <v>49</v>
      </c>
      <c r="N41" s="76">
        <v>0.54</v>
      </c>
      <c r="O41" s="74" t="s">
        <v>44</v>
      </c>
      <c r="P41" s="86" t="s">
        <v>119</v>
      </c>
      <c r="Q41" s="89">
        <f t="shared" si="12"/>
        <v>0.02</v>
      </c>
      <c r="R41" s="90">
        <v>865.0</v>
      </c>
      <c r="S41" s="91">
        <f t="shared" si="13"/>
        <v>0</v>
      </c>
      <c r="T41" s="92">
        <f t="shared" si="14"/>
        <v>17.3</v>
      </c>
      <c r="U41" s="107"/>
      <c r="V41" s="25"/>
      <c r="W41" s="1"/>
      <c r="X41" s="1"/>
      <c r="Y41" s="1"/>
      <c r="Z41" s="1"/>
    </row>
    <row r="42" ht="14.25" hidden="1" customHeight="1">
      <c r="A42" s="1"/>
      <c r="B42" s="73">
        <v>1.0</v>
      </c>
      <c r="C42" s="75" t="s">
        <v>44</v>
      </c>
      <c r="D42" s="74">
        <v>0.02</v>
      </c>
      <c r="E42" s="76">
        <f t="shared" si="1"/>
        <v>0.22</v>
      </c>
      <c r="F42" s="77">
        <v>0.0</v>
      </c>
      <c r="G42" s="76">
        <f t="shared" si="2"/>
        <v>0</v>
      </c>
      <c r="H42" s="79">
        <f t="shared" si="11"/>
        <v>0</v>
      </c>
      <c r="I42" s="81"/>
      <c r="J42" s="82" t="s">
        <v>121</v>
      </c>
      <c r="K42" s="83" t="s">
        <v>48</v>
      </c>
      <c r="L42" s="75">
        <v>3503.0</v>
      </c>
      <c r="M42" s="84" t="s">
        <v>49</v>
      </c>
      <c r="N42" s="76">
        <v>0.22</v>
      </c>
      <c r="O42" s="74" t="s">
        <v>44</v>
      </c>
      <c r="P42" s="86" t="s">
        <v>102</v>
      </c>
      <c r="Q42" s="89">
        <f t="shared" si="12"/>
        <v>0.02</v>
      </c>
      <c r="R42" s="90">
        <v>865.0</v>
      </c>
      <c r="S42" s="91">
        <f t="shared" si="13"/>
        <v>0</v>
      </c>
      <c r="T42" s="92">
        <f t="shared" si="14"/>
        <v>17.3</v>
      </c>
      <c r="U42" s="107"/>
      <c r="V42" s="25"/>
      <c r="W42" s="1"/>
      <c r="X42" s="1"/>
      <c r="Y42" s="1"/>
      <c r="Z42" s="1"/>
    </row>
    <row r="43" ht="14.25" hidden="1" customHeight="1">
      <c r="A43" s="1"/>
      <c r="B43" s="73">
        <v>1.0</v>
      </c>
      <c r="C43" s="75" t="s">
        <v>44</v>
      </c>
      <c r="D43" s="74">
        <v>0.02</v>
      </c>
      <c r="E43" s="76">
        <f t="shared" si="1"/>
        <v>0.49</v>
      </c>
      <c r="F43" s="77">
        <v>0.0</v>
      </c>
      <c r="G43" s="76">
        <f t="shared" si="2"/>
        <v>0</v>
      </c>
      <c r="H43" s="79">
        <f t="shared" si="11"/>
        <v>0</v>
      </c>
      <c r="I43" s="81"/>
      <c r="J43" s="82" t="s">
        <v>124</v>
      </c>
      <c r="K43" s="83" t="s">
        <v>48</v>
      </c>
      <c r="L43" s="75">
        <v>3503.0</v>
      </c>
      <c r="M43" s="84" t="s">
        <v>49</v>
      </c>
      <c r="N43" s="76">
        <v>0.49</v>
      </c>
      <c r="O43" s="74" t="s">
        <v>44</v>
      </c>
      <c r="P43" s="86" t="s">
        <v>125</v>
      </c>
      <c r="Q43" s="89">
        <f t="shared" si="12"/>
        <v>0.02</v>
      </c>
      <c r="R43" s="90">
        <v>865.0</v>
      </c>
      <c r="S43" s="91">
        <f t="shared" si="13"/>
        <v>0</v>
      </c>
      <c r="T43" s="92">
        <f t="shared" si="14"/>
        <v>17.3</v>
      </c>
      <c r="U43" s="107"/>
      <c r="V43" s="25"/>
      <c r="W43" s="1"/>
      <c r="X43" s="1"/>
      <c r="Y43" s="1"/>
      <c r="Z43" s="1"/>
    </row>
    <row r="44" ht="14.25" customHeight="1">
      <c r="A44" s="1"/>
      <c r="B44" s="73">
        <v>1.0</v>
      </c>
      <c r="C44" s="75" t="s">
        <v>44</v>
      </c>
      <c r="D44" s="74">
        <v>0.02</v>
      </c>
      <c r="E44" s="76">
        <f t="shared" si="1"/>
        <v>0.43</v>
      </c>
      <c r="F44" s="77">
        <v>0.0</v>
      </c>
      <c r="G44" s="76">
        <f t="shared" si="2"/>
        <v>0</v>
      </c>
      <c r="H44" s="79">
        <f t="shared" si="11"/>
        <v>0</v>
      </c>
      <c r="I44" s="81">
        <v>15.0</v>
      </c>
      <c r="J44" s="82" t="s">
        <v>127</v>
      </c>
      <c r="K44" s="83" t="s">
        <v>48</v>
      </c>
      <c r="L44" s="75">
        <v>3503.0</v>
      </c>
      <c r="M44" s="84" t="s">
        <v>49</v>
      </c>
      <c r="N44" s="76">
        <v>0.43</v>
      </c>
      <c r="O44" s="74" t="s">
        <v>44</v>
      </c>
      <c r="P44" s="86" t="s">
        <v>129</v>
      </c>
      <c r="Q44" s="89">
        <f t="shared" si="12"/>
        <v>0.02</v>
      </c>
      <c r="R44" s="90">
        <v>865.0</v>
      </c>
      <c r="S44" s="91">
        <f t="shared" si="13"/>
        <v>0</v>
      </c>
      <c r="T44" s="92">
        <f t="shared" si="14"/>
        <v>17.3</v>
      </c>
      <c r="U44" s="107"/>
      <c r="V44" s="25"/>
      <c r="W44" s="1"/>
      <c r="X44" s="1"/>
      <c r="Y44" s="1"/>
      <c r="Z44" s="1"/>
    </row>
    <row r="45" ht="14.25" customHeight="1">
      <c r="A45" s="1"/>
      <c r="B45" s="73">
        <v>1.0</v>
      </c>
      <c r="C45" s="75" t="s">
        <v>44</v>
      </c>
      <c r="D45" s="74">
        <v>0.02</v>
      </c>
      <c r="E45" s="76">
        <f t="shared" si="1"/>
        <v>0.43</v>
      </c>
      <c r="F45" s="77">
        <v>0.0</v>
      </c>
      <c r="G45" s="76">
        <f t="shared" si="2"/>
        <v>0</v>
      </c>
      <c r="H45" s="79">
        <f t="shared" si="11"/>
        <v>0</v>
      </c>
      <c r="I45" s="81"/>
      <c r="J45" s="82" t="s">
        <v>130</v>
      </c>
      <c r="K45" s="83" t="s">
        <v>48</v>
      </c>
      <c r="L45" s="75">
        <v>3503.0</v>
      </c>
      <c r="M45" s="84" t="s">
        <v>49</v>
      </c>
      <c r="N45" s="76">
        <v>0.43</v>
      </c>
      <c r="O45" s="74" t="s">
        <v>44</v>
      </c>
      <c r="P45" s="86" t="s">
        <v>131</v>
      </c>
      <c r="Q45" s="89">
        <f t="shared" si="12"/>
        <v>0.02</v>
      </c>
      <c r="R45" s="90">
        <v>865.0</v>
      </c>
      <c r="S45" s="91">
        <f t="shared" si="13"/>
        <v>0</v>
      </c>
      <c r="T45" s="92">
        <f t="shared" si="14"/>
        <v>17.3</v>
      </c>
      <c r="U45" s="129" t="s">
        <v>133</v>
      </c>
      <c r="V45" s="25"/>
      <c r="W45" s="1"/>
      <c r="X45" s="1"/>
      <c r="Y45" s="1"/>
      <c r="Z45" s="1"/>
    </row>
    <row r="46" ht="14.25" hidden="1" customHeight="1">
      <c r="A46" s="1"/>
      <c r="B46" s="73">
        <v>1.0</v>
      </c>
      <c r="C46" s="75" t="s">
        <v>44</v>
      </c>
      <c r="D46" s="74">
        <v>0.02</v>
      </c>
      <c r="E46" s="76">
        <f t="shared" si="1"/>
        <v>0.245</v>
      </c>
      <c r="F46" s="77">
        <v>0.0</v>
      </c>
      <c r="G46" s="76">
        <f t="shared" si="2"/>
        <v>0</v>
      </c>
      <c r="H46" s="79">
        <f t="shared" si="11"/>
        <v>0</v>
      </c>
      <c r="I46" s="81">
        <v>300.0</v>
      </c>
      <c r="J46" s="82" t="s">
        <v>135</v>
      </c>
      <c r="K46" s="83" t="s">
        <v>48</v>
      </c>
      <c r="L46" s="75">
        <v>3503.0</v>
      </c>
      <c r="M46" s="84" t="s">
        <v>49</v>
      </c>
      <c r="N46" s="76">
        <v>0.245</v>
      </c>
      <c r="O46" s="74" t="s">
        <v>44</v>
      </c>
      <c r="P46" s="86" t="s">
        <v>136</v>
      </c>
      <c r="Q46" s="89">
        <f t="shared" si="12"/>
        <v>0.02</v>
      </c>
      <c r="R46" s="90">
        <v>865.0</v>
      </c>
      <c r="S46" s="91">
        <f t="shared" si="13"/>
        <v>0</v>
      </c>
      <c r="T46" s="92">
        <f t="shared" si="14"/>
        <v>17.3</v>
      </c>
      <c r="U46" s="107"/>
      <c r="V46" s="25"/>
      <c r="W46" s="1"/>
      <c r="X46" s="1"/>
      <c r="Y46" s="1"/>
      <c r="Z46" s="1"/>
    </row>
    <row r="47" ht="14.25" hidden="1" customHeight="1">
      <c r="A47" s="1"/>
      <c r="B47" s="73">
        <v>1.0</v>
      </c>
      <c r="C47" s="75" t="s">
        <v>44</v>
      </c>
      <c r="D47" s="74">
        <v>0.02</v>
      </c>
      <c r="E47" s="78">
        <f t="shared" si="1"/>
        <v>0.48</v>
      </c>
      <c r="F47" s="77">
        <v>0.0</v>
      </c>
      <c r="G47" s="76">
        <f t="shared" si="2"/>
        <v>0</v>
      </c>
      <c r="H47" s="79">
        <f t="shared" si="11"/>
        <v>0</v>
      </c>
      <c r="I47" s="81"/>
      <c r="J47" s="82" t="s">
        <v>138</v>
      </c>
      <c r="K47" s="83" t="s">
        <v>48</v>
      </c>
      <c r="L47" s="75">
        <v>3503.0</v>
      </c>
      <c r="M47" s="84" t="s">
        <v>49</v>
      </c>
      <c r="N47" s="78">
        <v>0.48</v>
      </c>
      <c r="O47" s="74" t="s">
        <v>44</v>
      </c>
      <c r="P47" s="86" t="s">
        <v>140</v>
      </c>
      <c r="Q47" s="89">
        <f t="shared" si="12"/>
        <v>0.02</v>
      </c>
      <c r="R47" s="90">
        <v>865.0</v>
      </c>
      <c r="S47" s="91">
        <f t="shared" si="13"/>
        <v>0</v>
      </c>
      <c r="T47" s="92">
        <f t="shared" si="14"/>
        <v>17.3</v>
      </c>
      <c r="U47" s="107"/>
      <c r="V47" s="25"/>
      <c r="W47" s="1"/>
      <c r="X47" s="1"/>
      <c r="Y47" s="1"/>
      <c r="Z47" s="1"/>
    </row>
    <row r="48" ht="14.25" hidden="1" customHeight="1">
      <c r="A48" s="1"/>
      <c r="B48" s="99"/>
      <c r="C48" s="5"/>
      <c r="D48" s="5"/>
      <c r="E48" s="94"/>
      <c r="F48" s="95"/>
      <c r="G48" s="96"/>
      <c r="H48" s="79"/>
      <c r="I48" s="97">
        <v>15.0</v>
      </c>
      <c r="J48" s="98" t="s">
        <v>142</v>
      </c>
      <c r="K48" s="83"/>
      <c r="L48" s="75"/>
      <c r="M48" s="84"/>
      <c r="N48" s="131" t="s">
        <v>143</v>
      </c>
      <c r="O48" s="95"/>
      <c r="P48" s="86"/>
      <c r="Q48" s="89"/>
      <c r="R48" s="90"/>
      <c r="S48" s="90"/>
      <c r="T48" s="90"/>
      <c r="U48" s="133"/>
      <c r="V48" s="1"/>
      <c r="W48" s="1"/>
      <c r="X48" s="1"/>
      <c r="Y48" s="1"/>
      <c r="Z48" s="1"/>
    </row>
    <row r="49" ht="14.25" hidden="1" customHeight="1">
      <c r="A49" s="1"/>
      <c r="B49" s="99"/>
      <c r="C49" s="5"/>
      <c r="D49" s="5"/>
      <c r="E49" s="94"/>
      <c r="F49" s="95"/>
      <c r="G49" s="96"/>
      <c r="H49" s="79"/>
      <c r="I49" s="97">
        <v>10.0</v>
      </c>
      <c r="J49" s="98" t="s">
        <v>144</v>
      </c>
      <c r="K49" s="83"/>
      <c r="L49" s="75"/>
      <c r="M49" s="134"/>
      <c r="N49" s="135" t="s">
        <v>145</v>
      </c>
      <c r="O49" s="136"/>
      <c r="P49" s="137"/>
      <c r="Q49" s="138"/>
      <c r="R49" s="94"/>
      <c r="S49" s="90"/>
      <c r="T49" s="90"/>
      <c r="U49" s="133"/>
      <c r="V49" s="1"/>
      <c r="W49" s="1"/>
      <c r="X49" s="1"/>
      <c r="Y49" s="1"/>
      <c r="Z49" s="1"/>
    </row>
    <row r="50" ht="14.25" customHeight="1">
      <c r="A50" s="1"/>
      <c r="B50" s="99"/>
      <c r="C50" s="5"/>
      <c r="D50" s="5"/>
      <c r="E50" s="94"/>
      <c r="F50" s="95"/>
      <c r="G50" s="96"/>
      <c r="H50" s="79"/>
      <c r="I50" s="97"/>
      <c r="J50" s="120" t="s">
        <v>146</v>
      </c>
      <c r="K50" s="83" t="s">
        <v>48</v>
      </c>
      <c r="L50" s="75">
        <v>3503.0</v>
      </c>
      <c r="M50" s="84" t="s">
        <v>49</v>
      </c>
      <c r="N50" s="121">
        <v>0.12</v>
      </c>
      <c r="O50" s="123" t="s">
        <v>120</v>
      </c>
      <c r="P50" s="139" t="s">
        <v>147</v>
      </c>
      <c r="Q50" s="89"/>
      <c r="R50" s="90"/>
      <c r="S50" s="90"/>
      <c r="T50" s="90"/>
      <c r="U50" s="133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20" t="s">
        <v>148</v>
      </c>
      <c r="K51" s="83" t="s">
        <v>48</v>
      </c>
      <c r="L51" s="75">
        <v>3503.0</v>
      </c>
      <c r="M51" s="83" t="s">
        <v>49</v>
      </c>
      <c r="N51" s="121">
        <v>0.06</v>
      </c>
      <c r="O51" s="123" t="s">
        <v>120</v>
      </c>
      <c r="P51" s="119" t="s">
        <v>149</v>
      </c>
      <c r="Q51" s="126"/>
      <c r="R51" s="84"/>
      <c r="S51" s="127"/>
      <c r="T51" s="84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J52" s="120" t="s">
        <v>150</v>
      </c>
      <c r="K52" s="140" t="s">
        <v>48</v>
      </c>
      <c r="L52" s="75">
        <v>3503.0</v>
      </c>
      <c r="M52" s="83" t="s">
        <v>49</v>
      </c>
      <c r="N52" s="121">
        <v>0.06</v>
      </c>
      <c r="O52" s="123" t="s">
        <v>120</v>
      </c>
      <c r="P52" s="146" t="s">
        <v>151</v>
      </c>
      <c r="Q52" s="130"/>
      <c r="R52" s="128"/>
      <c r="S52" s="128"/>
      <c r="T52" s="128"/>
      <c r="U52" s="103"/>
      <c r="V52" s="148"/>
      <c r="W52" s="53"/>
      <c r="X52" s="52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J53" s="120" t="s">
        <v>152</v>
      </c>
      <c r="K53" s="83" t="s">
        <v>48</v>
      </c>
      <c r="L53" s="75">
        <v>3503.0</v>
      </c>
      <c r="M53" s="83" t="s">
        <v>49</v>
      </c>
      <c r="N53" s="121">
        <v>0.06</v>
      </c>
      <c r="O53" s="123" t="s">
        <v>120</v>
      </c>
      <c r="P53" s="146" t="s">
        <v>153</v>
      </c>
      <c r="U53" s="47"/>
      <c r="V53" s="148"/>
      <c r="W53" s="53"/>
      <c r="X53" s="52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J54" s="120" t="s">
        <v>154</v>
      </c>
      <c r="K54" s="83" t="s">
        <v>48</v>
      </c>
      <c r="L54" s="75">
        <v>3503.0</v>
      </c>
      <c r="M54" s="83" t="s">
        <v>49</v>
      </c>
      <c r="N54" s="121">
        <v>0.06</v>
      </c>
      <c r="O54" s="123" t="s">
        <v>120</v>
      </c>
      <c r="P54" s="146" t="s">
        <v>155</v>
      </c>
      <c r="U54" s="47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J55" s="120" t="s">
        <v>156</v>
      </c>
      <c r="K55" s="83" t="s">
        <v>48</v>
      </c>
      <c r="L55" s="75">
        <v>3503.0</v>
      </c>
      <c r="M55" s="83" t="s">
        <v>49</v>
      </c>
      <c r="N55" s="121">
        <v>0.05</v>
      </c>
      <c r="O55" s="123" t="s">
        <v>120</v>
      </c>
      <c r="P55" s="149" t="s">
        <v>157</v>
      </c>
      <c r="U55" s="47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U56" s="47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50"/>
      <c r="L57" s="1"/>
      <c r="M57" s="1"/>
      <c r="N57" s="100" t="s">
        <v>67</v>
      </c>
      <c r="O57" s="6"/>
      <c r="P57" s="6"/>
      <c r="Q57" s="102">
        <f>SUM(Q19:Q50)</f>
        <v>0.5</v>
      </c>
      <c r="R57" s="1"/>
      <c r="S57" s="102"/>
      <c r="T57" s="103">
        <f>SUM(T22:T47)</f>
        <v>311.4</v>
      </c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5" t="s">
        <v>75</v>
      </c>
      <c r="J58" s="6"/>
      <c r="K58" s="6"/>
      <c r="L58" s="6"/>
      <c r="M58" s="1" t="s">
        <v>77</v>
      </c>
      <c r="N58" s="104"/>
      <c r="O58" s="8"/>
      <c r="P58" s="8"/>
      <c r="Q58" s="8"/>
      <c r="R58" s="8"/>
      <c r="S58" s="8"/>
      <c r="T58" s="1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83" t="s">
        <v>81</v>
      </c>
      <c r="J59" s="8"/>
      <c r="K59" s="8"/>
      <c r="L59" s="11"/>
      <c r="M59" s="1"/>
      <c r="N59" s="104"/>
      <c r="O59" s="8"/>
      <c r="P59" s="8"/>
      <c r="Q59" s="8"/>
      <c r="R59" s="8"/>
      <c r="S59" s="8"/>
      <c r="T59" s="1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5" t="s">
        <v>82</v>
      </c>
      <c r="J60" s="6"/>
      <c r="K60" s="6"/>
      <c r="L60" s="6"/>
      <c r="M60" s="1"/>
      <c r="N60" s="104"/>
      <c r="O60" s="8"/>
      <c r="P60" s="8"/>
      <c r="Q60" s="8"/>
      <c r="R60" s="8"/>
      <c r="S60" s="8"/>
      <c r="T60" s="1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05" t="s">
        <v>84</v>
      </c>
      <c r="J61" s="106"/>
      <c r="K61" s="106"/>
      <c r="L61" s="106"/>
      <c r="M61" s="1"/>
      <c r="N61" s="104"/>
      <c r="O61" s="8"/>
      <c r="P61" s="8"/>
      <c r="Q61" s="8"/>
      <c r="R61" s="8"/>
      <c r="S61" s="8"/>
      <c r="T61" s="1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3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3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3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3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3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3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3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3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3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3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3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3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3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3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3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3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3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U$55">
    <filterColumn colId="8">
      <filters>
        <filter val="ESPUMA ENCOSTO SOFÁ LAVIÊ MODELADO"/>
        <filter val="ESPUMA CABEÇOTE DE IRON MODELADO"/>
        <filter val="ESPUMA ASSENTO DE IRON MODELADO"/>
        <filter val="ESPUMA ENCOSTO DE IRON MODELADO"/>
        <filter val="MOCHO ASSENTO SELA"/>
        <filter val="ESPUMA ENCOSTO FERRARI MODELADO"/>
        <filter val="MOCHO ENCOSTO"/>
        <filter val="ESPUMA ASSENTO FERRARI MODELADO"/>
      </filters>
    </filterColumn>
  </autoFilter>
  <mergeCells count="50">
    <mergeCell ref="M17:M18"/>
    <mergeCell ref="N17:P17"/>
    <mergeCell ref="L13:O13"/>
    <mergeCell ref="M14:O14"/>
    <mergeCell ref="L15:P15"/>
    <mergeCell ref="Q15:T15"/>
    <mergeCell ref="I17:I18"/>
    <mergeCell ref="J17:J18"/>
    <mergeCell ref="K17:L18"/>
    <mergeCell ref="L7:O7"/>
    <mergeCell ref="S7:T7"/>
    <mergeCell ref="M2:Q2"/>
    <mergeCell ref="L3:Q3"/>
    <mergeCell ref="K4:Q4"/>
    <mergeCell ref="K5:Q5"/>
    <mergeCell ref="I6:K6"/>
    <mergeCell ref="L6:T6"/>
    <mergeCell ref="I7:J7"/>
    <mergeCell ref="S9:T9"/>
    <mergeCell ref="S10:T10"/>
    <mergeCell ref="S11:T11"/>
    <mergeCell ref="S12:T12"/>
    <mergeCell ref="S13:T13"/>
    <mergeCell ref="I8:K8"/>
    <mergeCell ref="L8:O8"/>
    <mergeCell ref="S8:T8"/>
    <mergeCell ref="I9:K9"/>
    <mergeCell ref="L9:O9"/>
    <mergeCell ref="I10:K10"/>
    <mergeCell ref="L10:O10"/>
    <mergeCell ref="I11:K11"/>
    <mergeCell ref="L11:M11"/>
    <mergeCell ref="N11:O11"/>
    <mergeCell ref="I12:K12"/>
    <mergeCell ref="L12:O12"/>
    <mergeCell ref="I13:K13"/>
    <mergeCell ref="Q13:R13"/>
    <mergeCell ref="I60:L60"/>
    <mergeCell ref="I58:L58"/>
    <mergeCell ref="I59:L59"/>
    <mergeCell ref="N60:T60"/>
    <mergeCell ref="N61:T61"/>
    <mergeCell ref="S17:S18"/>
    <mergeCell ref="T17:T18"/>
    <mergeCell ref="I61:L61"/>
    <mergeCell ref="N59:T59"/>
    <mergeCell ref="N58:T58"/>
    <mergeCell ref="N57:P57"/>
    <mergeCell ref="Q17:Q18"/>
    <mergeCell ref="R17:R18"/>
  </mergeCells>
  <dataValidations>
    <dataValidation type="list" allowBlank="1" showErrorMessage="1" sqref="K19:K55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hidden="1" min="2" max="5" width="8.71"/>
    <col customWidth="1" hidden="1" min="6" max="6" width="1.43"/>
    <col customWidth="1" min="7" max="7" width="8.71"/>
    <col customWidth="1" min="8" max="8" width="38.0"/>
    <col customWidth="1" min="9" max="9" width="5.0"/>
    <col customWidth="1" min="10" max="10" width="5.86"/>
    <col customWidth="1" min="11" max="11" width="13.14"/>
    <col customWidth="1" min="12" max="12" width="7.0"/>
    <col customWidth="1" min="13" max="13" width="1.43"/>
    <col customWidth="1" min="14" max="14" width="6.29"/>
    <col customWidth="1" min="15" max="15" width="1.43"/>
    <col customWidth="1" min="16" max="16" width="6.43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14.71"/>
    <col customWidth="1" min="2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1"/>
      <c r="H3" s="2"/>
      <c r="I3" s="1"/>
      <c r="J3" s="1" t="s">
        <v>0</v>
      </c>
      <c r="R3" s="4"/>
      <c r="S3" s="4"/>
      <c r="T3" s="1"/>
      <c r="U3" s="1"/>
      <c r="V3" s="1"/>
      <c r="W3" s="1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1"/>
      <c r="H4" s="2"/>
      <c r="I4" s="1" t="s">
        <v>1</v>
      </c>
      <c r="R4" s="4"/>
      <c r="S4" s="4"/>
      <c r="T4" s="1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1"/>
      <c r="H5" s="2"/>
      <c r="I5" s="5" t="s">
        <v>2</v>
      </c>
      <c r="J5" s="6"/>
      <c r="K5" s="6"/>
      <c r="L5" s="6"/>
      <c r="M5" s="6"/>
      <c r="N5" s="6"/>
      <c r="O5" s="6"/>
      <c r="P5" s="6"/>
      <c r="Q5" s="6"/>
      <c r="R5" s="4"/>
      <c r="S5" s="4"/>
      <c r="T5" s="1"/>
      <c r="U5" s="1"/>
      <c r="V5" s="4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7" t="s">
        <v>3</v>
      </c>
      <c r="H6" s="8"/>
      <c r="I6" s="9"/>
      <c r="J6" s="10" t="s">
        <v>4</v>
      </c>
      <c r="K6" s="8"/>
      <c r="L6" s="8"/>
      <c r="M6" s="8"/>
      <c r="N6" s="8"/>
      <c r="O6" s="8"/>
      <c r="P6" s="8"/>
      <c r="Q6" s="8"/>
      <c r="R6" s="8"/>
      <c r="S6" s="8"/>
      <c r="T6" s="1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7" t="s">
        <v>5</v>
      </c>
      <c r="H7" s="9"/>
      <c r="I7" s="13"/>
      <c r="J7" s="14" t="s">
        <v>6</v>
      </c>
      <c r="K7" s="15"/>
      <c r="L7" s="15"/>
      <c r="M7" s="15"/>
      <c r="N7" s="15"/>
      <c r="O7" s="16"/>
      <c r="P7" s="17"/>
      <c r="Q7" s="18" t="s">
        <v>7</v>
      </c>
      <c r="R7" s="19"/>
      <c r="S7" s="20"/>
      <c r="T7" s="2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7" t="s">
        <v>8</v>
      </c>
      <c r="H8" s="8"/>
      <c r="I8" s="9"/>
      <c r="J8" s="10"/>
      <c r="K8" s="8"/>
      <c r="L8" s="8"/>
      <c r="M8" s="8"/>
      <c r="N8" s="8"/>
      <c r="O8" s="9"/>
      <c r="P8" s="22"/>
      <c r="Q8" s="13" t="s">
        <v>9</v>
      </c>
      <c r="R8" s="23"/>
      <c r="S8" s="10"/>
      <c r="T8" s="11"/>
      <c r="U8" s="25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7" t="s">
        <v>10</v>
      </c>
      <c r="H9" s="8"/>
      <c r="I9" s="9"/>
      <c r="J9" s="10"/>
      <c r="K9" s="8"/>
      <c r="L9" s="8"/>
      <c r="M9" s="8"/>
      <c r="N9" s="8"/>
      <c r="O9" s="9"/>
      <c r="P9" s="22"/>
      <c r="Q9" s="14" t="s">
        <v>12</v>
      </c>
      <c r="R9" s="16"/>
      <c r="S9" s="27"/>
      <c r="T9" s="1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7" t="s">
        <v>13</v>
      </c>
      <c r="H10" s="8"/>
      <c r="I10" s="9"/>
      <c r="J10" s="10"/>
      <c r="K10" s="8"/>
      <c r="L10" s="8"/>
      <c r="M10" s="8"/>
      <c r="N10" s="8"/>
      <c r="O10" s="9"/>
      <c r="P10" s="22"/>
      <c r="Q10" s="14" t="s">
        <v>15</v>
      </c>
      <c r="R10" s="16"/>
      <c r="S10" s="10"/>
      <c r="T10" s="1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7" t="s">
        <v>16</v>
      </c>
      <c r="H11" s="8"/>
      <c r="I11" s="9"/>
      <c r="J11" s="30"/>
      <c r="K11" s="8"/>
      <c r="L11" s="8"/>
      <c r="M11" s="8"/>
      <c r="N11" s="8"/>
      <c r="O11" s="9"/>
      <c r="P11" s="22"/>
      <c r="Q11" s="14" t="s">
        <v>17</v>
      </c>
      <c r="R11" s="16"/>
      <c r="S11" s="33"/>
      <c r="T11" s="1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7" t="s">
        <v>18</v>
      </c>
      <c r="H12" s="8"/>
      <c r="I12" s="9"/>
      <c r="J12" s="35"/>
      <c r="K12" s="8"/>
      <c r="L12" s="8"/>
      <c r="M12" s="8"/>
      <c r="N12" s="8"/>
      <c r="O12" s="9"/>
      <c r="P12" s="22"/>
      <c r="Q12" s="18" t="s">
        <v>19</v>
      </c>
      <c r="R12" s="36"/>
      <c r="S12" s="38"/>
      <c r="T12" s="1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7" t="s">
        <v>20</v>
      </c>
      <c r="H13" s="8"/>
      <c r="I13" s="9"/>
      <c r="J13" s="10"/>
      <c r="K13" s="8"/>
      <c r="L13" s="8"/>
      <c r="M13" s="8"/>
      <c r="N13" s="8"/>
      <c r="O13" s="9"/>
      <c r="P13" s="22"/>
      <c r="Q13" s="14" t="s">
        <v>22</v>
      </c>
      <c r="R13" s="16"/>
      <c r="S13" s="40"/>
      <c r="T13" s="11"/>
      <c r="U13" s="1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2"/>
      <c r="H14" s="43"/>
      <c r="I14" s="4"/>
      <c r="J14" s="4"/>
      <c r="K14" s="44"/>
      <c r="P14" s="3"/>
      <c r="Q14" s="1"/>
      <c r="R14" s="1"/>
      <c r="S14" s="1"/>
      <c r="T14" s="42"/>
      <c r="U14" s="42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5" t="s">
        <v>23</v>
      </c>
      <c r="H15" s="46"/>
      <c r="I15" s="44"/>
      <c r="J15" s="1"/>
      <c r="K15" s="44" t="s">
        <v>25</v>
      </c>
      <c r="O15" s="44"/>
      <c r="P15" s="3"/>
      <c r="Q15" s="48"/>
      <c r="R15" s="49"/>
      <c r="S15" s="49"/>
      <c r="T15" s="50"/>
      <c r="U15" s="42"/>
      <c r="V15" s="4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54" t="s">
        <v>27</v>
      </c>
      <c r="H17" s="54" t="s">
        <v>28</v>
      </c>
      <c r="I17" s="55" t="s">
        <v>29</v>
      </c>
      <c r="J17" s="56"/>
      <c r="K17" s="57" t="s">
        <v>30</v>
      </c>
      <c r="L17" s="58" t="s">
        <v>31</v>
      </c>
      <c r="M17" s="60"/>
      <c r="N17" s="60"/>
      <c r="O17" s="60"/>
      <c r="P17" s="62"/>
      <c r="Q17" s="54" t="s">
        <v>32</v>
      </c>
      <c r="R17" s="63" t="s">
        <v>33</v>
      </c>
      <c r="S17" s="63" t="s">
        <v>34</v>
      </c>
      <c r="T17" s="54" t="s">
        <v>35</v>
      </c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65"/>
      <c r="H18" s="65"/>
      <c r="I18" s="66"/>
      <c r="J18" s="67"/>
      <c r="K18" s="68"/>
      <c r="L18" s="69" t="s">
        <v>36</v>
      </c>
      <c r="M18" s="71"/>
      <c r="N18" s="70" t="s">
        <v>40</v>
      </c>
      <c r="O18" s="71"/>
      <c r="P18" s="72" t="s">
        <v>43</v>
      </c>
      <c r="Q18" s="65"/>
      <c r="R18" s="65"/>
      <c r="S18" s="65"/>
      <c r="T18" s="65"/>
      <c r="U18" s="1"/>
      <c r="V18" s="1"/>
      <c r="W18" s="1"/>
      <c r="X18" s="1"/>
      <c r="Y18" s="1"/>
      <c r="Z18" s="1"/>
    </row>
    <row r="19" ht="14.25" customHeight="1">
      <c r="A19" s="1"/>
      <c r="B19" s="74">
        <v>0.01</v>
      </c>
      <c r="C19" s="76">
        <f t="shared" ref="C19:C37" si="1">SUM(N19)</f>
        <v>0.465</v>
      </c>
      <c r="D19" s="77">
        <v>0.01</v>
      </c>
      <c r="E19" s="76">
        <f t="shared" ref="E19:E37" si="2">SUM(P19)</f>
        <v>0.25</v>
      </c>
      <c r="F19" s="79">
        <f t="shared" ref="F19:F22" si="3">SUM(L19*C19*E19)</f>
        <v>0.016275</v>
      </c>
      <c r="G19" s="81"/>
      <c r="H19" s="82" t="s">
        <v>46</v>
      </c>
      <c r="I19" s="83" t="s">
        <v>48</v>
      </c>
      <c r="J19" s="75">
        <v>3503.0</v>
      </c>
      <c r="K19" s="84" t="s">
        <v>49</v>
      </c>
      <c r="L19" s="85">
        <v>0.14</v>
      </c>
      <c r="M19" s="87" t="s">
        <v>44</v>
      </c>
      <c r="N19" s="87">
        <v>0.465</v>
      </c>
      <c r="O19" s="87" t="s">
        <v>44</v>
      </c>
      <c r="P19" s="88">
        <v>0.25</v>
      </c>
      <c r="Q19" s="89">
        <f t="shared" ref="Q19:Q37" si="4">SUM(G19*L19*C19*E19)</f>
        <v>0</v>
      </c>
      <c r="R19" s="90">
        <v>865.0</v>
      </c>
      <c r="S19" s="91">
        <f t="shared" ref="S19:S37" si="5">SUM(L19*C19*E19*R19)</f>
        <v>14.077875</v>
      </c>
      <c r="T19" s="92">
        <f t="shared" ref="T19:T22" si="6">SUM(G19*S19)</f>
        <v>0</v>
      </c>
      <c r="U19" s="1"/>
      <c r="V19" s="1"/>
      <c r="W19" s="1"/>
      <c r="X19" s="1"/>
      <c r="Y19" s="1"/>
      <c r="Z19" s="1"/>
    </row>
    <row r="20" ht="14.25" customHeight="1">
      <c r="A20" s="1"/>
      <c r="B20" s="74">
        <v>0.01</v>
      </c>
      <c r="C20" s="76">
        <f t="shared" si="1"/>
        <v>0.61</v>
      </c>
      <c r="D20" s="77">
        <v>0.01</v>
      </c>
      <c r="E20" s="76">
        <f t="shared" si="2"/>
        <v>0.4</v>
      </c>
      <c r="F20" s="79">
        <f t="shared" si="3"/>
        <v>0.00122</v>
      </c>
      <c r="G20" s="81"/>
      <c r="H20" s="82" t="s">
        <v>52</v>
      </c>
      <c r="I20" s="83" t="s">
        <v>48</v>
      </c>
      <c r="J20" s="75">
        <v>3503.0</v>
      </c>
      <c r="K20" s="84" t="s">
        <v>49</v>
      </c>
      <c r="L20" s="85">
        <v>0.005</v>
      </c>
      <c r="M20" s="87" t="s">
        <v>44</v>
      </c>
      <c r="N20" s="87">
        <v>0.61</v>
      </c>
      <c r="O20" s="87" t="s">
        <v>44</v>
      </c>
      <c r="P20" s="88">
        <v>0.4</v>
      </c>
      <c r="Q20" s="89">
        <f t="shared" si="4"/>
        <v>0</v>
      </c>
      <c r="R20" s="90">
        <v>865.0</v>
      </c>
      <c r="S20" s="91">
        <f t="shared" si="5"/>
        <v>1.0553</v>
      </c>
      <c r="T20" s="92">
        <f t="shared" si="6"/>
        <v>0</v>
      </c>
      <c r="U20" s="1"/>
      <c r="V20" s="1"/>
      <c r="W20" s="1"/>
      <c r="X20" s="1"/>
      <c r="Y20" s="1"/>
      <c r="Z20" s="1"/>
    </row>
    <row r="21" ht="14.25" customHeight="1">
      <c r="A21" s="1"/>
      <c r="B21" s="74">
        <v>0.01</v>
      </c>
      <c r="C21" s="76">
        <f t="shared" si="1"/>
        <v>0.46</v>
      </c>
      <c r="D21" s="77">
        <v>0.01</v>
      </c>
      <c r="E21" s="76">
        <f t="shared" si="2"/>
        <v>0.12</v>
      </c>
      <c r="F21" s="79">
        <f t="shared" si="3"/>
        <v>0.00138</v>
      </c>
      <c r="G21" s="81"/>
      <c r="H21" s="82" t="s">
        <v>56</v>
      </c>
      <c r="I21" s="83" t="s">
        <v>48</v>
      </c>
      <c r="J21" s="75">
        <v>3503.0</v>
      </c>
      <c r="K21" s="84" t="s">
        <v>49</v>
      </c>
      <c r="L21" s="85">
        <v>0.025</v>
      </c>
      <c r="M21" s="87" t="s">
        <v>44</v>
      </c>
      <c r="N21" s="87">
        <v>0.46</v>
      </c>
      <c r="O21" s="87" t="s">
        <v>44</v>
      </c>
      <c r="P21" s="88">
        <v>0.12</v>
      </c>
      <c r="Q21" s="89">
        <f t="shared" si="4"/>
        <v>0</v>
      </c>
      <c r="R21" s="90">
        <v>865.0</v>
      </c>
      <c r="S21" s="91">
        <f t="shared" si="5"/>
        <v>1.1937</v>
      </c>
      <c r="T21" s="92">
        <f t="shared" si="6"/>
        <v>0</v>
      </c>
      <c r="U21" s="1"/>
      <c r="V21" s="1"/>
      <c r="W21" s="1"/>
      <c r="X21" s="1"/>
      <c r="Y21" s="1"/>
      <c r="Z21" s="1"/>
    </row>
    <row r="22" ht="14.25" customHeight="1">
      <c r="A22" s="1"/>
      <c r="B22" s="74">
        <v>0.01</v>
      </c>
      <c r="C22" s="76">
        <f t="shared" si="1"/>
        <v>1.36</v>
      </c>
      <c r="D22" s="77">
        <v>0.01</v>
      </c>
      <c r="E22" s="76">
        <f t="shared" si="2"/>
        <v>0.05</v>
      </c>
      <c r="F22" s="79">
        <f t="shared" si="3"/>
        <v>0.00034</v>
      </c>
      <c r="G22" s="81"/>
      <c r="H22" s="82" t="s">
        <v>59</v>
      </c>
      <c r="I22" s="83" t="s">
        <v>48</v>
      </c>
      <c r="J22" s="75">
        <v>3503.0</v>
      </c>
      <c r="K22" s="84" t="s">
        <v>49</v>
      </c>
      <c r="L22" s="85">
        <v>0.005</v>
      </c>
      <c r="M22" s="87" t="s">
        <v>44</v>
      </c>
      <c r="N22" s="87">
        <v>1.36</v>
      </c>
      <c r="O22" s="87" t="s">
        <v>44</v>
      </c>
      <c r="P22" s="88">
        <v>0.05</v>
      </c>
      <c r="Q22" s="89">
        <f t="shared" si="4"/>
        <v>0</v>
      </c>
      <c r="R22" s="90">
        <v>865.0</v>
      </c>
      <c r="S22" s="91">
        <f t="shared" si="5"/>
        <v>0.2941</v>
      </c>
      <c r="T22" s="92">
        <f t="shared" si="6"/>
        <v>0</v>
      </c>
      <c r="U22" s="1"/>
      <c r="V22" s="1"/>
      <c r="W22" s="1"/>
      <c r="X22" s="1"/>
      <c r="Y22" s="1"/>
      <c r="Z22" s="1"/>
    </row>
    <row r="23" ht="14.25" customHeight="1">
      <c r="A23" s="1"/>
      <c r="B23" s="74">
        <v>0.01</v>
      </c>
      <c r="C23" s="76">
        <f t="shared" si="1"/>
        <v>0.53</v>
      </c>
      <c r="D23" s="77">
        <v>0.01</v>
      </c>
      <c r="E23" s="76">
        <f t="shared" si="2"/>
        <v>0.495</v>
      </c>
      <c r="F23" s="79">
        <f t="shared" ref="F23:F26" si="7">SUM(E23*C23*L23)</f>
        <v>0.0183645</v>
      </c>
      <c r="G23" s="81"/>
      <c r="H23" s="82" t="s">
        <v>62</v>
      </c>
      <c r="I23" s="83" t="s">
        <v>48</v>
      </c>
      <c r="J23" s="75">
        <v>3503.0</v>
      </c>
      <c r="K23" s="84" t="s">
        <v>49</v>
      </c>
      <c r="L23" s="85">
        <v>0.07</v>
      </c>
      <c r="M23" s="87" t="s">
        <v>44</v>
      </c>
      <c r="N23" s="87">
        <v>0.53</v>
      </c>
      <c r="O23" s="87" t="s">
        <v>44</v>
      </c>
      <c r="P23" s="88">
        <v>0.495</v>
      </c>
      <c r="Q23" s="89">
        <f t="shared" si="4"/>
        <v>0</v>
      </c>
      <c r="R23" s="90">
        <v>865.0</v>
      </c>
      <c r="S23" s="91">
        <f t="shared" si="5"/>
        <v>15.8852925</v>
      </c>
      <c r="T23" s="92">
        <f t="shared" ref="T23:T37" si="8">SUM(Q23*R23)</f>
        <v>0</v>
      </c>
      <c r="U23" s="25"/>
      <c r="V23" s="1"/>
      <c r="W23" s="1"/>
      <c r="X23" s="1"/>
      <c r="Y23" s="1"/>
      <c r="Z23" s="1"/>
    </row>
    <row r="24" ht="14.25" customHeight="1">
      <c r="A24" s="1"/>
      <c r="B24" s="74">
        <v>0.01</v>
      </c>
      <c r="C24" s="76">
        <f t="shared" si="1"/>
        <v>0.47</v>
      </c>
      <c r="D24" s="77">
        <v>0.01</v>
      </c>
      <c r="E24" s="76">
        <f t="shared" si="2"/>
        <v>0.385</v>
      </c>
      <c r="F24" s="79">
        <f t="shared" si="7"/>
        <v>0.010857</v>
      </c>
      <c r="G24" s="81">
        <v>250.0</v>
      </c>
      <c r="H24" s="82" t="s">
        <v>65</v>
      </c>
      <c r="I24" s="83" t="s">
        <v>48</v>
      </c>
      <c r="J24" s="75">
        <v>3503.0</v>
      </c>
      <c r="K24" s="84" t="s">
        <v>49</v>
      </c>
      <c r="L24" s="85">
        <v>0.06</v>
      </c>
      <c r="M24" s="87" t="s">
        <v>44</v>
      </c>
      <c r="N24" s="87">
        <v>0.47</v>
      </c>
      <c r="O24" s="87" t="s">
        <v>44</v>
      </c>
      <c r="P24" s="88">
        <v>0.385</v>
      </c>
      <c r="Q24" s="89">
        <f t="shared" si="4"/>
        <v>2.71425</v>
      </c>
      <c r="R24" s="90">
        <v>865.0</v>
      </c>
      <c r="S24" s="91">
        <f t="shared" si="5"/>
        <v>9.391305</v>
      </c>
      <c r="T24" s="92">
        <f t="shared" si="8"/>
        <v>2347.82625</v>
      </c>
      <c r="U24" s="25"/>
      <c r="V24" s="1"/>
      <c r="W24" s="1"/>
      <c r="X24" s="1"/>
      <c r="Y24" s="1"/>
      <c r="Z24" s="1"/>
    </row>
    <row r="25" ht="14.25" customHeight="1">
      <c r="A25" s="1"/>
      <c r="B25" s="74">
        <v>0.01</v>
      </c>
      <c r="C25" s="76">
        <f t="shared" si="1"/>
        <v>0.58</v>
      </c>
      <c r="D25" s="77">
        <v>0.01</v>
      </c>
      <c r="E25" s="76">
        <f t="shared" si="2"/>
        <v>0.5</v>
      </c>
      <c r="F25" s="79">
        <f t="shared" si="7"/>
        <v>0.0174</v>
      </c>
      <c r="G25" s="81"/>
      <c r="H25" s="82" t="s">
        <v>70</v>
      </c>
      <c r="I25" s="83" t="s">
        <v>48</v>
      </c>
      <c r="J25" s="75">
        <v>3503.0</v>
      </c>
      <c r="K25" s="84" t="s">
        <v>49</v>
      </c>
      <c r="L25" s="85">
        <v>0.06</v>
      </c>
      <c r="M25" s="87" t="s">
        <v>44</v>
      </c>
      <c r="N25" s="87">
        <v>0.58</v>
      </c>
      <c r="O25" s="87" t="s">
        <v>44</v>
      </c>
      <c r="P25" s="88">
        <v>0.5</v>
      </c>
      <c r="Q25" s="89">
        <f t="shared" si="4"/>
        <v>0</v>
      </c>
      <c r="R25" s="90">
        <v>865.0</v>
      </c>
      <c r="S25" s="91">
        <f t="shared" si="5"/>
        <v>15.051</v>
      </c>
      <c r="T25" s="92">
        <f t="shared" si="8"/>
        <v>0</v>
      </c>
      <c r="U25" s="25"/>
      <c r="V25" s="1"/>
      <c r="W25" s="1"/>
      <c r="X25" s="1"/>
      <c r="Y25" s="1"/>
      <c r="Z25" s="1"/>
    </row>
    <row r="26" ht="14.25" customHeight="1">
      <c r="A26" s="1"/>
      <c r="B26" s="74">
        <v>0.01</v>
      </c>
      <c r="C26" s="76">
        <f t="shared" si="1"/>
        <v>0.5</v>
      </c>
      <c r="D26" s="77">
        <v>0.01</v>
      </c>
      <c r="E26" s="76">
        <f t="shared" si="2"/>
        <v>0.305</v>
      </c>
      <c r="F26" s="79">
        <f t="shared" si="7"/>
        <v>0.007625</v>
      </c>
      <c r="G26" s="81">
        <v>10.0</v>
      </c>
      <c r="H26" s="82" t="s">
        <v>73</v>
      </c>
      <c r="I26" s="83" t="s">
        <v>48</v>
      </c>
      <c r="J26" s="75">
        <v>3503.0</v>
      </c>
      <c r="K26" s="84" t="s">
        <v>49</v>
      </c>
      <c r="L26" s="85">
        <v>0.05</v>
      </c>
      <c r="M26" s="87" t="s">
        <v>44</v>
      </c>
      <c r="N26" s="87">
        <v>0.5</v>
      </c>
      <c r="O26" s="87" t="s">
        <v>44</v>
      </c>
      <c r="P26" s="88">
        <v>0.305</v>
      </c>
      <c r="Q26" s="89">
        <f t="shared" si="4"/>
        <v>0.07625</v>
      </c>
      <c r="R26" s="90">
        <v>865.0</v>
      </c>
      <c r="S26" s="91">
        <f t="shared" si="5"/>
        <v>6.595625</v>
      </c>
      <c r="T26" s="92">
        <f t="shared" si="8"/>
        <v>65.95625</v>
      </c>
      <c r="U26" s="25"/>
      <c r="V26" s="1"/>
      <c r="W26" s="1"/>
      <c r="X26" s="1"/>
      <c r="Y26" s="1"/>
      <c r="Z26" s="1"/>
    </row>
    <row r="27" ht="14.25" customHeight="1">
      <c r="A27" s="1"/>
      <c r="B27" s="74">
        <v>0.01</v>
      </c>
      <c r="C27" s="76">
        <f t="shared" si="1"/>
        <v>0.67</v>
      </c>
      <c r="D27" s="77">
        <v>0.01</v>
      </c>
      <c r="E27" s="78">
        <f t="shared" si="2"/>
        <v>0.54</v>
      </c>
      <c r="F27" s="79">
        <f>SUM(L27*C27*E27)</f>
        <v>0.01809</v>
      </c>
      <c r="G27" s="81">
        <v>880.0</v>
      </c>
      <c r="H27" s="82" t="s">
        <v>79</v>
      </c>
      <c r="I27" s="83" t="s">
        <v>48</v>
      </c>
      <c r="J27" s="75">
        <v>3503.0</v>
      </c>
      <c r="K27" s="84" t="s">
        <v>49</v>
      </c>
      <c r="L27" s="85">
        <v>0.05</v>
      </c>
      <c r="M27" s="87" t="s">
        <v>44</v>
      </c>
      <c r="N27" s="87">
        <v>0.67</v>
      </c>
      <c r="O27" s="87" t="s">
        <v>44</v>
      </c>
      <c r="P27" s="88">
        <v>0.54</v>
      </c>
      <c r="Q27" s="89">
        <f t="shared" si="4"/>
        <v>15.9192</v>
      </c>
      <c r="R27" s="90">
        <v>865.0</v>
      </c>
      <c r="S27" s="91">
        <f t="shared" si="5"/>
        <v>15.64785</v>
      </c>
      <c r="T27" s="92">
        <f t="shared" si="8"/>
        <v>13770.108</v>
      </c>
      <c r="U27" s="1"/>
      <c r="V27" s="1"/>
      <c r="W27" s="1"/>
      <c r="X27" s="1"/>
      <c r="Y27" s="1"/>
      <c r="Z27" s="1"/>
    </row>
    <row r="28" ht="14.25" customHeight="1">
      <c r="A28" s="1"/>
      <c r="B28" s="74">
        <v>0.01</v>
      </c>
      <c r="C28" s="76">
        <f t="shared" si="1"/>
        <v>0.46</v>
      </c>
      <c r="D28" s="77">
        <v>0.01</v>
      </c>
      <c r="E28" s="76">
        <f t="shared" si="2"/>
        <v>0.345</v>
      </c>
      <c r="F28" s="79">
        <f t="shared" ref="F28:F37" si="9">SUM(E28*C28*L28)</f>
        <v>0.009522</v>
      </c>
      <c r="G28" s="81"/>
      <c r="H28" s="82" t="s">
        <v>83</v>
      </c>
      <c r="I28" s="83" t="s">
        <v>48</v>
      </c>
      <c r="J28" s="75">
        <v>3503.0</v>
      </c>
      <c r="K28" s="84" t="s">
        <v>49</v>
      </c>
      <c r="L28" s="85">
        <v>0.06</v>
      </c>
      <c r="M28" s="87" t="s">
        <v>44</v>
      </c>
      <c r="N28" s="87">
        <v>0.46</v>
      </c>
      <c r="O28" s="87" t="s">
        <v>44</v>
      </c>
      <c r="P28" s="88">
        <v>0.345</v>
      </c>
      <c r="Q28" s="89">
        <f t="shared" si="4"/>
        <v>0</v>
      </c>
      <c r="R28" s="90">
        <v>865.0</v>
      </c>
      <c r="S28" s="91">
        <f t="shared" si="5"/>
        <v>8.23653</v>
      </c>
      <c r="T28" s="92">
        <f t="shared" si="8"/>
        <v>0</v>
      </c>
      <c r="U28" s="25"/>
      <c r="V28" s="1"/>
      <c r="W28" s="1"/>
      <c r="X28" s="1"/>
      <c r="Y28" s="1"/>
      <c r="Z28" s="1"/>
    </row>
    <row r="29" ht="14.25" customHeight="1">
      <c r="A29" s="1"/>
      <c r="B29" s="74">
        <v>0.01</v>
      </c>
      <c r="C29" s="76">
        <f t="shared" si="1"/>
        <v>0.74</v>
      </c>
      <c r="D29" s="77">
        <v>0.01</v>
      </c>
      <c r="E29" s="76">
        <f t="shared" si="2"/>
        <v>0.495</v>
      </c>
      <c r="F29" s="79">
        <f t="shared" si="9"/>
        <v>0.03663</v>
      </c>
      <c r="G29" s="81">
        <v>15.0</v>
      </c>
      <c r="H29" s="82" t="s">
        <v>85</v>
      </c>
      <c r="I29" s="83" t="s">
        <v>48</v>
      </c>
      <c r="J29" s="75">
        <v>3503.0</v>
      </c>
      <c r="K29" s="84" t="s">
        <v>49</v>
      </c>
      <c r="L29" s="85">
        <v>0.1</v>
      </c>
      <c r="M29" s="87" t="s">
        <v>44</v>
      </c>
      <c r="N29" s="87">
        <v>0.74</v>
      </c>
      <c r="O29" s="87" t="s">
        <v>44</v>
      </c>
      <c r="P29" s="88">
        <v>0.495</v>
      </c>
      <c r="Q29" s="89">
        <f t="shared" si="4"/>
        <v>0.54945</v>
      </c>
      <c r="R29" s="90">
        <v>865.0</v>
      </c>
      <c r="S29" s="91">
        <f t="shared" si="5"/>
        <v>31.68495</v>
      </c>
      <c r="T29" s="92">
        <f t="shared" si="8"/>
        <v>475.27425</v>
      </c>
      <c r="U29" s="25"/>
      <c r="V29" s="1"/>
      <c r="W29" s="1"/>
      <c r="X29" s="1"/>
      <c r="Y29" s="1"/>
      <c r="Z29" s="1"/>
    </row>
    <row r="30" ht="14.25" customHeight="1">
      <c r="A30" s="1"/>
      <c r="B30" s="74">
        <v>0.01</v>
      </c>
      <c r="C30" s="76">
        <f t="shared" si="1"/>
        <v>0.52</v>
      </c>
      <c r="D30" s="77">
        <v>0.01</v>
      </c>
      <c r="E30" s="76">
        <f t="shared" si="2"/>
        <v>0.5</v>
      </c>
      <c r="F30" s="79">
        <f t="shared" si="9"/>
        <v>0.0026</v>
      </c>
      <c r="G30" s="81">
        <v>15.0</v>
      </c>
      <c r="H30" s="82" t="s">
        <v>88</v>
      </c>
      <c r="I30" s="83" t="s">
        <v>48</v>
      </c>
      <c r="J30" s="75">
        <v>3503.0</v>
      </c>
      <c r="K30" s="84" t="s">
        <v>49</v>
      </c>
      <c r="L30" s="85">
        <v>0.01</v>
      </c>
      <c r="M30" s="87" t="s">
        <v>44</v>
      </c>
      <c r="N30" s="87">
        <v>0.52</v>
      </c>
      <c r="O30" s="87" t="s">
        <v>44</v>
      </c>
      <c r="P30" s="88">
        <v>0.5</v>
      </c>
      <c r="Q30" s="89">
        <f t="shared" si="4"/>
        <v>0.039</v>
      </c>
      <c r="R30" s="90">
        <v>865.0</v>
      </c>
      <c r="S30" s="91">
        <f t="shared" si="5"/>
        <v>2.249</v>
      </c>
      <c r="T30" s="92">
        <f t="shared" si="8"/>
        <v>33.735</v>
      </c>
      <c r="U30" s="25"/>
      <c r="V30" s="1"/>
      <c r="W30" s="1"/>
      <c r="X30" s="1"/>
      <c r="Y30" s="1"/>
      <c r="Z30" s="1"/>
    </row>
    <row r="31" ht="14.25" customHeight="1">
      <c r="A31" s="1"/>
      <c r="B31" s="74">
        <v>0.01</v>
      </c>
      <c r="C31" s="76">
        <f t="shared" si="1"/>
        <v>1</v>
      </c>
      <c r="D31" s="77">
        <v>0.01</v>
      </c>
      <c r="E31" s="76">
        <f t="shared" si="2"/>
        <v>0.505</v>
      </c>
      <c r="F31" s="79">
        <f t="shared" si="9"/>
        <v>0.0101</v>
      </c>
      <c r="G31" s="81">
        <v>10.0</v>
      </c>
      <c r="H31" s="82" t="s">
        <v>91</v>
      </c>
      <c r="I31" s="83" t="s">
        <v>48</v>
      </c>
      <c r="J31" s="75">
        <v>3503.0</v>
      </c>
      <c r="K31" s="84" t="s">
        <v>49</v>
      </c>
      <c r="L31" s="85">
        <v>0.02</v>
      </c>
      <c r="M31" s="87" t="s">
        <v>44</v>
      </c>
      <c r="N31" s="87">
        <v>1.0</v>
      </c>
      <c r="O31" s="87" t="s">
        <v>44</v>
      </c>
      <c r="P31" s="88">
        <v>0.505</v>
      </c>
      <c r="Q31" s="89">
        <f t="shared" si="4"/>
        <v>0.101</v>
      </c>
      <c r="R31" s="90">
        <v>865.0</v>
      </c>
      <c r="S31" s="91">
        <f t="shared" si="5"/>
        <v>8.7365</v>
      </c>
      <c r="T31" s="92">
        <f t="shared" si="8"/>
        <v>87.365</v>
      </c>
      <c r="U31" s="25"/>
      <c r="V31" s="1"/>
      <c r="W31" s="1"/>
      <c r="X31" s="1"/>
      <c r="Y31" s="1"/>
      <c r="Z31" s="1"/>
    </row>
    <row r="32" ht="14.25" customHeight="1">
      <c r="A32" s="1"/>
      <c r="B32" s="74">
        <v>0.01</v>
      </c>
      <c r="C32" s="76">
        <f t="shared" si="1"/>
        <v>0.44</v>
      </c>
      <c r="D32" s="77">
        <v>0.01</v>
      </c>
      <c r="E32" s="76">
        <f t="shared" si="2"/>
        <v>0.39</v>
      </c>
      <c r="F32" s="79">
        <f t="shared" si="9"/>
        <v>0.003432</v>
      </c>
      <c r="G32" s="81"/>
      <c r="H32" s="82" t="s">
        <v>93</v>
      </c>
      <c r="I32" s="83" t="s">
        <v>48</v>
      </c>
      <c r="J32" s="75">
        <v>3503.0</v>
      </c>
      <c r="K32" s="84" t="s">
        <v>49</v>
      </c>
      <c r="L32" s="85">
        <v>0.02</v>
      </c>
      <c r="M32" s="87" t="s">
        <v>44</v>
      </c>
      <c r="N32" s="87">
        <v>0.44</v>
      </c>
      <c r="O32" s="87" t="s">
        <v>44</v>
      </c>
      <c r="P32" s="88">
        <v>0.39</v>
      </c>
      <c r="Q32" s="89">
        <f t="shared" si="4"/>
        <v>0</v>
      </c>
      <c r="R32" s="90">
        <v>865.0</v>
      </c>
      <c r="S32" s="91">
        <f t="shared" si="5"/>
        <v>2.96868</v>
      </c>
      <c r="T32" s="92">
        <f t="shared" si="8"/>
        <v>0</v>
      </c>
      <c r="U32" s="25"/>
      <c r="V32" s="1"/>
      <c r="W32" s="1"/>
      <c r="X32" s="1"/>
      <c r="Y32" s="1"/>
      <c r="Z32" s="1"/>
    </row>
    <row r="33" ht="14.25" customHeight="1">
      <c r="A33" s="1"/>
      <c r="B33" s="74">
        <v>0.01</v>
      </c>
      <c r="C33" s="76">
        <f t="shared" si="1"/>
        <v>0.505</v>
      </c>
      <c r="D33" s="77">
        <v>0.01</v>
      </c>
      <c r="E33" s="76">
        <f t="shared" si="2"/>
        <v>0.43</v>
      </c>
      <c r="F33" s="79">
        <f t="shared" si="9"/>
        <v>0.0108575</v>
      </c>
      <c r="G33" s="81"/>
      <c r="H33" s="82" t="s">
        <v>97</v>
      </c>
      <c r="I33" s="83" t="s">
        <v>48</v>
      </c>
      <c r="J33" s="75">
        <v>3503.0</v>
      </c>
      <c r="K33" s="84" t="s">
        <v>49</v>
      </c>
      <c r="L33" s="85">
        <v>0.05</v>
      </c>
      <c r="M33" s="87" t="s">
        <v>44</v>
      </c>
      <c r="N33" s="87">
        <v>0.505</v>
      </c>
      <c r="O33" s="87" t="s">
        <v>44</v>
      </c>
      <c r="P33" s="88">
        <v>0.43</v>
      </c>
      <c r="Q33" s="89">
        <f t="shared" si="4"/>
        <v>0</v>
      </c>
      <c r="R33" s="90">
        <v>865.0</v>
      </c>
      <c r="S33" s="91">
        <f t="shared" si="5"/>
        <v>9.3917375</v>
      </c>
      <c r="T33" s="92">
        <f t="shared" si="8"/>
        <v>0</v>
      </c>
      <c r="U33" s="25"/>
      <c r="V33" s="1"/>
      <c r="W33" s="1"/>
      <c r="X33" s="1"/>
      <c r="Y33" s="1"/>
      <c r="Z33" s="1"/>
    </row>
    <row r="34" ht="14.25" customHeight="1">
      <c r="A34" s="1"/>
      <c r="B34" s="74">
        <v>0.01</v>
      </c>
      <c r="C34" s="76">
        <f t="shared" si="1"/>
        <v>0.43</v>
      </c>
      <c r="D34" s="77">
        <v>0.01</v>
      </c>
      <c r="E34" s="76">
        <f t="shared" si="2"/>
        <v>0.385</v>
      </c>
      <c r="F34" s="79">
        <f t="shared" si="9"/>
        <v>0.016555</v>
      </c>
      <c r="G34" s="81"/>
      <c r="H34" s="82" t="s">
        <v>98</v>
      </c>
      <c r="I34" s="83" t="s">
        <v>48</v>
      </c>
      <c r="J34" s="75">
        <v>3503.0</v>
      </c>
      <c r="K34" s="84" t="s">
        <v>49</v>
      </c>
      <c r="L34" s="85">
        <v>0.1</v>
      </c>
      <c r="M34" s="87" t="s">
        <v>44</v>
      </c>
      <c r="N34" s="87">
        <v>0.43</v>
      </c>
      <c r="O34" s="87" t="s">
        <v>44</v>
      </c>
      <c r="P34" s="88">
        <v>0.385</v>
      </c>
      <c r="Q34" s="89">
        <f t="shared" si="4"/>
        <v>0</v>
      </c>
      <c r="R34" s="90">
        <v>865.0</v>
      </c>
      <c r="S34" s="91">
        <f t="shared" si="5"/>
        <v>14.320075</v>
      </c>
      <c r="T34" s="92">
        <f t="shared" si="8"/>
        <v>0</v>
      </c>
      <c r="U34" s="25"/>
      <c r="V34" s="1"/>
      <c r="W34" s="1"/>
      <c r="X34" s="1"/>
      <c r="Y34" s="1"/>
      <c r="Z34" s="1"/>
    </row>
    <row r="35" ht="14.25" customHeight="1">
      <c r="A35" s="1"/>
      <c r="B35" s="95">
        <v>0.01</v>
      </c>
      <c r="C35" s="78">
        <f t="shared" si="1"/>
        <v>0.32</v>
      </c>
      <c r="D35" s="77">
        <v>0.01</v>
      </c>
      <c r="E35" s="76">
        <f t="shared" si="2"/>
        <v>0.07</v>
      </c>
      <c r="F35" s="79">
        <f t="shared" si="9"/>
        <v>0.000448</v>
      </c>
      <c r="G35" s="81"/>
      <c r="H35" s="82" t="s">
        <v>100</v>
      </c>
      <c r="I35" s="83" t="s">
        <v>48</v>
      </c>
      <c r="J35" s="75">
        <v>3503.0</v>
      </c>
      <c r="K35" s="84" t="s">
        <v>49</v>
      </c>
      <c r="L35" s="85">
        <v>0.02</v>
      </c>
      <c r="M35" s="87" t="s">
        <v>44</v>
      </c>
      <c r="N35" s="87">
        <v>0.32</v>
      </c>
      <c r="O35" s="87" t="s">
        <v>44</v>
      </c>
      <c r="P35" s="88">
        <v>0.07</v>
      </c>
      <c r="Q35" s="89">
        <f t="shared" si="4"/>
        <v>0</v>
      </c>
      <c r="R35" s="90">
        <v>865.0</v>
      </c>
      <c r="S35" s="91">
        <f t="shared" si="5"/>
        <v>0.38752</v>
      </c>
      <c r="T35" s="92">
        <f t="shared" si="8"/>
        <v>0</v>
      </c>
      <c r="U35" s="25"/>
      <c r="V35" s="1"/>
      <c r="W35" s="1"/>
      <c r="X35" s="1"/>
      <c r="Y35" s="1"/>
      <c r="Z35" s="1"/>
    </row>
    <row r="36" ht="14.25" customHeight="1">
      <c r="A36" s="1"/>
      <c r="B36" s="74">
        <v>0.01</v>
      </c>
      <c r="C36" s="76">
        <f t="shared" si="1"/>
        <v>0.46</v>
      </c>
      <c r="D36" s="77">
        <v>0.01</v>
      </c>
      <c r="E36" s="76">
        <f t="shared" si="2"/>
        <v>0.14</v>
      </c>
      <c r="F36" s="79">
        <f t="shared" si="9"/>
        <v>0.00161</v>
      </c>
      <c r="G36" s="80"/>
      <c r="H36" s="82" t="s">
        <v>105</v>
      </c>
      <c r="I36" s="83" t="s">
        <v>48</v>
      </c>
      <c r="J36" s="75">
        <v>3503.0</v>
      </c>
      <c r="K36" s="84" t="s">
        <v>49</v>
      </c>
      <c r="L36" s="108">
        <v>0.025</v>
      </c>
      <c r="M36" s="109" t="s">
        <v>44</v>
      </c>
      <c r="N36" s="109">
        <v>0.46</v>
      </c>
      <c r="O36" s="109" t="s">
        <v>44</v>
      </c>
      <c r="P36" s="110">
        <v>0.14</v>
      </c>
      <c r="Q36" s="89">
        <f t="shared" si="4"/>
        <v>0</v>
      </c>
      <c r="R36" s="90">
        <v>865.0</v>
      </c>
      <c r="S36" s="91">
        <f t="shared" si="5"/>
        <v>1.39265</v>
      </c>
      <c r="T36" s="92">
        <f t="shared" si="8"/>
        <v>0</v>
      </c>
      <c r="U36" s="25"/>
      <c r="V36" s="1"/>
      <c r="W36" s="1"/>
      <c r="X36" s="1"/>
      <c r="Y36" s="1"/>
      <c r="Z36" s="1"/>
    </row>
    <row r="37" ht="14.25" customHeight="1">
      <c r="A37" s="1"/>
      <c r="B37" s="74">
        <v>0.01</v>
      </c>
      <c r="C37" s="76">
        <f t="shared" si="1"/>
        <v>0.46</v>
      </c>
      <c r="D37" s="77">
        <v>0.01</v>
      </c>
      <c r="E37" s="76">
        <f t="shared" si="2"/>
        <v>0.12</v>
      </c>
      <c r="F37" s="79">
        <f t="shared" si="9"/>
        <v>0.00138</v>
      </c>
      <c r="G37" s="80">
        <v>525.0</v>
      </c>
      <c r="H37" s="82" t="s">
        <v>107</v>
      </c>
      <c r="I37" s="83" t="s">
        <v>48</v>
      </c>
      <c r="J37" s="75">
        <v>3503.0</v>
      </c>
      <c r="K37" s="83" t="s">
        <v>49</v>
      </c>
      <c r="L37" s="111">
        <v>0.025</v>
      </c>
      <c r="M37" s="112" t="s">
        <v>44</v>
      </c>
      <c r="N37" s="112">
        <v>0.46</v>
      </c>
      <c r="O37" s="112" t="s">
        <v>44</v>
      </c>
      <c r="P37" s="113">
        <v>0.12</v>
      </c>
      <c r="Q37" s="96">
        <f t="shared" si="4"/>
        <v>0.7245</v>
      </c>
      <c r="R37" s="90">
        <v>865.0</v>
      </c>
      <c r="S37" s="91">
        <f t="shared" si="5"/>
        <v>1.1937</v>
      </c>
      <c r="T37" s="92">
        <f t="shared" si="8"/>
        <v>626.6925</v>
      </c>
      <c r="U37" s="25"/>
      <c r="V37" s="1"/>
      <c r="W37" s="1"/>
      <c r="X37" s="1"/>
      <c r="Y37" s="1"/>
      <c r="Z37" s="1"/>
    </row>
    <row r="38" ht="14.25" customHeight="1">
      <c r="A38" s="1"/>
      <c r="B38" s="5"/>
      <c r="C38" s="94"/>
      <c r="D38" s="95"/>
      <c r="E38" s="96"/>
      <c r="F38" s="79"/>
      <c r="G38" s="97">
        <v>20.0</v>
      </c>
      <c r="H38" s="98" t="s">
        <v>112</v>
      </c>
      <c r="I38" s="83" t="s">
        <v>48</v>
      </c>
      <c r="J38" s="75">
        <v>3503.0</v>
      </c>
      <c r="K38" s="83" t="s">
        <v>49</v>
      </c>
      <c r="L38" s="114">
        <v>0.58</v>
      </c>
      <c r="M38" s="112" t="s">
        <v>44</v>
      </c>
      <c r="N38" s="115">
        <v>0.5</v>
      </c>
      <c r="O38" s="112" t="s">
        <v>44</v>
      </c>
      <c r="P38" s="116">
        <v>0.06</v>
      </c>
      <c r="Q38" s="96"/>
      <c r="R38" s="90"/>
      <c r="S38" s="90"/>
      <c r="T38" s="90"/>
      <c r="U38" s="117"/>
      <c r="V38" s="1"/>
      <c r="W38" s="1"/>
      <c r="X38" s="1"/>
      <c r="Y38" s="1"/>
      <c r="Z38" s="1"/>
    </row>
    <row r="39" ht="14.25" customHeight="1">
      <c r="A39" s="1"/>
      <c r="B39" s="5"/>
      <c r="C39" s="94"/>
      <c r="D39" s="95"/>
      <c r="E39" s="96"/>
      <c r="F39" s="79"/>
      <c r="G39" s="97">
        <v>15.0</v>
      </c>
      <c r="H39" s="98" t="s">
        <v>114</v>
      </c>
      <c r="I39" s="83" t="s">
        <v>48</v>
      </c>
      <c r="J39" s="75">
        <v>3503.0</v>
      </c>
      <c r="K39" s="83" t="s">
        <v>49</v>
      </c>
      <c r="L39" s="114">
        <v>0.47</v>
      </c>
      <c r="M39" s="112" t="s">
        <v>44</v>
      </c>
      <c r="N39" s="118">
        <v>0.385</v>
      </c>
      <c r="O39" s="112" t="s">
        <v>44</v>
      </c>
      <c r="P39" s="119">
        <v>0.06</v>
      </c>
      <c r="Q39" s="96"/>
      <c r="R39" s="90"/>
      <c r="S39" s="90"/>
      <c r="T39" s="90"/>
      <c r="U39" s="117"/>
      <c r="V39" s="1"/>
      <c r="W39" s="1"/>
      <c r="X39" s="1"/>
      <c r="Y39" s="1"/>
      <c r="Z39" s="1"/>
    </row>
    <row r="40" ht="14.25" customHeight="1">
      <c r="A40" s="1"/>
      <c r="B40" s="5"/>
      <c r="C40" s="94"/>
      <c r="D40" s="95"/>
      <c r="E40" s="96"/>
      <c r="F40" s="79"/>
      <c r="G40" s="97"/>
      <c r="H40" s="120" t="s">
        <v>117</v>
      </c>
      <c r="I40" s="83" t="s">
        <v>48</v>
      </c>
      <c r="J40" s="75">
        <v>3503.0</v>
      </c>
      <c r="K40" s="83" t="s">
        <v>49</v>
      </c>
      <c r="L40" s="121">
        <v>0.005</v>
      </c>
      <c r="M40" s="122" t="s">
        <v>120</v>
      </c>
      <c r="N40" s="123">
        <v>0.37</v>
      </c>
      <c r="O40" s="122" t="s">
        <v>120</v>
      </c>
      <c r="P40" s="124">
        <v>0.07</v>
      </c>
      <c r="Q40" s="96"/>
      <c r="R40" s="90"/>
      <c r="S40" s="90"/>
      <c r="T40" s="90"/>
      <c r="U40" s="117"/>
      <c r="V40" s="1"/>
      <c r="W40" s="1"/>
      <c r="X40" s="1"/>
      <c r="Y40" s="1"/>
      <c r="Z40" s="1"/>
    </row>
    <row r="41" ht="14.25" customHeight="1">
      <c r="A41" s="1"/>
      <c r="B41" s="5"/>
      <c r="C41" s="94"/>
      <c r="D41" s="95"/>
      <c r="E41" s="96"/>
      <c r="F41" s="79"/>
      <c r="G41" s="97"/>
      <c r="H41" s="120" t="s">
        <v>122</v>
      </c>
      <c r="I41" s="83" t="s">
        <v>48</v>
      </c>
      <c r="J41" s="75">
        <v>3503.0</v>
      </c>
      <c r="K41" s="83" t="s">
        <v>49</v>
      </c>
      <c r="L41" s="121">
        <v>0.006</v>
      </c>
      <c r="M41" s="122" t="s">
        <v>120</v>
      </c>
      <c r="N41" s="123">
        <v>0.365</v>
      </c>
      <c r="O41" s="122" t="s">
        <v>120</v>
      </c>
      <c r="P41" s="124">
        <v>0.07</v>
      </c>
      <c r="Q41" s="96"/>
      <c r="R41" s="90"/>
      <c r="S41" s="90"/>
      <c r="T41" s="90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94"/>
      <c r="D42" s="95"/>
      <c r="E42" s="96"/>
      <c r="F42" s="79"/>
      <c r="G42" s="97"/>
      <c r="H42" s="120" t="s">
        <v>123</v>
      </c>
      <c r="I42" s="83" t="s">
        <v>48</v>
      </c>
      <c r="J42" s="75">
        <v>3503.0</v>
      </c>
      <c r="K42" s="83" t="s">
        <v>49</v>
      </c>
      <c r="L42" s="121">
        <v>0.005</v>
      </c>
      <c r="M42" s="122" t="s">
        <v>120</v>
      </c>
      <c r="N42" s="123">
        <v>0.57</v>
      </c>
      <c r="O42" s="122" t="s">
        <v>120</v>
      </c>
      <c r="P42" s="124">
        <v>0.67</v>
      </c>
      <c r="Q42" s="96"/>
      <c r="R42" s="90"/>
      <c r="S42" s="90"/>
      <c r="T42" s="90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95"/>
      <c r="E43" s="96"/>
      <c r="F43" s="79"/>
      <c r="G43" s="97"/>
      <c r="H43" s="120" t="s">
        <v>126</v>
      </c>
      <c r="I43" s="83" t="s">
        <v>48</v>
      </c>
      <c r="J43" s="75">
        <v>3503.0</v>
      </c>
      <c r="K43" s="83" t="s">
        <v>49</v>
      </c>
      <c r="L43" s="121">
        <v>0.01</v>
      </c>
      <c r="M43" s="123" t="s">
        <v>120</v>
      </c>
      <c r="N43" s="123">
        <v>0.52</v>
      </c>
      <c r="O43" s="122" t="s">
        <v>120</v>
      </c>
      <c r="P43" s="125">
        <v>0.5</v>
      </c>
      <c r="Q43" s="96"/>
      <c r="R43" s="90"/>
      <c r="S43" s="90"/>
      <c r="T43" s="90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84"/>
      <c r="H44" s="120" t="s">
        <v>128</v>
      </c>
      <c r="I44" s="83" t="s">
        <v>48</v>
      </c>
      <c r="J44" s="75">
        <v>3503.0</v>
      </c>
      <c r="K44" s="83" t="s">
        <v>49</v>
      </c>
      <c r="L44" s="121">
        <v>0.05</v>
      </c>
      <c r="M44" s="123" t="s">
        <v>120</v>
      </c>
      <c r="N44" s="123">
        <v>0.435</v>
      </c>
      <c r="O44" s="123" t="s">
        <v>120</v>
      </c>
      <c r="P44" s="125">
        <v>0.3</v>
      </c>
      <c r="Q44" s="126"/>
      <c r="R44" s="84"/>
      <c r="S44" s="127"/>
      <c r="T44" s="84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28"/>
      <c r="H45" s="120" t="s">
        <v>132</v>
      </c>
      <c r="I45" s="83" t="s">
        <v>48</v>
      </c>
      <c r="J45" s="75">
        <v>3503.0</v>
      </c>
      <c r="K45" s="83" t="s">
        <v>49</v>
      </c>
      <c r="L45" s="121">
        <v>0.06</v>
      </c>
      <c r="M45" s="123" t="s">
        <v>120</v>
      </c>
      <c r="N45" s="123">
        <v>0.22</v>
      </c>
      <c r="O45" s="123" t="s">
        <v>120</v>
      </c>
      <c r="P45" s="125">
        <v>0.12</v>
      </c>
      <c r="Q45" s="130"/>
      <c r="R45" s="128"/>
      <c r="S45" s="128"/>
      <c r="T45" s="128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28"/>
      <c r="H46" s="120" t="s">
        <v>134</v>
      </c>
      <c r="I46" s="83" t="s">
        <v>48</v>
      </c>
      <c r="J46" s="75">
        <v>3503.0</v>
      </c>
      <c r="K46" s="83" t="s">
        <v>49</v>
      </c>
      <c r="L46" s="121">
        <v>0.06</v>
      </c>
      <c r="M46" s="123" t="s">
        <v>120</v>
      </c>
      <c r="N46" s="123">
        <v>0.5</v>
      </c>
      <c r="O46" s="122" t="s">
        <v>120</v>
      </c>
      <c r="P46" s="125">
        <v>0.385</v>
      </c>
      <c r="Q46" s="130"/>
      <c r="R46" s="128"/>
      <c r="S46" s="128"/>
      <c r="T46" s="128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28"/>
      <c r="H47" s="120" t="s">
        <v>137</v>
      </c>
      <c r="I47" s="83" t="s">
        <v>48</v>
      </c>
      <c r="J47" s="75">
        <v>3503.0</v>
      </c>
      <c r="K47" s="83" t="s">
        <v>49</v>
      </c>
      <c r="L47" s="121">
        <v>0.01</v>
      </c>
      <c r="M47" s="123" t="s">
        <v>120</v>
      </c>
      <c r="N47" s="123">
        <v>0.4</v>
      </c>
      <c r="O47" s="122" t="s">
        <v>120</v>
      </c>
      <c r="P47" s="125">
        <v>0.305</v>
      </c>
      <c r="Q47" s="130"/>
      <c r="R47" s="128"/>
      <c r="S47" s="128"/>
      <c r="T47" s="128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28"/>
      <c r="H48" s="120" t="s">
        <v>139</v>
      </c>
      <c r="I48" s="83" t="s">
        <v>48</v>
      </c>
      <c r="J48" s="75">
        <v>3503.0</v>
      </c>
      <c r="K48" s="83" t="s">
        <v>49</v>
      </c>
      <c r="L48" s="121">
        <v>0.01</v>
      </c>
      <c r="M48" s="123" t="s">
        <v>120</v>
      </c>
      <c r="N48" s="123">
        <v>0.69</v>
      </c>
      <c r="O48" s="122" t="s">
        <v>120</v>
      </c>
      <c r="P48" s="125">
        <v>0.535</v>
      </c>
      <c r="Q48" s="130"/>
      <c r="R48" s="128"/>
      <c r="S48" s="128"/>
      <c r="T48" s="128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28"/>
      <c r="H49" s="120" t="s">
        <v>141</v>
      </c>
      <c r="I49" s="83" t="s">
        <v>48</v>
      </c>
      <c r="J49" s="75">
        <v>3503.0</v>
      </c>
      <c r="K49" s="83" t="s">
        <v>49</v>
      </c>
      <c r="L49" s="121">
        <v>0.05</v>
      </c>
      <c r="M49" s="123" t="s">
        <v>120</v>
      </c>
      <c r="N49" s="123">
        <v>0.34</v>
      </c>
      <c r="O49" s="122" t="s">
        <v>120</v>
      </c>
      <c r="P49" s="125">
        <v>0.175</v>
      </c>
      <c r="Q49" s="130"/>
      <c r="R49" s="128"/>
      <c r="S49" s="128"/>
      <c r="T49" s="128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84"/>
      <c r="H50" s="120"/>
      <c r="I50" s="83"/>
      <c r="J50" s="75"/>
      <c r="K50" s="83"/>
      <c r="L50" s="121"/>
      <c r="M50" s="123"/>
      <c r="N50" s="123"/>
      <c r="O50" s="122"/>
      <c r="P50" s="125"/>
      <c r="Q50" s="132"/>
      <c r="R50" s="84"/>
      <c r="S50" s="84"/>
      <c r="T50" s="84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84"/>
      <c r="Q51" s="132"/>
      <c r="R51" s="84"/>
      <c r="S51" s="84"/>
      <c r="T51" s="84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84"/>
      <c r="H52" s="120"/>
      <c r="I52" s="83"/>
      <c r="J52" s="75"/>
      <c r="K52" s="83"/>
      <c r="L52" s="121"/>
      <c r="M52" s="123"/>
      <c r="N52" s="123"/>
      <c r="O52" s="122"/>
      <c r="P52" s="125"/>
      <c r="Q52" s="132"/>
      <c r="R52" s="84"/>
      <c r="S52" s="84"/>
      <c r="T52" s="84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84"/>
      <c r="H53" s="120"/>
      <c r="I53" s="83"/>
      <c r="J53" s="75"/>
      <c r="K53" s="83"/>
      <c r="L53" s="121"/>
      <c r="M53" s="123"/>
      <c r="N53" s="123"/>
      <c r="O53" s="122"/>
      <c r="P53" s="125"/>
      <c r="Q53" s="132"/>
      <c r="R53" s="84"/>
      <c r="S53" s="84"/>
      <c r="T53" s="84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84"/>
      <c r="H54" s="120"/>
      <c r="I54" s="140"/>
      <c r="J54" s="75"/>
      <c r="K54" s="83"/>
      <c r="L54" s="121"/>
      <c r="M54" s="123"/>
      <c r="N54" s="123"/>
      <c r="O54" s="122"/>
      <c r="P54" s="125"/>
      <c r="Q54" s="132"/>
      <c r="R54" s="84"/>
      <c r="S54" s="84"/>
      <c r="T54" s="84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84"/>
      <c r="H55" s="141"/>
      <c r="I55" s="142"/>
      <c r="K55" s="143"/>
      <c r="P55" s="141"/>
      <c r="Q55" s="132"/>
      <c r="R55" s="84"/>
      <c r="S55" s="84"/>
      <c r="T55" s="84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84"/>
      <c r="H56" s="130"/>
      <c r="I56" s="144"/>
      <c r="J56" s="130"/>
      <c r="K56" s="130"/>
      <c r="L56" s="144"/>
      <c r="M56" s="144"/>
      <c r="N56" s="144"/>
      <c r="O56" s="144"/>
      <c r="P56" s="130"/>
      <c r="Q56" s="132"/>
      <c r="R56" s="84"/>
      <c r="S56" s="84"/>
      <c r="T56" s="84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84"/>
      <c r="I57" s="145"/>
      <c r="J57" s="141"/>
      <c r="K57" s="143"/>
      <c r="P57" s="141"/>
      <c r="Q57" s="132"/>
      <c r="R57" s="84"/>
      <c r="S57" s="84"/>
      <c r="T57" s="84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84"/>
      <c r="H58" s="120"/>
      <c r="I58" s="147"/>
      <c r="J58" s="75"/>
      <c r="K58" s="83"/>
      <c r="L58" s="121"/>
      <c r="M58" s="123"/>
      <c r="N58" s="123"/>
      <c r="O58" s="122"/>
      <c r="P58" s="125"/>
      <c r="Q58" s="132"/>
      <c r="R58" s="84"/>
      <c r="S58" s="84"/>
      <c r="T58" s="84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84"/>
      <c r="H59" s="120"/>
      <c r="I59" s="83"/>
      <c r="J59" s="75"/>
      <c r="K59" s="83"/>
      <c r="L59" s="121"/>
      <c r="M59" s="123"/>
      <c r="N59" s="123"/>
      <c r="O59" s="122"/>
      <c r="P59" s="125"/>
      <c r="Q59" s="132"/>
      <c r="R59" s="84"/>
      <c r="S59" s="84"/>
      <c r="T59" s="84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84"/>
      <c r="H60" s="120"/>
      <c r="I60" s="83"/>
      <c r="J60" s="75"/>
      <c r="K60" s="84"/>
      <c r="L60" s="121"/>
      <c r="M60" s="123"/>
      <c r="N60" s="123"/>
      <c r="O60" s="122"/>
      <c r="P60" s="125"/>
      <c r="Q60" s="132"/>
      <c r="R60" s="84"/>
      <c r="S60" s="84"/>
      <c r="T60" s="84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84"/>
      <c r="Q61" s="132"/>
      <c r="R61" s="84"/>
      <c r="S61" s="84"/>
      <c r="T61" s="84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84"/>
      <c r="Q62" s="84"/>
      <c r="R62" s="84"/>
      <c r="S62" s="84"/>
      <c r="T62" s="84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3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00" t="s">
        <v>67</v>
      </c>
      <c r="O66" s="6"/>
      <c r="P66" s="6"/>
      <c r="Q66" s="102">
        <f>SUM(Q19:Q43)</f>
        <v>20.12365</v>
      </c>
      <c r="R66" s="1"/>
      <c r="S66" s="102"/>
      <c r="T66" s="103">
        <f>SUM(T19:T37)</f>
        <v>17406.95725</v>
      </c>
    </row>
    <row r="67" ht="14.25" customHeight="1">
      <c r="A67" s="1"/>
      <c r="B67" s="1"/>
      <c r="C67" s="1"/>
      <c r="D67" s="1"/>
      <c r="E67" s="1"/>
      <c r="F67" s="1"/>
      <c r="G67" s="5" t="s">
        <v>75</v>
      </c>
      <c r="H67" s="6"/>
      <c r="I67" s="6"/>
      <c r="J67" s="6"/>
      <c r="K67" s="1" t="s">
        <v>77</v>
      </c>
      <c r="L67" s="104" t="s">
        <v>158</v>
      </c>
      <c r="M67" s="8"/>
      <c r="N67" s="8"/>
      <c r="O67" s="8"/>
      <c r="P67" s="8"/>
      <c r="Q67" s="8"/>
      <c r="R67" s="8"/>
      <c r="S67" s="8"/>
      <c r="T67" s="11"/>
    </row>
    <row r="68" ht="14.25" customHeight="1">
      <c r="A68" s="1"/>
      <c r="B68" s="1"/>
      <c r="C68" s="1"/>
      <c r="D68" s="1"/>
      <c r="E68" s="1"/>
      <c r="F68" s="1"/>
      <c r="G68" s="83" t="s">
        <v>81</v>
      </c>
      <c r="H68" s="8"/>
      <c r="I68" s="8"/>
      <c r="J68" s="11"/>
      <c r="K68" s="1"/>
      <c r="L68" s="104" t="s">
        <v>159</v>
      </c>
      <c r="M68" s="8"/>
      <c r="N68" s="8"/>
      <c r="O68" s="8"/>
      <c r="P68" s="8"/>
      <c r="Q68" s="8"/>
      <c r="R68" s="8"/>
      <c r="S68" s="8"/>
      <c r="T68" s="11"/>
    </row>
    <row r="69" ht="14.25" customHeight="1">
      <c r="A69" s="1"/>
      <c r="B69" s="1"/>
      <c r="C69" s="1"/>
      <c r="D69" s="1"/>
      <c r="E69" s="1"/>
      <c r="F69" s="1"/>
      <c r="G69" s="5" t="s">
        <v>82</v>
      </c>
      <c r="H69" s="6"/>
      <c r="I69" s="6"/>
      <c r="J69" s="6"/>
      <c r="K69" s="1"/>
      <c r="L69" s="104"/>
      <c r="M69" s="8"/>
      <c r="N69" s="8"/>
      <c r="O69" s="8"/>
      <c r="P69" s="8"/>
      <c r="Q69" s="8"/>
      <c r="R69" s="8"/>
      <c r="S69" s="8"/>
      <c r="T69" s="11"/>
    </row>
    <row r="70" ht="14.25" customHeight="1">
      <c r="A70" s="1"/>
      <c r="B70" s="1"/>
      <c r="C70" s="1"/>
      <c r="D70" s="1"/>
      <c r="E70" s="1"/>
      <c r="F70" s="1"/>
      <c r="G70" s="105" t="s">
        <v>84</v>
      </c>
      <c r="H70" s="106"/>
      <c r="I70" s="106"/>
      <c r="J70" s="106"/>
      <c r="K70" s="1"/>
      <c r="L70" s="104"/>
      <c r="M70" s="8"/>
      <c r="N70" s="8"/>
      <c r="O70" s="8"/>
      <c r="P70" s="8"/>
      <c r="Q70" s="8"/>
      <c r="R70" s="8"/>
      <c r="S70" s="8"/>
      <c r="T70" s="11"/>
    </row>
    <row r="71" ht="14.25" customHeight="1">
      <c r="A71" s="1"/>
      <c r="B71" s="1"/>
      <c r="C71" s="1"/>
      <c r="D71" s="1"/>
      <c r="E71" s="1"/>
      <c r="F71" s="1"/>
      <c r="G71" s="1"/>
      <c r="H71" s="3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T$62"/>
  <mergeCells count="52">
    <mergeCell ref="G11:I11"/>
    <mergeCell ref="G12:I12"/>
    <mergeCell ref="J12:O12"/>
    <mergeCell ref="S12:T12"/>
    <mergeCell ref="G13:I13"/>
    <mergeCell ref="Q13:R13"/>
    <mergeCell ref="S13:T13"/>
    <mergeCell ref="J13:O13"/>
    <mergeCell ref="K14:O14"/>
    <mergeCell ref="K15:N15"/>
    <mergeCell ref="Q15:T15"/>
    <mergeCell ref="G17:G18"/>
    <mergeCell ref="H17:H18"/>
    <mergeCell ref="I17:J18"/>
    <mergeCell ref="L68:T68"/>
    <mergeCell ref="L69:T69"/>
    <mergeCell ref="Q17:Q18"/>
    <mergeCell ref="R17:R18"/>
    <mergeCell ref="N66:P66"/>
    <mergeCell ref="G67:J67"/>
    <mergeCell ref="L67:T67"/>
    <mergeCell ref="G68:J68"/>
    <mergeCell ref="G69:J69"/>
    <mergeCell ref="J7:O7"/>
    <mergeCell ref="S7:T7"/>
    <mergeCell ref="K2:Q2"/>
    <mergeCell ref="J3:Q3"/>
    <mergeCell ref="I4:Q4"/>
    <mergeCell ref="I5:Q5"/>
    <mergeCell ref="G6:I6"/>
    <mergeCell ref="J6:T6"/>
    <mergeCell ref="G7:H7"/>
    <mergeCell ref="G8:I8"/>
    <mergeCell ref="J8:O8"/>
    <mergeCell ref="S8:T8"/>
    <mergeCell ref="G9:I9"/>
    <mergeCell ref="J9:O9"/>
    <mergeCell ref="Q9:R9"/>
    <mergeCell ref="S9:T9"/>
    <mergeCell ref="G10:I10"/>
    <mergeCell ref="J10:O10"/>
    <mergeCell ref="Q10:R10"/>
    <mergeCell ref="S10:T10"/>
    <mergeCell ref="J11:O11"/>
    <mergeCell ref="Q11:R11"/>
    <mergeCell ref="S11:T11"/>
    <mergeCell ref="K17:K18"/>
    <mergeCell ref="L17:P17"/>
    <mergeCell ref="S17:S18"/>
    <mergeCell ref="T17:T18"/>
    <mergeCell ref="G70:J70"/>
    <mergeCell ref="L70:T70"/>
  </mergeCells>
  <dataValidations>
    <dataValidation type="list" allowBlank="1" showErrorMessage="1" sqref="I19:I50 I52:I54 I58:I60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2.43"/>
    <col customWidth="1" min="11" max="11" width="5.0"/>
    <col customWidth="1" min="12" max="12" width="5.86"/>
    <col customWidth="1" min="13" max="13" width="11.29"/>
    <col customWidth="1" min="14" max="14" width="7.86"/>
    <col customWidth="1" min="15" max="15" width="1.43"/>
    <col customWidth="1" min="16" max="16" width="7.86"/>
    <col customWidth="1" min="17" max="17" width="1.43"/>
    <col customWidth="1" min="18" max="18" width="7.86"/>
    <col customWidth="1" min="19" max="19" width="9.14"/>
    <col customWidth="1" min="20" max="20" width="11.29"/>
    <col customWidth="1" min="21" max="21" width="12.14"/>
    <col customWidth="1" min="22" max="22" width="17.57"/>
    <col customWidth="1" min="23" max="23" width="14.71"/>
    <col customWidth="1" min="24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  <c r="AA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  <c r="AA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  <c r="AA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  <c r="AA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  <c r="AA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5"/>
      <c r="P7" s="15"/>
      <c r="Q7" s="16"/>
      <c r="R7" s="17"/>
      <c r="S7" s="18"/>
      <c r="T7" s="19"/>
      <c r="U7" s="20"/>
      <c r="V7" s="21"/>
      <c r="W7" s="1"/>
      <c r="X7" s="1"/>
      <c r="Y7" s="1"/>
      <c r="Z7" s="1"/>
      <c r="AA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8</v>
      </c>
      <c r="J8" s="8"/>
      <c r="K8" s="9"/>
      <c r="L8" s="10"/>
      <c r="M8" s="8"/>
      <c r="N8" s="8"/>
      <c r="O8" s="8"/>
      <c r="P8" s="8"/>
      <c r="Q8" s="9"/>
      <c r="R8" s="22"/>
      <c r="S8" s="13"/>
      <c r="T8" s="23"/>
      <c r="U8" s="10"/>
      <c r="V8" s="11"/>
      <c r="W8" s="25"/>
      <c r="X8" s="1"/>
      <c r="Y8" s="1"/>
      <c r="Z8" s="1"/>
      <c r="AA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10</v>
      </c>
      <c r="J9" s="8"/>
      <c r="K9" s="9"/>
      <c r="L9" s="10"/>
      <c r="M9" s="8"/>
      <c r="N9" s="8"/>
      <c r="O9" s="8"/>
      <c r="P9" s="8"/>
      <c r="Q9" s="9"/>
      <c r="R9" s="22"/>
      <c r="S9" s="13"/>
      <c r="T9" s="26"/>
      <c r="U9" s="27"/>
      <c r="V9" s="11"/>
      <c r="W9" s="1"/>
      <c r="X9" s="1"/>
      <c r="Y9" s="1"/>
      <c r="Z9" s="1"/>
      <c r="AA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14</v>
      </c>
      <c r="J10" s="8"/>
      <c r="K10" s="9"/>
      <c r="L10" s="10"/>
      <c r="M10" s="8"/>
      <c r="N10" s="8"/>
      <c r="O10" s="8"/>
      <c r="P10" s="8"/>
      <c r="Q10" s="9"/>
      <c r="R10" s="22"/>
      <c r="S10" s="13"/>
      <c r="T10" s="23"/>
      <c r="U10" s="10"/>
      <c r="V10" s="11"/>
      <c r="W10" s="1"/>
      <c r="X10" s="1"/>
      <c r="Y10" s="1"/>
      <c r="Z10" s="1"/>
      <c r="AA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31"/>
      <c r="O11" s="31"/>
      <c r="P11" s="29"/>
      <c r="Q11" s="9"/>
      <c r="R11" s="22"/>
      <c r="S11" s="13"/>
      <c r="T11" s="32"/>
      <c r="U11" s="33"/>
      <c r="V11" s="11"/>
      <c r="W11" s="1"/>
      <c r="X11" s="1"/>
      <c r="Y11" s="1"/>
      <c r="Z11" s="1"/>
      <c r="AA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5"/>
      <c r="M12" s="8"/>
      <c r="N12" s="8"/>
      <c r="O12" s="8"/>
      <c r="P12" s="8"/>
      <c r="Q12" s="9"/>
      <c r="R12" s="22"/>
      <c r="S12" s="13" t="s">
        <v>19</v>
      </c>
      <c r="T12" s="37"/>
      <c r="U12" s="38"/>
      <c r="V12" s="11"/>
      <c r="W12" s="1"/>
      <c r="X12" s="1"/>
      <c r="Y12" s="1"/>
      <c r="Z12" s="1"/>
      <c r="AA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21</v>
      </c>
      <c r="J13" s="8"/>
      <c r="K13" s="9"/>
      <c r="L13" s="10"/>
      <c r="M13" s="8"/>
      <c r="N13" s="8"/>
      <c r="O13" s="8"/>
      <c r="P13" s="8"/>
      <c r="Q13" s="9"/>
      <c r="R13" s="22"/>
      <c r="S13" s="10"/>
      <c r="T13" s="9"/>
      <c r="U13" s="40"/>
      <c r="V13" s="11"/>
      <c r="W13" s="1"/>
      <c r="X13" s="1"/>
      <c r="Y13" s="1"/>
      <c r="Z13" s="1"/>
      <c r="AA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2"/>
      <c r="J14" s="43"/>
      <c r="K14" s="4"/>
      <c r="L14" s="4"/>
      <c r="M14" s="44"/>
      <c r="R14" s="3"/>
      <c r="S14" s="1"/>
      <c r="T14" s="1"/>
      <c r="U14" s="1"/>
      <c r="V14" s="42"/>
      <c r="W14" s="42"/>
      <c r="X14" s="4"/>
      <c r="Y14" s="4"/>
      <c r="Z14" s="4"/>
      <c r="AA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5" t="s">
        <v>23</v>
      </c>
      <c r="J15" s="46"/>
      <c r="K15" s="44"/>
      <c r="L15" s="47" t="s">
        <v>26</v>
      </c>
      <c r="S15" s="48"/>
      <c r="T15" s="49"/>
      <c r="U15" s="49"/>
      <c r="V15" s="50"/>
      <c r="W15" s="42"/>
      <c r="X15" s="4"/>
      <c r="Y15" s="4"/>
      <c r="Z15" s="4"/>
      <c r="AA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  <c r="AA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27</v>
      </c>
      <c r="J17" s="54" t="s">
        <v>28</v>
      </c>
      <c r="K17" s="55" t="s">
        <v>29</v>
      </c>
      <c r="L17" s="56"/>
      <c r="M17" s="57" t="s">
        <v>30</v>
      </c>
      <c r="N17" s="59"/>
      <c r="O17" s="59"/>
      <c r="P17" s="61"/>
      <c r="Q17" s="60"/>
      <c r="R17" s="62"/>
      <c r="S17" s="54" t="s">
        <v>32</v>
      </c>
      <c r="T17" s="63" t="s">
        <v>33</v>
      </c>
      <c r="U17" s="63" t="s">
        <v>34</v>
      </c>
      <c r="V17" s="54" t="s">
        <v>35</v>
      </c>
      <c r="W17" s="1"/>
      <c r="X17" s="1"/>
      <c r="Y17" s="1"/>
      <c r="Z17" s="1"/>
      <c r="AA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65"/>
      <c r="J18" s="65"/>
      <c r="K18" s="66"/>
      <c r="L18" s="67"/>
      <c r="M18" s="68"/>
      <c r="N18" s="64" t="s">
        <v>38</v>
      </c>
      <c r="O18" s="64"/>
      <c r="P18" s="64" t="s">
        <v>39</v>
      </c>
      <c r="Q18" s="71"/>
      <c r="R18" s="64" t="s">
        <v>42</v>
      </c>
      <c r="S18" s="65"/>
      <c r="T18" s="65"/>
      <c r="U18" s="65"/>
      <c r="V18" s="65"/>
      <c r="W18" s="1"/>
      <c r="X18" s="1"/>
      <c r="Y18" s="1"/>
      <c r="Z18" s="1"/>
      <c r="AA18" s="1"/>
    </row>
    <row r="19" ht="15.0" customHeight="1">
      <c r="A19" s="1"/>
      <c r="B19" s="1"/>
      <c r="C19" s="1"/>
      <c r="D19" s="74">
        <v>0.02</v>
      </c>
      <c r="E19" s="76">
        <f>SUM(P19)</f>
        <v>0.2</v>
      </c>
      <c r="F19" s="77">
        <v>0.0</v>
      </c>
      <c r="G19" s="78">
        <f>SUM(R19)</f>
        <v>0.15</v>
      </c>
      <c r="H19" s="79">
        <f>SUM(N19*E19*G19)</f>
        <v>0.0108</v>
      </c>
      <c r="I19" s="81"/>
      <c r="J19" s="82" t="s">
        <v>47</v>
      </c>
      <c r="K19" s="83" t="s">
        <v>48</v>
      </c>
      <c r="L19" s="75">
        <v>3503.0</v>
      </c>
      <c r="M19" s="84" t="s">
        <v>49</v>
      </c>
      <c r="N19" s="73">
        <v>0.36</v>
      </c>
      <c r="O19" s="75" t="s">
        <v>44</v>
      </c>
      <c r="P19" s="76">
        <v>0.2</v>
      </c>
      <c r="Q19" s="74">
        <v>0.15</v>
      </c>
      <c r="R19" s="86">
        <v>0.15</v>
      </c>
      <c r="S19" s="89">
        <f>SUM(I19*N19*E19*G19+D19)</f>
        <v>0.02</v>
      </c>
      <c r="T19" s="90">
        <v>865.0</v>
      </c>
      <c r="U19" s="91">
        <f>SUM(N19*E19*G19*T19)</f>
        <v>9.342</v>
      </c>
      <c r="V19" s="92">
        <f>SUM(S19*T19)</f>
        <v>17.3</v>
      </c>
      <c r="W19" s="1"/>
      <c r="X19" s="1"/>
      <c r="Y19" s="1"/>
      <c r="Z19" s="1"/>
      <c r="AA19" s="1"/>
    </row>
    <row r="20" ht="14.25" customHeight="1">
      <c r="A20" s="1"/>
      <c r="B20" s="1"/>
      <c r="C20" s="1"/>
      <c r="D20" s="5"/>
      <c r="E20" s="94"/>
      <c r="F20" s="95"/>
      <c r="G20" s="96"/>
      <c r="H20" s="79"/>
      <c r="I20" s="97"/>
      <c r="J20" s="98"/>
      <c r="K20" s="83"/>
      <c r="L20" s="75"/>
      <c r="M20" s="84"/>
      <c r="N20" s="99"/>
      <c r="O20" s="5"/>
      <c r="P20" s="94"/>
      <c r="Q20" s="95"/>
      <c r="R20" s="86"/>
      <c r="S20" s="89"/>
      <c r="T20" s="90"/>
      <c r="U20" s="90"/>
      <c r="V20" s="90"/>
      <c r="W20" s="1"/>
      <c r="X20" s="1"/>
      <c r="Y20" s="1"/>
      <c r="Z20" s="1"/>
      <c r="AA20" s="1"/>
    </row>
    <row r="21" ht="14.25" customHeight="1">
      <c r="A21" s="1"/>
      <c r="B21" s="1"/>
      <c r="C21" s="1"/>
      <c r="D21" s="5"/>
      <c r="E21" s="94"/>
      <c r="F21" s="95"/>
      <c r="G21" s="96"/>
      <c r="H21" s="79"/>
      <c r="I21" s="97"/>
      <c r="J21" s="98"/>
      <c r="K21" s="83"/>
      <c r="L21" s="75"/>
      <c r="M21" s="84"/>
      <c r="N21" s="99"/>
      <c r="O21" s="5"/>
      <c r="P21" s="94"/>
      <c r="Q21" s="95"/>
      <c r="R21" s="86"/>
      <c r="S21" s="89"/>
      <c r="T21" s="90"/>
      <c r="U21" s="90"/>
      <c r="V21" s="90"/>
      <c r="W21" s="1"/>
      <c r="X21" s="1"/>
      <c r="Y21" s="1"/>
      <c r="Z21" s="1"/>
      <c r="AA21" s="1"/>
    </row>
    <row r="22" ht="4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3"/>
      <c r="Q22" s="1"/>
      <c r="R22" s="3"/>
      <c r="S22" s="3"/>
      <c r="T22" s="1"/>
      <c r="U22" s="3"/>
      <c r="V22" s="1"/>
      <c r="W22" s="1"/>
      <c r="X22" s="1"/>
      <c r="Y22" s="1"/>
      <c r="Z22" s="1"/>
      <c r="AA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00" t="s">
        <v>67</v>
      </c>
      <c r="Q23" s="6"/>
      <c r="R23" s="6"/>
      <c r="S23" s="102">
        <f>SUM(S19:S21)</f>
        <v>0.02</v>
      </c>
      <c r="T23" s="1"/>
      <c r="U23" s="102"/>
      <c r="V23" s="103">
        <f>SUM(V19)</f>
        <v>17.3</v>
      </c>
      <c r="W23" s="1"/>
      <c r="X23" s="1"/>
      <c r="Y23" s="1"/>
      <c r="Z23" s="1"/>
      <c r="A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5" t="s">
        <v>75</v>
      </c>
      <c r="J24" s="6"/>
      <c r="K24" s="6"/>
      <c r="L24" s="6"/>
      <c r="M24" s="1" t="s">
        <v>77</v>
      </c>
      <c r="N24" s="1"/>
      <c r="O24" s="1"/>
      <c r="P24" s="104"/>
      <c r="Q24" s="8"/>
      <c r="R24" s="8"/>
      <c r="S24" s="8"/>
      <c r="T24" s="8"/>
      <c r="U24" s="8"/>
      <c r="V24" s="11"/>
      <c r="W24" s="1"/>
      <c r="X24" s="1"/>
      <c r="Y24" s="1"/>
      <c r="Z24" s="1"/>
      <c r="A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83" t="s">
        <v>81</v>
      </c>
      <c r="J25" s="8"/>
      <c r="K25" s="8"/>
      <c r="L25" s="11"/>
      <c r="M25" s="1"/>
      <c r="N25" s="1"/>
      <c r="O25" s="1"/>
      <c r="P25" s="104"/>
      <c r="Q25" s="8"/>
      <c r="R25" s="8"/>
      <c r="S25" s="8"/>
      <c r="T25" s="8"/>
      <c r="U25" s="8"/>
      <c r="V25" s="11"/>
      <c r="W25" s="1"/>
      <c r="X25" s="1"/>
      <c r="Y25" s="1"/>
      <c r="Z25" s="1"/>
      <c r="A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5" t="s">
        <v>82</v>
      </c>
      <c r="J26" s="6"/>
      <c r="K26" s="6"/>
      <c r="L26" s="6"/>
      <c r="M26" s="1"/>
      <c r="N26" s="1"/>
      <c r="O26" s="1"/>
      <c r="P26" s="104"/>
      <c r="Q26" s="8"/>
      <c r="R26" s="8"/>
      <c r="S26" s="8"/>
      <c r="T26" s="8"/>
      <c r="U26" s="8"/>
      <c r="V26" s="11"/>
      <c r="W26" s="1"/>
      <c r="X26" s="1"/>
      <c r="Y26" s="1"/>
      <c r="Z26" s="1"/>
      <c r="A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05" t="s">
        <v>84</v>
      </c>
      <c r="J27" s="106"/>
      <c r="K27" s="106"/>
      <c r="L27" s="106"/>
      <c r="M27" s="1"/>
      <c r="N27" s="1"/>
      <c r="O27" s="1"/>
      <c r="P27" s="104"/>
      <c r="Q27" s="8"/>
      <c r="R27" s="8"/>
      <c r="S27" s="8"/>
      <c r="T27" s="8"/>
      <c r="U27" s="8"/>
      <c r="V27" s="11"/>
      <c r="W27" s="1"/>
      <c r="X27" s="1"/>
      <c r="Y27" s="1"/>
      <c r="Z27" s="1"/>
      <c r="A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3"/>
      <c r="Q28" s="1"/>
      <c r="R28" s="3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3"/>
      <c r="Q29" s="1"/>
      <c r="R29" s="3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3"/>
      <c r="Q30" s="1"/>
      <c r="R30" s="3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3"/>
      <c r="Q31" s="1"/>
      <c r="R31" s="3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3"/>
      <c r="Q32" s="1"/>
      <c r="R32" s="3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3"/>
      <c r="Q33" s="1"/>
      <c r="R33" s="3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3"/>
      <c r="Q34" s="1"/>
      <c r="R34" s="3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3"/>
      <c r="Q35" s="1"/>
      <c r="R35" s="3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3"/>
      <c r="Q36" s="1"/>
      <c r="R36" s="3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3"/>
      <c r="Q37" s="1"/>
      <c r="R37" s="3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3"/>
      <c r="Q38" s="1"/>
      <c r="R38" s="3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3"/>
      <c r="Q39" s="1"/>
      <c r="R39" s="3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3"/>
      <c r="Q40" s="1"/>
      <c r="R40" s="3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3"/>
      <c r="Q41" s="1"/>
      <c r="R41" s="3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3"/>
      <c r="Q42" s="1"/>
      <c r="R42" s="3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3"/>
      <c r="Q43" s="1"/>
      <c r="R43" s="3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3"/>
      <c r="Q44" s="1"/>
      <c r="R44" s="3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3"/>
      <c r="Q45" s="1"/>
      <c r="R45" s="3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3"/>
      <c r="Q46" s="1"/>
      <c r="R46" s="3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3"/>
      <c r="Q47" s="1"/>
      <c r="R47" s="3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3"/>
      <c r="Q48" s="1"/>
      <c r="R48" s="3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3"/>
      <c r="Q49" s="1"/>
      <c r="R49" s="3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3"/>
      <c r="Q50" s="1"/>
      <c r="R50" s="3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3"/>
      <c r="Q51" s="1"/>
      <c r="R51" s="3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3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3"/>
      <c r="Q53" s="1"/>
      <c r="R53" s="3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3"/>
      <c r="Q54" s="1"/>
      <c r="R54" s="3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3"/>
      <c r="Q55" s="1"/>
      <c r="R55" s="3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3"/>
      <c r="Q56" s="1"/>
      <c r="R56" s="3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3"/>
      <c r="Q57" s="1"/>
      <c r="R57" s="3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3"/>
      <c r="Q58" s="1"/>
      <c r="R58" s="3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3"/>
      <c r="Q59" s="1"/>
      <c r="R59" s="3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3"/>
      <c r="Q60" s="1"/>
      <c r="R60" s="3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3"/>
      <c r="Q61" s="1"/>
      <c r="R61" s="3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3"/>
      <c r="Q62" s="1"/>
      <c r="R62" s="3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3"/>
      <c r="Q63" s="1"/>
      <c r="R63" s="3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3"/>
      <c r="Q64" s="1"/>
      <c r="R64" s="3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3"/>
      <c r="Q65" s="1"/>
      <c r="R65" s="3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3"/>
      <c r="Q66" s="1"/>
      <c r="R66" s="3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3"/>
      <c r="Q67" s="1"/>
      <c r="R67" s="3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3"/>
      <c r="Q68" s="1"/>
      <c r="R68" s="3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3"/>
      <c r="Q69" s="1"/>
      <c r="R69" s="3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3"/>
      <c r="Q70" s="1"/>
      <c r="R70" s="3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3"/>
      <c r="Q71" s="1"/>
      <c r="R71" s="3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3"/>
      <c r="Q72" s="1"/>
      <c r="R72" s="3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3"/>
      <c r="Q73" s="1"/>
      <c r="R73" s="3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3"/>
      <c r="Q74" s="1"/>
      <c r="R74" s="3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3"/>
      <c r="Q75" s="1"/>
      <c r="R75" s="3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3"/>
      <c r="Q76" s="1"/>
      <c r="R76" s="3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3"/>
      <c r="Q77" s="1"/>
      <c r="R77" s="3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3"/>
      <c r="Q79" s="1"/>
      <c r="R79" s="3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3"/>
      <c r="Q80" s="1"/>
      <c r="R80" s="3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3"/>
      <c r="Q82" s="1"/>
      <c r="R82" s="3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3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3"/>
      <c r="Q84" s="1"/>
      <c r="R84" s="3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3"/>
      <c r="Q85" s="1"/>
      <c r="R85" s="3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3"/>
      <c r="Q86" s="1"/>
      <c r="R86" s="3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M17:M18"/>
    <mergeCell ref="P17:R17"/>
    <mergeCell ref="L13:Q13"/>
    <mergeCell ref="M14:Q14"/>
    <mergeCell ref="L15:R15"/>
    <mergeCell ref="S15:V15"/>
    <mergeCell ref="I17:I18"/>
    <mergeCell ref="J17:J18"/>
    <mergeCell ref="K17:L18"/>
    <mergeCell ref="P25:V25"/>
    <mergeCell ref="P26:V26"/>
    <mergeCell ref="S17:S18"/>
    <mergeCell ref="T17:T18"/>
    <mergeCell ref="P23:R23"/>
    <mergeCell ref="I24:L24"/>
    <mergeCell ref="P24:V24"/>
    <mergeCell ref="I25:L25"/>
    <mergeCell ref="I26:L26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U9:V9"/>
    <mergeCell ref="U10:V10"/>
    <mergeCell ref="U11:V11"/>
    <mergeCell ref="U12:V12"/>
    <mergeCell ref="U13:V13"/>
    <mergeCell ref="I8:K8"/>
    <mergeCell ref="L8:Q8"/>
    <mergeCell ref="U8:V8"/>
    <mergeCell ref="I9:K9"/>
    <mergeCell ref="L9:Q9"/>
    <mergeCell ref="I10:K10"/>
    <mergeCell ref="L10:Q10"/>
    <mergeCell ref="I11:K11"/>
    <mergeCell ref="L11:M11"/>
    <mergeCell ref="P11:Q11"/>
    <mergeCell ref="I12:K12"/>
    <mergeCell ref="L12:Q12"/>
    <mergeCell ref="I13:K13"/>
    <mergeCell ref="S13:T13"/>
    <mergeCell ref="U17:U18"/>
    <mergeCell ref="V17:V18"/>
    <mergeCell ref="I27:L27"/>
    <mergeCell ref="P27:V27"/>
  </mergeCells>
  <dataValidations>
    <dataValidation type="list" allowBlank="1" showErrorMessage="1" sqref="K19:K21">
      <formula1>"NRM,NR,NRF,NRD,LNC,NRAE,DS"</formula1>
    </dataValidation>
    <dataValidation type="list" allowBlank="1" showErrorMessage="1" sqref="J20:J21">
      <formula1>"BLOCO,LAMINA,LAMINA BLOCO,PEÇAS,TORNEADOS,PERFILADOS"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