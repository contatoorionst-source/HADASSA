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namedSheetViews/namedSheetView2.xml" ContentType="application/vnd.ms-excel.namedsheetviews+xml"/>
  <Override PartName="/xl/drawings/drawing3.xml" ContentType="application/vnd.openxmlformats-officedocument.drawing+xml"/>
  <Override PartName="/xl/namedSheetViews/namedSheetView3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15eec13a960032/1 DESPUMA/1. PEDIDOS ESPUMA D'ESPUMA/FABIO SÃO PAULO/HADASSA/"/>
    </mc:Choice>
  </mc:AlternateContent>
  <xr:revisionPtr revIDLastSave="475" documentId="8_{AE8FC701-9135-4457-B699-FB5E5AE48D5A}" xr6:coauthVersionLast="47" xr6:coauthVersionMax="47" xr10:uidLastSave="{040BFC73-DA3C-4021-9B76-F589EF514E2B}"/>
  <bookViews>
    <workbookView xWindow="-120" yWindow="-120" windowWidth="20730" windowHeight="11160" activeTab="1" xr2:uid="{D35E827F-FBAA-4144-B3D5-54F600EC3C8E}"/>
  </bookViews>
  <sheets>
    <sheet name="Modeladas" sheetId="3" r:id="rId1"/>
    <sheet name="Retas" sheetId="1" r:id="rId2"/>
    <sheet name="Triângulo" sheetId="5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4" i="1" l="1"/>
  <c r="R25" i="1"/>
  <c r="P76" i="1"/>
  <c r="S76" i="1" s="1"/>
  <c r="U76" i="1" s="1"/>
  <c r="V76" i="1" s="1"/>
  <c r="R76" i="1"/>
  <c r="R74" i="1"/>
  <c r="P74" i="1"/>
  <c r="S74" i="1" s="1"/>
  <c r="U74" i="1" s="1"/>
  <c r="V74" i="1" s="1"/>
  <c r="S73" i="1"/>
  <c r="U73" i="1" s="1"/>
  <c r="V73" i="1" s="1"/>
  <c r="R73" i="1"/>
  <c r="P73" i="1"/>
  <c r="R72" i="1"/>
  <c r="P72" i="1"/>
  <c r="R71" i="1"/>
  <c r="P71" i="1"/>
  <c r="R70" i="1"/>
  <c r="S70" i="1" s="1"/>
  <c r="U70" i="1" s="1"/>
  <c r="V70" i="1" s="1"/>
  <c r="P70" i="1"/>
  <c r="R69" i="1"/>
  <c r="P69" i="1"/>
  <c r="S69" i="1" s="1"/>
  <c r="U69" i="1" s="1"/>
  <c r="V69" i="1" s="1"/>
  <c r="R68" i="1"/>
  <c r="P68" i="1"/>
  <c r="R67" i="1"/>
  <c r="P67" i="1"/>
  <c r="R66" i="1"/>
  <c r="P66" i="1"/>
  <c r="R65" i="1"/>
  <c r="P65" i="1"/>
  <c r="S65" i="1" s="1"/>
  <c r="U65" i="1" s="1"/>
  <c r="V65" i="1" s="1"/>
  <c r="R64" i="1"/>
  <c r="P64" i="1"/>
  <c r="R63" i="1"/>
  <c r="P63" i="1"/>
  <c r="S63" i="1" s="1"/>
  <c r="U63" i="1" s="1"/>
  <c r="V63" i="1" s="1"/>
  <c r="R62" i="1"/>
  <c r="P62" i="1"/>
  <c r="S62" i="1" s="1"/>
  <c r="U62" i="1" s="1"/>
  <c r="V62" i="1" s="1"/>
  <c r="R61" i="1"/>
  <c r="P61" i="1"/>
  <c r="R60" i="1"/>
  <c r="P60" i="1"/>
  <c r="S60" i="1" s="1"/>
  <c r="U60" i="1" s="1"/>
  <c r="V60" i="1" s="1"/>
  <c r="R59" i="1"/>
  <c r="P59" i="1"/>
  <c r="R58" i="1"/>
  <c r="P58" i="1"/>
  <c r="S58" i="1" s="1"/>
  <c r="U58" i="1" s="1"/>
  <c r="V58" i="1" s="1"/>
  <c r="S57" i="1"/>
  <c r="U57" i="1" s="1"/>
  <c r="V57" i="1" s="1"/>
  <c r="R57" i="1"/>
  <c r="P57" i="1"/>
  <c r="R56" i="1"/>
  <c r="P56" i="1"/>
  <c r="R55" i="1"/>
  <c r="P55" i="1"/>
  <c r="S55" i="1" s="1"/>
  <c r="U55" i="1" s="1"/>
  <c r="V55" i="1" s="1"/>
  <c r="R54" i="1"/>
  <c r="S54" i="1" s="1"/>
  <c r="U54" i="1" s="1"/>
  <c r="V54" i="1" s="1"/>
  <c r="P54" i="1"/>
  <c r="R53" i="1"/>
  <c r="P53" i="1"/>
  <c r="S53" i="1" s="1"/>
  <c r="U53" i="1" s="1"/>
  <c r="V53" i="1" s="1"/>
  <c r="R52" i="1"/>
  <c r="P52" i="1"/>
  <c r="R51" i="1"/>
  <c r="P51" i="1"/>
  <c r="R50" i="1"/>
  <c r="P50" i="1"/>
  <c r="R49" i="1"/>
  <c r="P49" i="1"/>
  <c r="S49" i="1" s="1"/>
  <c r="U49" i="1" s="1"/>
  <c r="V49" i="1" s="1"/>
  <c r="R48" i="1"/>
  <c r="P48" i="1"/>
  <c r="R47" i="1"/>
  <c r="P47" i="1"/>
  <c r="S47" i="1" s="1"/>
  <c r="U47" i="1" s="1"/>
  <c r="V47" i="1" s="1"/>
  <c r="S46" i="1"/>
  <c r="U46" i="1" s="1"/>
  <c r="V46" i="1" s="1"/>
  <c r="R46" i="1"/>
  <c r="P46" i="1"/>
  <c r="R45" i="1"/>
  <c r="P45" i="1"/>
  <c r="S45" i="1" s="1"/>
  <c r="U45" i="1" s="1"/>
  <c r="V45" i="1" s="1"/>
  <c r="R44" i="1"/>
  <c r="P44" i="1"/>
  <c r="S44" i="1" s="1"/>
  <c r="U44" i="1" s="1"/>
  <c r="V44" i="1" s="1"/>
  <c r="R43" i="1"/>
  <c r="P43" i="1"/>
  <c r="P39" i="1"/>
  <c r="P24" i="1"/>
  <c r="S58" i="3"/>
  <c r="S59" i="3"/>
  <c r="S50" i="1" l="1"/>
  <c r="U50" i="1" s="1"/>
  <c r="V50" i="1" s="1"/>
  <c r="S52" i="1"/>
  <c r="U52" i="1" s="1"/>
  <c r="V52" i="1" s="1"/>
  <c r="S61" i="1"/>
  <c r="U61" i="1" s="1"/>
  <c r="V61" i="1" s="1"/>
  <c r="S66" i="1"/>
  <c r="U66" i="1" s="1"/>
  <c r="V66" i="1" s="1"/>
  <c r="S68" i="1"/>
  <c r="U68" i="1" s="1"/>
  <c r="V68" i="1" s="1"/>
  <c r="S71" i="1"/>
  <c r="U71" i="1" s="1"/>
  <c r="V71" i="1" s="1"/>
  <c r="S43" i="1"/>
  <c r="U43" i="1" s="1"/>
  <c r="V43" i="1" s="1"/>
  <c r="S48" i="1"/>
  <c r="U48" i="1" s="1"/>
  <c r="V48" i="1" s="1"/>
  <c r="S51" i="1"/>
  <c r="U51" i="1" s="1"/>
  <c r="V51" i="1" s="1"/>
  <c r="S56" i="1"/>
  <c r="U56" i="1" s="1"/>
  <c r="V56" i="1" s="1"/>
  <c r="S59" i="1"/>
  <c r="U59" i="1" s="1"/>
  <c r="V59" i="1" s="1"/>
  <c r="S64" i="1"/>
  <c r="U64" i="1" s="1"/>
  <c r="V64" i="1" s="1"/>
  <c r="S67" i="1"/>
  <c r="U67" i="1" s="1"/>
  <c r="V67" i="1" s="1"/>
  <c r="S72" i="1"/>
  <c r="U72" i="1" s="1"/>
  <c r="V72" i="1" s="1"/>
  <c r="R41" i="1" l="1"/>
  <c r="P41" i="1"/>
  <c r="R40" i="1"/>
  <c r="P40" i="1"/>
  <c r="R39" i="1"/>
  <c r="R38" i="1"/>
  <c r="P38" i="1"/>
  <c r="R37" i="1"/>
  <c r="P37" i="1"/>
  <c r="R36" i="1"/>
  <c r="P36" i="1"/>
  <c r="G41" i="1"/>
  <c r="G40" i="1"/>
  <c r="G39" i="1"/>
  <c r="G38" i="1"/>
  <c r="R20" i="1"/>
  <c r="J50" i="3"/>
  <c r="M50" i="3" s="1"/>
  <c r="O50" i="3" s="1"/>
  <c r="P50" i="3" s="1"/>
  <c r="J49" i="3"/>
  <c r="M49" i="3" s="1"/>
  <c r="O49" i="3" s="1"/>
  <c r="P49" i="3" s="1"/>
  <c r="J48" i="3"/>
  <c r="M48" i="3" s="1"/>
  <c r="O48" i="3" s="1"/>
  <c r="P48" i="3" s="1"/>
  <c r="J47" i="3"/>
  <c r="M47" i="3" s="1"/>
  <c r="O47" i="3" s="1"/>
  <c r="P47" i="3" s="1"/>
  <c r="J46" i="3"/>
  <c r="M46" i="3" s="1"/>
  <c r="O46" i="3" s="1"/>
  <c r="P46" i="3" s="1"/>
  <c r="J45" i="3"/>
  <c r="M45" i="3" s="1"/>
  <c r="O45" i="3" s="1"/>
  <c r="P45" i="3" s="1"/>
  <c r="J44" i="3"/>
  <c r="M44" i="3" s="1"/>
  <c r="O44" i="3" s="1"/>
  <c r="P44" i="3" s="1"/>
  <c r="J43" i="3"/>
  <c r="M43" i="3" s="1"/>
  <c r="O43" i="3" s="1"/>
  <c r="P43" i="3" s="1"/>
  <c r="J42" i="3"/>
  <c r="M42" i="3" s="1"/>
  <c r="O42" i="3" s="1"/>
  <c r="P42" i="3" s="1"/>
  <c r="J41" i="3"/>
  <c r="M41" i="3" s="1"/>
  <c r="O41" i="3" s="1"/>
  <c r="P41" i="3" s="1"/>
  <c r="J40" i="3"/>
  <c r="M40" i="3" s="1"/>
  <c r="O40" i="3" s="1"/>
  <c r="P40" i="3" s="1"/>
  <c r="J39" i="3"/>
  <c r="M39" i="3" s="1"/>
  <c r="O39" i="3" s="1"/>
  <c r="P39" i="3" s="1"/>
  <c r="J38" i="3"/>
  <c r="M38" i="3" s="1"/>
  <c r="O38" i="3" s="1"/>
  <c r="P38" i="3" s="1"/>
  <c r="J37" i="3"/>
  <c r="M37" i="3" s="1"/>
  <c r="O37" i="3" s="1"/>
  <c r="P37" i="3" s="1"/>
  <c r="J36" i="3"/>
  <c r="M36" i="3" s="1"/>
  <c r="O36" i="3" s="1"/>
  <c r="P36" i="3" s="1"/>
  <c r="J35" i="3"/>
  <c r="M35" i="3" s="1"/>
  <c r="O35" i="3" s="1"/>
  <c r="P35" i="3" s="1"/>
  <c r="J34" i="3"/>
  <c r="M34" i="3" s="1"/>
  <c r="O34" i="3" s="1"/>
  <c r="P34" i="3" s="1"/>
  <c r="J33" i="3"/>
  <c r="M33" i="3" s="1"/>
  <c r="O33" i="3" s="1"/>
  <c r="P33" i="3" s="1"/>
  <c r="J32" i="3"/>
  <c r="M32" i="3" s="1"/>
  <c r="O32" i="3" s="1"/>
  <c r="P32" i="3" s="1"/>
  <c r="J31" i="3"/>
  <c r="M31" i="3" s="1"/>
  <c r="O31" i="3" s="1"/>
  <c r="P31" i="3" s="1"/>
  <c r="J30" i="3"/>
  <c r="M30" i="3" s="1"/>
  <c r="O30" i="3" s="1"/>
  <c r="P30" i="3" s="1"/>
  <c r="J29" i="3"/>
  <c r="M29" i="3" s="1"/>
  <c r="O29" i="3" s="1"/>
  <c r="P29" i="3" s="1"/>
  <c r="J28" i="3"/>
  <c r="M28" i="3" s="1"/>
  <c r="O28" i="3" s="1"/>
  <c r="P28" i="3" s="1"/>
  <c r="J27" i="3"/>
  <c r="M27" i="3" s="1"/>
  <c r="O27" i="3" s="1"/>
  <c r="P27" i="3" s="1"/>
  <c r="J26" i="3"/>
  <c r="M26" i="3" s="1"/>
  <c r="O26" i="3" s="1"/>
  <c r="P26" i="3" s="1"/>
  <c r="J25" i="3"/>
  <c r="M25" i="3" s="1"/>
  <c r="O25" i="3" s="1"/>
  <c r="P25" i="3" s="1"/>
  <c r="J24" i="3"/>
  <c r="M24" i="3" s="1"/>
  <c r="O24" i="3" s="1"/>
  <c r="P24" i="3" s="1"/>
  <c r="J23" i="3"/>
  <c r="M23" i="3" s="1"/>
  <c r="O23" i="3" s="1"/>
  <c r="P23" i="3" s="1"/>
  <c r="J22" i="3"/>
  <c r="M22" i="3" s="1"/>
  <c r="O22" i="3" s="1"/>
  <c r="P22" i="3" s="1"/>
  <c r="J21" i="3"/>
  <c r="M21" i="3" s="1"/>
  <c r="O21" i="3" s="1"/>
  <c r="P21" i="3" s="1"/>
  <c r="J20" i="3"/>
  <c r="M20" i="3" s="1"/>
  <c r="O20" i="3" s="1"/>
  <c r="P20" i="3" s="1"/>
  <c r="J19" i="3"/>
  <c r="M19" i="3" s="1"/>
  <c r="O19" i="3" s="1"/>
  <c r="P19" i="3" s="1"/>
  <c r="D50" i="3"/>
  <c r="U79" i="1"/>
  <c r="V79" i="1" s="1"/>
  <c r="S41" i="1" l="1"/>
  <c r="U41" i="1" s="1"/>
  <c r="V41" i="1" s="1"/>
  <c r="S37" i="1"/>
  <c r="S36" i="1"/>
  <c r="S40" i="1"/>
  <c r="U40" i="1" s="1"/>
  <c r="V40" i="1" s="1"/>
  <c r="S39" i="1"/>
  <c r="F39" i="1" s="1"/>
  <c r="S38" i="1"/>
  <c r="U38" i="1" s="1"/>
  <c r="V38" i="1" s="1"/>
  <c r="R35" i="1"/>
  <c r="P35" i="1"/>
  <c r="R34" i="1"/>
  <c r="P34" i="1"/>
  <c r="R33" i="1"/>
  <c r="P33" i="1"/>
  <c r="R32" i="1"/>
  <c r="P32" i="1"/>
  <c r="R31" i="1"/>
  <c r="P31" i="1"/>
  <c r="R30" i="1"/>
  <c r="P30" i="1"/>
  <c r="R29" i="1"/>
  <c r="P29" i="1"/>
  <c r="R28" i="1"/>
  <c r="P28" i="1"/>
  <c r="R27" i="1"/>
  <c r="P27" i="1"/>
  <c r="R26" i="1"/>
  <c r="P26" i="1"/>
  <c r="P25" i="1"/>
  <c r="R23" i="1"/>
  <c r="P23" i="1"/>
  <c r="R22" i="1"/>
  <c r="P22" i="1"/>
  <c r="R21" i="1"/>
  <c r="P21" i="1"/>
  <c r="P20" i="1"/>
  <c r="S20" i="1" s="1"/>
  <c r="R19" i="1"/>
  <c r="P19" i="1"/>
  <c r="D19" i="5"/>
  <c r="G20" i="5"/>
  <c r="E20" i="5"/>
  <c r="E19" i="5"/>
  <c r="G19" i="5"/>
  <c r="D22" i="3"/>
  <c r="F41" i="1" l="1"/>
  <c r="F40" i="1"/>
  <c r="S19" i="1"/>
  <c r="U19" i="1" s="1"/>
  <c r="U39" i="1"/>
  <c r="V39" i="1" s="1"/>
  <c r="H19" i="5"/>
  <c r="S22" i="1"/>
  <c r="U22" i="1" s="1"/>
  <c r="V22" i="1" s="1"/>
  <c r="S24" i="1"/>
  <c r="F24" i="1" s="1"/>
  <c r="S26" i="1"/>
  <c r="F26" i="1" s="1"/>
  <c r="S28" i="1"/>
  <c r="U28" i="1" s="1"/>
  <c r="V28" i="1" s="1"/>
  <c r="F38" i="1"/>
  <c r="S30" i="1"/>
  <c r="F30" i="1" s="1"/>
  <c r="S32" i="1"/>
  <c r="U32" i="1" s="1"/>
  <c r="V32" i="1" s="1"/>
  <c r="S34" i="1"/>
  <c r="F34" i="1" s="1"/>
  <c r="S21" i="1"/>
  <c r="F21" i="1" s="1"/>
  <c r="S23" i="1"/>
  <c r="U23" i="1" s="1"/>
  <c r="V23" i="1" s="1"/>
  <c r="S25" i="1"/>
  <c r="F25" i="1" s="1"/>
  <c r="S27" i="1"/>
  <c r="U27" i="1" s="1"/>
  <c r="V27" i="1" s="1"/>
  <c r="S29" i="1"/>
  <c r="F29" i="1" s="1"/>
  <c r="S31" i="1"/>
  <c r="U31" i="1" s="1"/>
  <c r="V31" i="1" s="1"/>
  <c r="S33" i="1"/>
  <c r="F33" i="1" s="1"/>
  <c r="S35" i="1"/>
  <c r="U35" i="1" s="1"/>
  <c r="V35" i="1" s="1"/>
  <c r="U21" i="1"/>
  <c r="V21" i="1" s="1"/>
  <c r="F23" i="1"/>
  <c r="U37" i="1"/>
  <c r="V37" i="1" s="1"/>
  <c r="F37" i="1"/>
  <c r="U30" i="1"/>
  <c r="V30" i="1" s="1"/>
  <c r="U36" i="1"/>
  <c r="V36" i="1" s="1"/>
  <c r="F36" i="1"/>
  <c r="U20" i="1"/>
  <c r="V20" i="1" s="1"/>
  <c r="F20" i="1"/>
  <c r="S20" i="5"/>
  <c r="U20" i="5" s="1"/>
  <c r="V20" i="5" s="1"/>
  <c r="S19" i="5"/>
  <c r="U19" i="5" s="1"/>
  <c r="V19" i="5" s="1"/>
  <c r="H20" i="5"/>
  <c r="D48" i="3"/>
  <c r="D49" i="3"/>
  <c r="D19" i="3"/>
  <c r="D33" i="3"/>
  <c r="D40" i="3"/>
  <c r="D37" i="3"/>
  <c r="D30" i="3"/>
  <c r="D23" i="3"/>
  <c r="D41" i="3"/>
  <c r="D39" i="3"/>
  <c r="D38" i="3"/>
  <c r="D34" i="3"/>
  <c r="D25" i="3"/>
  <c r="D24" i="3"/>
  <c r="D46" i="3"/>
  <c r="D45" i="3"/>
  <c r="D43" i="3"/>
  <c r="D29" i="3"/>
  <c r="D28" i="3"/>
  <c r="D47" i="3"/>
  <c r="D44" i="3"/>
  <c r="D42" i="3"/>
  <c r="D36" i="3"/>
  <c r="D35" i="3"/>
  <c r="D32" i="3"/>
  <c r="D26" i="3"/>
  <c r="G34" i="1"/>
  <c r="F19" i="1" l="1"/>
  <c r="U25" i="1"/>
  <c r="V25" i="1" s="1"/>
  <c r="U26" i="1"/>
  <c r="V26" i="1" s="1"/>
  <c r="U33" i="1"/>
  <c r="V33" i="1" s="1"/>
  <c r="U24" i="1"/>
  <c r="V24" i="1" s="1"/>
  <c r="U34" i="1"/>
  <c r="V34" i="1" s="1"/>
  <c r="F32" i="1"/>
  <c r="F31" i="1"/>
  <c r="F22" i="1"/>
  <c r="F28" i="1"/>
  <c r="F35" i="1"/>
  <c r="F27" i="1"/>
  <c r="U29" i="1"/>
  <c r="V29" i="1" s="1"/>
  <c r="V23" i="5"/>
  <c r="S23" i="5"/>
  <c r="M53" i="3"/>
  <c r="P53" i="3"/>
  <c r="G31" i="1"/>
  <c r="G23" i="1"/>
  <c r="G25" i="1"/>
  <c r="G28" i="1"/>
  <c r="G36" i="1"/>
  <c r="G33" i="1"/>
  <c r="G26" i="1"/>
  <c r="G30" i="1"/>
  <c r="G29" i="1"/>
  <c r="G27" i="1"/>
  <c r="S82" i="1" l="1"/>
  <c r="G32" i="1"/>
  <c r="G37" i="1" l="1"/>
  <c r="G21" i="1"/>
  <c r="G20" i="1"/>
  <c r="G22" i="1" l="1"/>
  <c r="G24" i="1"/>
  <c r="G35" i="1" l="1"/>
  <c r="V19" i="1" l="1"/>
  <c r="V82" i="1" l="1"/>
</calcChain>
</file>

<file path=xl/sharedStrings.xml><?xml version="1.0" encoding="utf-8"?>
<sst xmlns="http://schemas.openxmlformats.org/spreadsheetml/2006/main" count="522" uniqueCount="110">
  <si>
    <t>TEL.: 17 3421 2907 / 17 98126 3862</t>
  </si>
  <si>
    <t>RUA JOÃO VILLAR PONTES, 3424 - PQ. IND. 1</t>
  </si>
  <si>
    <t>CLIENTE:</t>
  </si>
  <si>
    <t>NOME FANTASIA:</t>
  </si>
  <si>
    <t>E-MAIL</t>
  </si>
  <si>
    <t>N°</t>
  </si>
  <si>
    <t>CEP:</t>
  </si>
  <si>
    <t>ESTADO</t>
  </si>
  <si>
    <t>COD. PAGAMENTOS:</t>
  </si>
  <si>
    <t>TEF:</t>
  </si>
  <si>
    <t>CNPJ/CPF:</t>
  </si>
  <si>
    <t>IE:</t>
  </si>
  <si>
    <t>PRAZO DE ENTREGA:</t>
  </si>
  <si>
    <t>DATA:</t>
  </si>
  <si>
    <t>QUANT.</t>
  </si>
  <si>
    <t>DENSIDADE</t>
  </si>
  <si>
    <t>COR</t>
  </si>
  <si>
    <t>M3</t>
  </si>
  <si>
    <t>PREÇO M3</t>
  </si>
  <si>
    <t>TOTAL</t>
  </si>
  <si>
    <t>DS</t>
  </si>
  <si>
    <t>x</t>
  </si>
  <si>
    <t>BRANCA</t>
  </si>
  <si>
    <t>DESCONTOS PRATICADOS:</t>
  </si>
  <si>
    <t>OBS.:</t>
  </si>
  <si>
    <t>REPRESENTANTE</t>
  </si>
  <si>
    <t>CEP 15.503-019 VOTUPORANGA - SP</t>
  </si>
  <si>
    <t>NOME</t>
  </si>
  <si>
    <t xml:space="preserve">* COMPRIMENTO E LARGURA É ACRESCENTADO 1 CM </t>
  </si>
  <si>
    <t xml:space="preserve">PEÇAS EMBALADA </t>
  </si>
  <si>
    <t>PREÇO PEÇA</t>
  </si>
  <si>
    <t xml:space="preserve">MEDIDAS*                                  </t>
  </si>
  <si>
    <t>ESP</t>
  </si>
  <si>
    <t>COMP</t>
  </si>
  <si>
    <t>LARG</t>
  </si>
  <si>
    <t>MATISSE CAVA ENCOSTO</t>
  </si>
  <si>
    <t>TOTAL M3:</t>
  </si>
  <si>
    <t>FECHA BRAÇO SOFA</t>
  </si>
  <si>
    <t>ELITE ENCOSTO SOFA</t>
  </si>
  <si>
    <t>ELITE ASSENTO SOFA</t>
  </si>
  <si>
    <t>LAVIER ENCOSTO LAVATÓRIO</t>
  </si>
  <si>
    <t>ESPERA ENCOSTO</t>
  </si>
  <si>
    <t>MATISSE CAVA ASSENTO</t>
  </si>
  <si>
    <t>LAVIER ASSENTO LAVATÓRIO</t>
  </si>
  <si>
    <t>ESPERA ASSENTO</t>
  </si>
  <si>
    <t>LAVIER 1 ASSENTO SOFA</t>
  </si>
  <si>
    <t>LAVIER 2 ASSENTO SOFA</t>
  </si>
  <si>
    <t>FABIO</t>
  </si>
  <si>
    <t xml:space="preserve">HADASSA </t>
  </si>
  <si>
    <t>DELLON</t>
  </si>
  <si>
    <t>LAVIER 2 ASSENTO LAVATÓRIO</t>
  </si>
  <si>
    <t>LAVIER 2 ENCOSTO LAVATÓRIO</t>
  </si>
  <si>
    <t>RODRIGO</t>
  </si>
  <si>
    <t xml:space="preserve">ATHENAS ASSENTO CAVA SOFA </t>
  </si>
  <si>
    <t>ATHENAS BRAÇOS SOFA</t>
  </si>
  <si>
    <t xml:space="preserve">ATHENAS ENCOSTO CAVA SOFA </t>
  </si>
  <si>
    <t>ATHENAS FAIXA BRAÇO SOFA</t>
  </si>
  <si>
    <t>LUXO BRAÇO</t>
  </si>
  <si>
    <t>LADY PESEIRA</t>
  </si>
  <si>
    <t>ENDEREÇO: Rua Jundiai, 605</t>
  </si>
  <si>
    <t>BAIRRO: Monte Belo</t>
  </si>
  <si>
    <t>CIDADE: Itaququecetuba</t>
  </si>
  <si>
    <t>ENDEREÇO DE ENTREGA: Rua Jundiai, 605</t>
  </si>
  <si>
    <t>ENDEREÇO: Rua jundiai , 605</t>
  </si>
  <si>
    <t>CIDADE: Itaquaquecetuba</t>
  </si>
  <si>
    <t xml:space="preserve"> PEÇAS MODELADAS</t>
  </si>
  <si>
    <t>DIAM*</t>
  </si>
  <si>
    <t>ATHENAS ENCOSTO</t>
  </si>
  <si>
    <t>ATHENAS ASSENTO</t>
  </si>
  <si>
    <t>ATHENAS TESTA</t>
  </si>
  <si>
    <t>BARBEIRO ENCOSTO</t>
  </si>
  <si>
    <t>CIRANDIA ENCOSTO</t>
  </si>
  <si>
    <t>ELITE DESCANSO LAVATÓRIO</t>
  </si>
  <si>
    <t>ELITE ENCOSTO LAVATÓRIO</t>
  </si>
  <si>
    <t>FERRARI ASSENTO</t>
  </si>
  <si>
    <t>FERRARI CABEÇOTE</t>
  </si>
  <si>
    <t>FERRARI ENCOSTO</t>
  </si>
  <si>
    <t xml:space="preserve">GOBBI ASSENTO </t>
  </si>
  <si>
    <t>GOBBI ENCOSTO</t>
  </si>
  <si>
    <t>IRON PESEIRA</t>
  </si>
  <si>
    <t>IRON ASSENTO</t>
  </si>
  <si>
    <t>IRON ASSENTO LAVATÓRIO</t>
  </si>
  <si>
    <t>IRON CABEÇOTE</t>
  </si>
  <si>
    <t xml:space="preserve">IRON ENCOSTO  </t>
  </si>
  <si>
    <t>IRON ENCOSTO LAVATÓRIO</t>
  </si>
  <si>
    <t>MAQUIAGE PEZEIRA</t>
  </si>
  <si>
    <t>MAQUIAGEM ASSENTO</t>
  </si>
  <si>
    <t>MAQUIAGEM CABEÇOTE</t>
  </si>
  <si>
    <t>MAQUIAGEM ENCOSTO</t>
  </si>
  <si>
    <t>MATISSE ASSENTO</t>
  </si>
  <si>
    <t>MATISSE CABEÇOTE</t>
  </si>
  <si>
    <t>MATISSE ENCOSTO</t>
  </si>
  <si>
    <t>MOCHO ASSENTO SELA</t>
  </si>
  <si>
    <t>MOCHO ENCOSTO</t>
  </si>
  <si>
    <t>ELITE/EVIDENCE/SPLENDOR-SOFA CABEÇOTE</t>
  </si>
  <si>
    <t>TOPAZIO ENCOSTO</t>
  </si>
  <si>
    <t>ENDEREÇO DE ENTREGA: Rua: Jundiai, 605</t>
  </si>
  <si>
    <t xml:space="preserve"> PEÇAS TRIÂNGULO</t>
  </si>
  <si>
    <t>LADO 1</t>
  </si>
  <si>
    <t>LADO 2</t>
  </si>
  <si>
    <t>LADO 3</t>
  </si>
  <si>
    <t>LOMBAR APOIO</t>
  </si>
  <si>
    <t xml:space="preserve">ENCOSTO SOFA ESPERA </t>
  </si>
  <si>
    <t>ASSENTO SOFA ESPERA</t>
  </si>
  <si>
    <t>ENCOSTO LAVATORIO EVIDENCE</t>
  </si>
  <si>
    <t>ENCOSTO SOFA ESPERA</t>
  </si>
  <si>
    <t>SOFA ASSENTO LAVIE</t>
  </si>
  <si>
    <t xml:space="preserve"> SOFA LAVIE ENCOSTO</t>
  </si>
  <si>
    <t xml:space="preserve"> SOFA ESPERA ENCOSTO</t>
  </si>
  <si>
    <t xml:space="preserve">SOFA LAVIE  ENCOSTO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</si>
</sst>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$&quot;\ #,##0.00"/>
    <numFmt numFmtId="165" formatCode="0.0000"/>
    <numFmt numFmtId="166" formatCode="0.000"/>
    <numFmt numFmtId="167" formatCode="\(00\)\ 00000\ 0000"/>
    <numFmt numFmtId="168" formatCode="&quot;&quot;00&quot;.&quot;000&quot;.&quot;000&quot;/&quot;0000\-00"/>
    <numFmt numFmtId="169" formatCode="&quot;&quot;000&quot;.&quot;000&quot;.&quot;000&quot;.&quot;000&quot;-&quot;00"/>
    <numFmt numFmtId="170" formatCode="&quot;&quot;00&quot;.&quot;000\-000"/>
    <numFmt numFmtId="171" formatCode="&quot;&quot;00&quot;/&quot;00&quot;/&quot;00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0" xfId="0" applyAlignment="1" applyProtection="1">
      <alignment horizontal="center" vertical="center"/>
      <protection hidden="1"/>
    </xf>
    <xf numFmtId="0" fontId="0" fillId="3" borderId="4" xfId="0" applyFill="1" applyBorder="1" applyAlignment="1" applyProtection="1">
      <alignment horizontal="left" vertical="center"/>
      <protection hidden="1"/>
    </xf>
    <xf numFmtId="0" fontId="0" fillId="3" borderId="2" xfId="0" applyFill="1" applyBorder="1" applyAlignment="1" applyProtection="1">
      <alignment horizontal="left" vertical="center"/>
      <protection hidden="1"/>
    </xf>
    <xf numFmtId="0" fontId="0" fillId="3" borderId="4" xfId="0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hidden="1"/>
    </xf>
    <xf numFmtId="166" fontId="0" fillId="2" borderId="0" xfId="0" applyNumberFormat="1" applyFill="1" applyAlignment="1" applyProtection="1">
      <alignment horizontal="center" vertical="center" wrapText="1"/>
      <protection hidden="1"/>
    </xf>
    <xf numFmtId="166" fontId="0" fillId="2" borderId="2" xfId="0" applyNumberForma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165" fontId="5" fillId="0" borderId="1" xfId="0" applyNumberFormat="1" applyFont="1" applyBorder="1" applyAlignment="1" applyProtection="1">
      <alignment horizontal="center" vertical="center"/>
      <protection hidden="1"/>
    </xf>
    <xf numFmtId="164" fontId="5" fillId="4" borderId="1" xfId="0" applyNumberFormat="1" applyFont="1" applyFill="1" applyBorder="1" applyAlignment="1" applyProtection="1">
      <alignment horizontal="center" vertical="center"/>
      <protection hidden="1"/>
    </xf>
    <xf numFmtId="164" fontId="0" fillId="3" borderId="1" xfId="0" applyNumberFormat="1" applyFill="1" applyBorder="1" applyAlignment="1" applyProtection="1">
      <alignment horizontal="center" vertical="center"/>
      <protection hidden="1"/>
    </xf>
    <xf numFmtId="164" fontId="5" fillId="0" borderId="1" xfId="0" applyNumberFormat="1" applyFont="1" applyBorder="1" applyAlignment="1" applyProtection="1">
      <alignment horizontal="center" vertical="center"/>
      <protection hidden="1"/>
    </xf>
    <xf numFmtId="164" fontId="0" fillId="0" borderId="1" xfId="0" applyNumberFormat="1" applyBorder="1" applyAlignment="1" applyProtection="1">
      <alignment horizontal="center"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 vertical="center"/>
      <protection hidden="1"/>
    </xf>
    <xf numFmtId="166" fontId="11" fillId="0" borderId="4" xfId="0" applyNumberFormat="1" applyFont="1" applyBorder="1" applyAlignment="1" applyProtection="1">
      <alignment horizontal="center" vertical="center" shrinkToFit="1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1" fontId="9" fillId="0" borderId="12" xfId="0" applyNumberFormat="1" applyFont="1" applyBorder="1" applyAlignment="1" applyProtection="1">
      <alignment horizontal="center" vertical="center" shrinkToFi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3" fontId="7" fillId="0" borderId="1" xfId="0" applyNumberFormat="1" applyFont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hidden="1"/>
    </xf>
    <xf numFmtId="169" fontId="0" fillId="3" borderId="2" xfId="0" applyNumberFormat="1" applyFill="1" applyBorder="1" applyAlignment="1" applyProtection="1">
      <alignment horizontal="center" vertical="center"/>
      <protection hidden="1"/>
    </xf>
    <xf numFmtId="14" fontId="0" fillId="3" borderId="0" xfId="0" applyNumberForma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166" fontId="11" fillId="0" borderId="3" xfId="0" applyNumberFormat="1" applyFont="1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165" fontId="5" fillId="0" borderId="5" xfId="0" applyNumberFormat="1" applyFont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 wrapText="1"/>
      <protection hidden="1"/>
    </xf>
    <xf numFmtId="0" fontId="0" fillId="5" borderId="3" xfId="0" applyFill="1" applyBorder="1" applyAlignment="1" applyProtection="1">
      <alignment horizontal="center" vertical="center"/>
      <protection hidden="1"/>
    </xf>
    <xf numFmtId="0" fontId="0" fillId="5" borderId="4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165" fontId="5" fillId="5" borderId="1" xfId="0" applyNumberFormat="1" applyFont="1" applyFill="1" applyBorder="1" applyAlignment="1" applyProtection="1">
      <alignment horizontal="center" vertical="center"/>
      <protection hidden="1"/>
    </xf>
    <xf numFmtId="0" fontId="0" fillId="3" borderId="3" xfId="0" applyFill="1" applyBorder="1" applyAlignment="1" applyProtection="1">
      <alignment vertical="center"/>
      <protection hidden="1"/>
    </xf>
    <xf numFmtId="0" fontId="0" fillId="3" borderId="4" xfId="0" applyFill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166" fontId="0" fillId="3" borderId="4" xfId="0" applyNumberFormat="1" applyFill="1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166" fontId="0" fillId="0" borderId="0" xfId="0" applyNumberForma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2" fontId="0" fillId="0" borderId="4" xfId="0" applyNumberFormat="1" applyBorder="1" applyAlignment="1" applyProtection="1">
      <alignment horizontal="center" vertical="center"/>
      <protection hidden="1"/>
    </xf>
    <xf numFmtId="166" fontId="11" fillId="0" borderId="4" xfId="0" applyNumberFormat="1" applyFont="1" applyBorder="1" applyAlignment="1" applyProtection="1">
      <alignment horizontal="center" vertical="center" shrinkToFit="1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166" fontId="5" fillId="0" borderId="4" xfId="0" applyNumberFormat="1" applyFont="1" applyBorder="1" applyAlignment="1" applyProtection="1">
      <alignment horizontal="center" vertical="center" wrapText="1"/>
      <protection hidden="1"/>
    </xf>
    <xf numFmtId="166" fontId="11" fillId="0" borderId="2" xfId="0" applyNumberFormat="1" applyFont="1" applyBorder="1" applyAlignment="1" applyProtection="1">
      <alignment horizontal="center" vertical="center" shrinkToFit="1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166" fontId="0" fillId="0" borderId="11" xfId="0" applyNumberFormat="1" applyBorder="1" applyAlignment="1" applyProtection="1">
      <alignment horizontal="center" vertical="center"/>
      <protection hidden="1"/>
    </xf>
    <xf numFmtId="166" fontId="5" fillId="5" borderId="4" xfId="0" applyNumberFormat="1" applyFont="1" applyFill="1" applyBorder="1" applyAlignment="1" applyProtection="1">
      <alignment horizontal="center" vertical="center" wrapText="1"/>
      <protection hidden="1"/>
    </xf>
    <xf numFmtId="3" fontId="7" fillId="0" borderId="1" xfId="0" applyNumberFormat="1" applyFont="1" applyBorder="1" applyAlignment="1" applyProtection="1">
      <alignment horizontal="center" vertical="center"/>
      <protection hidden="1"/>
    </xf>
    <xf numFmtId="166" fontId="0" fillId="0" borderId="11" xfId="0" applyNumberFormat="1" applyBorder="1" applyAlignment="1" applyProtection="1">
      <alignment vertical="center"/>
      <protection hidden="1"/>
    </xf>
    <xf numFmtId="2" fontId="0" fillId="0" borderId="11" xfId="0" applyNumberForma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166" fontId="5" fillId="0" borderId="4" xfId="0" applyNumberFormat="1" applyFont="1" applyBorder="1" applyAlignment="1" applyProtection="1">
      <alignment horizontal="center" vertical="center" wrapText="1"/>
      <protection locked="0"/>
    </xf>
    <xf numFmtId="14" fontId="0" fillId="0" borderId="10" xfId="0" applyNumberFormat="1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 wrapText="1"/>
      <protection hidden="1"/>
    </xf>
    <xf numFmtId="0" fontId="0" fillId="0" borderId="5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17" xfId="0" applyBorder="1" applyAlignment="1" applyProtection="1">
      <alignment horizontal="center" vertical="center" wrapText="1"/>
      <protection hidden="1"/>
    </xf>
    <xf numFmtId="2" fontId="0" fillId="0" borderId="2" xfId="0" applyNumberForma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left" vertical="center" wrapText="1"/>
      <protection hidden="1"/>
    </xf>
    <xf numFmtId="166" fontId="0" fillId="0" borderId="16" xfId="0" applyNumberFormat="1" applyBorder="1" applyAlignment="1" applyProtection="1">
      <alignment horizontal="center" vertical="center"/>
      <protection hidden="1"/>
    </xf>
    <xf numFmtId="166" fontId="0" fillId="0" borderId="3" xfId="0" applyNumberFormat="1" applyBorder="1" applyAlignment="1" applyProtection="1">
      <alignment horizontal="center" vertical="center"/>
      <protection hidden="1"/>
    </xf>
    <xf numFmtId="166" fontId="0" fillId="0" borderId="10" xfId="0" applyNumberFormat="1" applyBorder="1" applyAlignment="1" applyProtection="1">
      <alignment horizontal="center" vertical="center" wrapText="1"/>
      <protection locked="0"/>
    </xf>
    <xf numFmtId="166" fontId="0" fillId="0" borderId="6" xfId="0" applyNumberForma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164" fontId="5" fillId="5" borderId="1" xfId="0" applyNumberFormat="1" applyFont="1" applyFill="1" applyBorder="1" applyAlignment="1" applyProtection="1">
      <alignment horizontal="center" vertical="center"/>
      <protection hidden="1"/>
    </xf>
    <xf numFmtId="165" fontId="0" fillId="0" borderId="5" xfId="0" applyNumberFormat="1" applyBorder="1" applyAlignment="1" applyProtection="1">
      <alignment horizontal="center" vertical="center"/>
      <protection hidden="1"/>
    </xf>
    <xf numFmtId="1" fontId="9" fillId="5" borderId="12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alignment horizontal="center" vertical="center"/>
      <protection hidden="1"/>
    </xf>
    <xf numFmtId="166" fontId="0" fillId="0" borderId="18" xfId="0" applyNumberFormat="1" applyBorder="1" applyAlignment="1" applyProtection="1">
      <alignment horizontal="center" vertical="center"/>
      <protection hidden="1"/>
    </xf>
    <xf numFmtId="2" fontId="0" fillId="0" borderId="18" xfId="0" applyNumberFormat="1" applyBorder="1" applyAlignment="1" applyProtection="1">
      <alignment horizontal="center" vertical="center"/>
      <protection hidden="1"/>
    </xf>
    <xf numFmtId="166" fontId="0" fillId="0" borderId="19" xfId="0" applyNumberFormat="1" applyBorder="1" applyAlignment="1" applyProtection="1">
      <alignment horizontal="center" vertical="center"/>
      <protection hidden="1"/>
    </xf>
    <xf numFmtId="0" fontId="0" fillId="3" borderId="4" xfId="0" applyFill="1" applyBorder="1" applyAlignment="1" applyProtection="1">
      <alignment horizontal="left" vertical="center"/>
      <protection locked="0"/>
    </xf>
    <xf numFmtId="0" fontId="0" fillId="3" borderId="2" xfId="0" applyFill="1" applyBorder="1" applyAlignment="1" applyProtection="1">
      <alignment horizontal="left" vertical="center"/>
      <protection locked="0"/>
    </xf>
    <xf numFmtId="166" fontId="0" fillId="3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166" fontId="0" fillId="3" borderId="4" xfId="0" applyNumberFormat="1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170" fontId="0" fillId="3" borderId="4" xfId="0" applyNumberFormat="1" applyFill="1" applyBorder="1" applyAlignment="1" applyProtection="1">
      <alignment horizontal="center" vertical="center"/>
      <protection locked="0"/>
    </xf>
    <xf numFmtId="171" fontId="0" fillId="3" borderId="4" xfId="0" applyNumberFormat="1" applyFill="1" applyBorder="1" applyAlignment="1" applyProtection="1">
      <alignment horizontal="left" vertical="center"/>
      <protection locked="0"/>
    </xf>
    <xf numFmtId="167" fontId="0" fillId="3" borderId="4" xfId="0" applyNumberFormat="1" applyFill="1" applyBorder="1" applyAlignment="1" applyProtection="1">
      <alignment horizontal="center" vertical="center"/>
      <protection locked="0"/>
    </xf>
    <xf numFmtId="14" fontId="0" fillId="0" borderId="5" xfId="0" applyNumberFormat="1" applyBorder="1" applyAlignment="1" applyProtection="1">
      <alignment horizontal="left" vertical="center"/>
      <protection locked="0"/>
    </xf>
    <xf numFmtId="166" fontId="11" fillId="5" borderId="3" xfId="0" applyNumberFormat="1" applyFont="1" applyFill="1" applyBorder="1" applyAlignment="1" applyProtection="1">
      <alignment horizontal="center" vertical="center" shrinkToFit="1"/>
      <protection hidden="1"/>
    </xf>
    <xf numFmtId="166" fontId="11" fillId="5" borderId="4" xfId="0" applyNumberFormat="1" applyFont="1" applyFill="1" applyBorder="1" applyAlignment="1" applyProtection="1">
      <alignment horizontal="center" vertical="center" shrinkToFit="1"/>
      <protection hidden="1"/>
    </xf>
    <xf numFmtId="2" fontId="0" fillId="5" borderId="4" xfId="0" applyNumberFormat="1" applyFill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166" fontId="0" fillId="0" borderId="10" xfId="0" applyNumberFormat="1" applyBorder="1" applyAlignment="1" applyProtection="1">
      <alignment horizontal="center" vertical="center" wrapText="1"/>
      <protection hidden="1"/>
    </xf>
    <xf numFmtId="166" fontId="0" fillId="0" borderId="6" xfId="0" applyNumberFormat="1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 wrapText="1"/>
      <protection hidden="1"/>
    </xf>
    <xf numFmtId="169" fontId="0" fillId="3" borderId="4" xfId="0" applyNumberFormat="1" applyFill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0" fillId="3" borderId="4" xfId="0" applyFill="1" applyBorder="1" applyAlignment="1" applyProtection="1">
      <alignment vertical="center"/>
      <protection locked="0"/>
    </xf>
    <xf numFmtId="166" fontId="0" fillId="3" borderId="2" xfId="0" applyNumberFormat="1" applyFill="1" applyBorder="1" applyAlignment="1" applyProtection="1">
      <alignment horizontal="center" vertical="center"/>
      <protection hidden="1"/>
    </xf>
    <xf numFmtId="14" fontId="0" fillId="0" borderId="5" xfId="0" applyNumberFormat="1" applyBorder="1" applyAlignment="1" applyProtection="1">
      <alignment horizontal="left" vertical="center"/>
      <protection hidden="1"/>
    </xf>
    <xf numFmtId="1" fontId="9" fillId="0" borderId="12" xfId="0" applyNumberFormat="1" applyFont="1" applyBorder="1" applyAlignment="1" applyProtection="1">
      <alignment horizontal="center" vertical="center" shrinkToFi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166" fontId="0" fillId="0" borderId="3" xfId="0" applyNumberFormat="1" applyBorder="1" applyAlignment="1" applyProtection="1">
      <alignment horizontal="center" vertical="center" wrapText="1"/>
      <protection locked="0"/>
    </xf>
    <xf numFmtId="166" fontId="0" fillId="0" borderId="7" xfId="0" applyNumberFormat="1" applyBorder="1" applyAlignment="1" applyProtection="1">
      <alignment horizontal="center" vertical="center" wrapText="1"/>
      <protection locked="0"/>
    </xf>
    <xf numFmtId="166" fontId="0" fillId="0" borderId="4" xfId="0" applyNumberFormat="1" applyBorder="1" applyAlignment="1" applyProtection="1">
      <alignment horizontal="center" vertical="center" wrapText="1"/>
      <protection locked="0"/>
    </xf>
    <xf numFmtId="166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2" borderId="9" xfId="0" applyFill="1" applyBorder="1" applyAlignment="1" applyProtection="1">
      <alignment horizontal="center" vertical="center" wrapText="1"/>
      <protection hidden="1"/>
    </xf>
    <xf numFmtId="0" fontId="0" fillId="2" borderId="13" xfId="0" applyFill="1" applyBorder="1" applyAlignment="1" applyProtection="1">
      <alignment horizontal="center" vertical="center" wrapText="1"/>
      <protection hidden="1"/>
    </xf>
    <xf numFmtId="0" fontId="0" fillId="2" borderId="9" xfId="0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7" fillId="2" borderId="9" xfId="0" applyFont="1" applyFill="1" applyBorder="1" applyAlignment="1" applyProtection="1">
      <alignment horizontal="center" vertical="center"/>
      <protection hidden="1"/>
    </xf>
    <xf numFmtId="0" fontId="7" fillId="2" borderId="13" xfId="0" applyFont="1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2" borderId="6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0" fillId="2" borderId="15" xfId="0" applyFill="1" applyBorder="1" applyAlignment="1" applyProtection="1">
      <alignment horizontal="center" vertical="center"/>
      <protection hidden="1"/>
    </xf>
    <xf numFmtId="0" fontId="0" fillId="2" borderId="10" xfId="0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14" fontId="0" fillId="3" borderId="0" xfId="0" applyNumberFormat="1" applyFill="1" applyAlignment="1" applyProtection="1">
      <alignment horizontal="center" vertical="center"/>
      <protection hidden="1"/>
    </xf>
    <xf numFmtId="0" fontId="0" fillId="3" borderId="3" xfId="0" applyFill="1" applyBorder="1" applyAlignment="1" applyProtection="1">
      <alignment horizontal="left" vertical="center"/>
      <protection hidden="1"/>
    </xf>
    <xf numFmtId="0" fontId="0" fillId="3" borderId="4" xfId="0" applyFill="1" applyBorder="1" applyAlignment="1" applyProtection="1">
      <alignment horizontal="left" vertical="center"/>
      <protection hidden="1"/>
    </xf>
    <xf numFmtId="171" fontId="0" fillId="3" borderId="4" xfId="0" applyNumberFormat="1" applyFill="1" applyBorder="1" applyAlignment="1" applyProtection="1">
      <alignment horizontal="left" vertical="center"/>
      <protection locked="0"/>
    </xf>
    <xf numFmtId="167" fontId="0" fillId="3" borderId="4" xfId="0" applyNumberFormat="1" applyFill="1" applyBorder="1" applyAlignment="1" applyProtection="1">
      <alignment horizontal="left" vertical="center"/>
      <protection locked="0"/>
    </xf>
    <xf numFmtId="167" fontId="0" fillId="3" borderId="5" xfId="0" applyNumberFormat="1" applyFill="1" applyBorder="1" applyAlignment="1" applyProtection="1">
      <alignment horizontal="left" vertical="center"/>
      <protection locked="0"/>
    </xf>
    <xf numFmtId="168" fontId="0" fillId="3" borderId="4" xfId="0" applyNumberFormat="1" applyFill="1" applyBorder="1" applyAlignment="1" applyProtection="1">
      <alignment horizontal="left" vertical="center"/>
      <protection locked="0"/>
    </xf>
    <xf numFmtId="169" fontId="0" fillId="3" borderId="4" xfId="0" applyNumberFormat="1" applyFill="1" applyBorder="1" applyAlignment="1" applyProtection="1">
      <alignment horizontal="left" vertical="center"/>
      <protection locked="0"/>
    </xf>
    <xf numFmtId="169" fontId="0" fillId="3" borderId="5" xfId="0" applyNumberFormat="1" applyFill="1" applyBorder="1" applyAlignment="1" applyProtection="1">
      <alignment horizontal="left" vertical="center"/>
      <protection locked="0"/>
    </xf>
    <xf numFmtId="0" fontId="0" fillId="3" borderId="4" xfId="0" applyFill="1" applyBorder="1" applyAlignment="1" applyProtection="1">
      <alignment horizontal="left" vertical="center"/>
      <protection locked="0"/>
    </xf>
    <xf numFmtId="14" fontId="0" fillId="3" borderId="4" xfId="0" applyNumberFormat="1" applyFill="1" applyBorder="1" applyAlignment="1" applyProtection="1">
      <alignment horizontal="left" vertical="center"/>
      <protection locked="0"/>
    </xf>
    <xf numFmtId="14" fontId="0" fillId="3" borderId="5" xfId="0" applyNumberFormat="1" applyFill="1" applyBorder="1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center" vertical="center"/>
      <protection hidden="1"/>
    </xf>
    <xf numFmtId="170" fontId="0" fillId="3" borderId="4" xfId="0" applyNumberFormat="1" applyFill="1" applyBorder="1" applyAlignment="1" applyProtection="1">
      <alignment horizontal="left" vertical="center"/>
      <protection locked="0"/>
    </xf>
    <xf numFmtId="170" fontId="0" fillId="3" borderId="5" xfId="0" applyNumberFormat="1" applyFill="1" applyBorder="1" applyAlignment="1" applyProtection="1">
      <alignment horizontal="left" vertical="center"/>
      <protection locked="0"/>
    </xf>
    <xf numFmtId="0" fontId="0" fillId="3" borderId="5" xfId="0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horizontal="left" vertical="center"/>
      <protection hidden="1"/>
    </xf>
    <xf numFmtId="0" fontId="7" fillId="3" borderId="4" xfId="0" applyFont="1" applyFill="1" applyBorder="1" applyAlignment="1" applyProtection="1">
      <alignment horizontal="left" vertical="center"/>
      <protection hidden="1"/>
    </xf>
    <xf numFmtId="0" fontId="0" fillId="3" borderId="2" xfId="0" applyFill="1" applyBorder="1" applyAlignment="1" applyProtection="1">
      <alignment horizontal="left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15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3" borderId="2" xfId="0" applyFill="1" applyBorder="1" applyAlignment="1" applyProtection="1">
      <alignment horizontal="left" vertical="center"/>
      <protection hidden="1"/>
    </xf>
    <xf numFmtId="171" fontId="0" fillId="3" borderId="4" xfId="0" applyNumberFormat="1" applyFill="1" applyBorder="1" applyAlignment="1" applyProtection="1">
      <alignment horizontal="center" vertical="center"/>
      <protection hidden="1"/>
    </xf>
    <xf numFmtId="14" fontId="0" fillId="3" borderId="4" xfId="0" applyNumberFormat="1" applyFill="1" applyBorder="1" applyAlignment="1" applyProtection="1">
      <alignment horizontal="left" vertical="center"/>
      <protection hidden="1"/>
    </xf>
    <xf numFmtId="14" fontId="0" fillId="3" borderId="5" xfId="0" applyNumberFormat="1" applyFill="1" applyBorder="1" applyAlignment="1" applyProtection="1">
      <alignment horizontal="left" vertical="center"/>
      <protection hidden="1"/>
    </xf>
    <xf numFmtId="0" fontId="0" fillId="2" borderId="8" xfId="0" applyFill="1" applyBorder="1" applyAlignment="1" applyProtection="1">
      <alignment horizontal="center" vertical="center" wrapText="1"/>
      <protection hidden="1"/>
    </xf>
    <xf numFmtId="170" fontId="0" fillId="3" borderId="4" xfId="0" applyNumberFormat="1" applyFill="1" applyBorder="1" applyAlignment="1" applyProtection="1">
      <alignment horizontal="left" vertical="center"/>
      <protection hidden="1"/>
    </xf>
    <xf numFmtId="170" fontId="0" fillId="3" borderId="5" xfId="0" applyNumberFormat="1" applyFill="1" applyBorder="1" applyAlignment="1" applyProtection="1">
      <alignment horizontal="left" vertical="center"/>
      <protection hidden="1"/>
    </xf>
    <xf numFmtId="0" fontId="0" fillId="3" borderId="5" xfId="0" applyFill="1" applyBorder="1" applyAlignment="1" applyProtection="1">
      <alignment horizontal="left" vertical="center"/>
      <protection hidden="1"/>
    </xf>
    <xf numFmtId="167" fontId="0" fillId="3" borderId="4" xfId="0" applyNumberFormat="1" applyFill="1" applyBorder="1" applyAlignment="1" applyProtection="1">
      <alignment horizontal="left" vertical="center"/>
      <protection hidden="1"/>
    </xf>
    <xf numFmtId="167" fontId="0" fillId="3" borderId="5" xfId="0" applyNumberFormat="1" applyFill="1" applyBorder="1" applyAlignment="1" applyProtection="1">
      <alignment horizontal="left" vertical="center"/>
      <protection hidden="1"/>
    </xf>
    <xf numFmtId="168" fontId="0" fillId="3" borderId="4" xfId="0" applyNumberFormat="1" applyFill="1" applyBorder="1" applyAlignment="1" applyProtection="1">
      <alignment horizontal="left" vertical="center"/>
      <protection hidden="1"/>
    </xf>
    <xf numFmtId="169" fontId="0" fillId="3" borderId="4" xfId="0" applyNumberFormat="1" applyFill="1" applyBorder="1" applyAlignment="1" applyProtection="1">
      <alignment horizontal="left" vertical="center"/>
      <protection hidden="1"/>
    </xf>
    <xf numFmtId="169" fontId="0" fillId="3" borderId="5" xfId="0" applyNumberFormat="1" applyFill="1" applyBorder="1" applyAlignment="1" applyProtection="1">
      <alignment horizontal="left" vertical="center"/>
      <protection hidden="1"/>
    </xf>
    <xf numFmtId="0" fontId="0" fillId="3" borderId="2" xfId="0" applyFill="1" applyBorder="1" applyAlignment="1" applyProtection="1">
      <alignment horizontal="center" vertical="center"/>
      <protection hidden="1"/>
    </xf>
    <xf numFmtId="0" fontId="0" fillId="3" borderId="15" xfId="0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4" xfId="0" applyNumberFormat="1" applyBorder="1" applyAlignment="1" applyProtection="1">
      <alignment horizontal="center" vertical="center" wrapText="1"/>
      <protection hidden="1"/>
    </xf>
    <xf numFmtId="166" fontId="0" fillId="0" borderId="5" xfId="0" applyNumberFormat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155575</xdr:colOff>
      <xdr:row>0</xdr:row>
      <xdr:rowOff>57150</xdr:rowOff>
    </xdr:from>
    <xdr:to>
      <xdr:col>5</xdr:col>
      <xdr:colOff>1069975</xdr:colOff>
      <xdr:row>4</xdr:row>
      <xdr:rowOff>26106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5D68D1-08C8-4E09-8C27-649618646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325" y="57150"/>
          <a:ext cx="1495425" cy="73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155575</xdr:colOff>
      <xdr:row>0</xdr:row>
      <xdr:rowOff>57150</xdr:rowOff>
    </xdr:from>
    <xdr:to>
      <xdr:col>9</xdr:col>
      <xdr:colOff>1069975</xdr:colOff>
      <xdr:row>4</xdr:row>
      <xdr:rowOff>26106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692C12-62D1-424F-AE75-B4E5385B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25" y="57150"/>
          <a:ext cx="1495425" cy="73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155575</xdr:colOff>
      <xdr:row>0</xdr:row>
      <xdr:rowOff>57150</xdr:rowOff>
    </xdr:from>
    <xdr:to>
      <xdr:col>9</xdr:col>
      <xdr:colOff>1069975</xdr:colOff>
      <xdr:row>4</xdr:row>
      <xdr:rowOff>26106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8507D1-D60A-4FF5-8BF7-8F728C4EC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325" y="57150"/>
          <a:ext cx="1495425" cy="73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f15eec13a960032/1%20DESPUMA/1.%20PEDIDOS%20ESPUMA%20D'ESPUMA/FABIO%20S&#195;O%20PAULO/HADASSA/2%20PEDIDO%20DELLON%20HADASSA%20MATRIZ%20PE&#199;AS%20RETAS.xlsx" TargetMode="External"/><Relationship Id="rId1" Type="http://schemas.openxmlformats.org/officeDocument/2006/relationships/externalLinkPath" Target="2%20PEDIDO%20DELLON%20HADASSA%20MATRIZ%20PE&#199;AS%20RE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006B2FD3-7A31-407B-986D-64D2AC366857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5A084AD3-A1EF-41C3-9581-713F3ACCE573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FA4FABB-16F3-47EB-B994-E544BB13A1AB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F63A-C9F7-48F1-A407-472F72CECE50}">
  <dimension ref="B2:S59"/>
  <sheetViews>
    <sheetView showGridLines="0" topLeftCell="A9" zoomScaleNormal="100" workbookViewId="0">
      <selection activeCell="F19" sqref="F19:I50"/>
    </sheetView>
  </sheetViews>
  <sheetFormatPr defaultColWidth="8.7109375" defaultRowHeight="15" x14ac:dyDescent="0.25"/>
  <cols>
    <col min="1" max="1" width="4.28515625" style="1" customWidth="1"/>
    <col min="2" max="3" width="8.7109375" style="1" hidden="1" customWidth="1"/>
    <col min="4" max="4" width="1.42578125" style="1" hidden="1" customWidth="1"/>
    <col min="5" max="5" width="8.7109375" style="43"/>
    <col min="6" max="6" width="25.28515625" style="44" customWidth="1"/>
    <col min="7" max="7" width="5" style="1" customWidth="1"/>
    <col min="8" max="8" width="5.85546875" style="1" customWidth="1"/>
    <col min="9" max="9" width="13.140625" style="1" customWidth="1"/>
    <col min="10" max="10" width="6.85546875" style="49" customWidth="1"/>
    <col min="11" max="11" width="1.42578125" style="1" customWidth="1"/>
    <col min="12" max="12" width="11.5703125" style="49" customWidth="1"/>
    <col min="13" max="13" width="9.140625" style="1" customWidth="1"/>
    <col min="14" max="14" width="11.28515625" style="1" customWidth="1"/>
    <col min="15" max="15" width="12.140625" style="1" customWidth="1"/>
    <col min="16" max="16" width="19.42578125" style="1" customWidth="1"/>
    <col min="17" max="17" width="14.7109375" style="1" customWidth="1"/>
    <col min="18" max="16384" width="8.7109375" style="1"/>
  </cols>
  <sheetData>
    <row r="2" spans="5:19" x14ac:dyDescent="0.25">
      <c r="I2" s="156"/>
      <c r="J2" s="156"/>
      <c r="K2" s="156"/>
      <c r="L2" s="156"/>
      <c r="M2" s="156"/>
    </row>
    <row r="3" spans="5:19" s="28" customFormat="1" x14ac:dyDescent="0.25">
      <c r="E3" s="43"/>
      <c r="F3" s="44"/>
      <c r="G3" s="1"/>
      <c r="H3" s="156" t="s">
        <v>0</v>
      </c>
      <c r="I3" s="156"/>
      <c r="J3" s="156"/>
      <c r="K3" s="156"/>
      <c r="L3" s="156"/>
      <c r="M3" s="156"/>
      <c r="P3" s="1"/>
      <c r="Q3" s="1"/>
      <c r="R3" s="1"/>
      <c r="S3" s="1"/>
    </row>
    <row r="4" spans="5:19" s="28" customFormat="1" x14ac:dyDescent="0.25">
      <c r="E4" s="43"/>
      <c r="F4" s="44"/>
      <c r="G4" s="156" t="s">
        <v>1</v>
      </c>
      <c r="H4" s="156"/>
      <c r="I4" s="156"/>
      <c r="J4" s="156"/>
      <c r="K4" s="156"/>
      <c r="L4" s="156"/>
      <c r="M4" s="156"/>
      <c r="P4" s="1"/>
    </row>
    <row r="5" spans="5:19" s="28" customFormat="1" x14ac:dyDescent="0.25">
      <c r="E5" s="43"/>
      <c r="F5" s="44"/>
      <c r="G5" s="120" t="s">
        <v>26</v>
      </c>
      <c r="H5" s="120"/>
      <c r="I5" s="120"/>
      <c r="J5" s="120"/>
      <c r="K5" s="120"/>
      <c r="L5" s="120"/>
      <c r="M5" s="120"/>
      <c r="P5" s="1"/>
      <c r="Q5" s="1"/>
    </row>
    <row r="6" spans="5:19" x14ac:dyDescent="0.25">
      <c r="E6" s="136" t="s">
        <v>2</v>
      </c>
      <c r="F6" s="137"/>
      <c r="G6" s="137"/>
      <c r="H6" s="144" t="s">
        <v>49</v>
      </c>
      <c r="I6" s="144"/>
      <c r="J6" s="144"/>
      <c r="K6" s="144"/>
      <c r="L6" s="144"/>
      <c r="M6" s="144"/>
      <c r="N6" s="144"/>
      <c r="O6" s="144"/>
      <c r="P6" s="150"/>
    </row>
    <row r="7" spans="5:19" x14ac:dyDescent="0.25">
      <c r="E7" s="151" t="s">
        <v>3</v>
      </c>
      <c r="F7" s="152"/>
      <c r="G7" s="2"/>
      <c r="H7" s="153" t="s">
        <v>48</v>
      </c>
      <c r="I7" s="153"/>
      <c r="J7" s="153"/>
      <c r="K7" s="153"/>
      <c r="L7" s="90"/>
      <c r="M7" s="89"/>
      <c r="N7" s="91"/>
      <c r="O7" s="154"/>
      <c r="P7" s="155"/>
    </row>
    <row r="8" spans="5:19" x14ac:dyDescent="0.25">
      <c r="E8" s="136" t="s">
        <v>63</v>
      </c>
      <c r="F8" s="137"/>
      <c r="G8" s="137"/>
      <c r="H8" s="144"/>
      <c r="I8" s="144"/>
      <c r="J8" s="144"/>
      <c r="K8" s="144"/>
      <c r="L8" s="92"/>
      <c r="M8" s="88"/>
      <c r="N8" s="93"/>
      <c r="O8" s="144"/>
      <c r="P8" s="150"/>
      <c r="Q8" s="46"/>
    </row>
    <row r="9" spans="5:19" x14ac:dyDescent="0.25">
      <c r="E9" s="136" t="s">
        <v>60</v>
      </c>
      <c r="F9" s="137"/>
      <c r="G9" s="137"/>
      <c r="H9" s="144"/>
      <c r="I9" s="144"/>
      <c r="J9" s="144"/>
      <c r="K9" s="144"/>
      <c r="L9" s="92"/>
      <c r="M9" s="88"/>
      <c r="N9" s="94"/>
      <c r="O9" s="148"/>
      <c r="P9" s="149"/>
    </row>
    <row r="10" spans="5:19" x14ac:dyDescent="0.25">
      <c r="E10" s="136" t="s">
        <v>64</v>
      </c>
      <c r="F10" s="137"/>
      <c r="G10" s="137"/>
      <c r="H10" s="144"/>
      <c r="I10" s="144"/>
      <c r="J10" s="144"/>
      <c r="K10" s="144"/>
      <c r="L10" s="92"/>
      <c r="M10" s="88"/>
      <c r="N10" s="93"/>
      <c r="O10" s="144"/>
      <c r="P10" s="150"/>
    </row>
    <row r="11" spans="5:19" x14ac:dyDescent="0.25">
      <c r="E11" s="136" t="s">
        <v>8</v>
      </c>
      <c r="F11" s="137"/>
      <c r="G11" s="137"/>
      <c r="H11" s="138"/>
      <c r="I11" s="138"/>
      <c r="J11" s="138"/>
      <c r="K11" s="138"/>
      <c r="L11" s="92"/>
      <c r="M11" s="88"/>
      <c r="N11" s="96"/>
      <c r="O11" s="139"/>
      <c r="P11" s="140"/>
    </row>
    <row r="12" spans="5:19" x14ac:dyDescent="0.25">
      <c r="E12" s="136" t="s">
        <v>10</v>
      </c>
      <c r="F12" s="137"/>
      <c r="G12" s="137"/>
      <c r="H12" s="141"/>
      <c r="I12" s="141"/>
      <c r="J12" s="141"/>
      <c r="K12" s="141"/>
      <c r="L12" s="92"/>
      <c r="M12" s="2" t="s">
        <v>11</v>
      </c>
      <c r="N12" s="105"/>
      <c r="O12" s="142"/>
      <c r="P12" s="143"/>
    </row>
    <row r="13" spans="5:19" x14ac:dyDescent="0.25">
      <c r="E13" s="136" t="s">
        <v>62</v>
      </c>
      <c r="F13" s="137"/>
      <c r="G13" s="137"/>
      <c r="H13" s="144"/>
      <c r="I13" s="144"/>
      <c r="J13" s="144"/>
      <c r="K13" s="144"/>
      <c r="L13" s="92"/>
      <c r="M13" s="144"/>
      <c r="N13" s="144"/>
      <c r="O13" s="145"/>
      <c r="P13" s="146"/>
    </row>
    <row r="14" spans="5:19" s="28" customFormat="1" x14ac:dyDescent="0.25">
      <c r="E14" s="47"/>
      <c r="F14" s="48"/>
      <c r="I14" s="147"/>
      <c r="J14" s="147"/>
      <c r="K14" s="147"/>
      <c r="L14" s="49"/>
      <c r="M14" s="1"/>
      <c r="N14" s="1"/>
      <c r="O14" s="1"/>
      <c r="P14" s="50"/>
      <c r="Q14" s="50"/>
    </row>
    <row r="15" spans="5:19" s="28" customFormat="1" x14ac:dyDescent="0.25">
      <c r="E15" s="5" t="s">
        <v>13</v>
      </c>
      <c r="F15" s="97"/>
      <c r="G15" s="34"/>
      <c r="H15" s="134" t="s">
        <v>65</v>
      </c>
      <c r="I15" s="134"/>
      <c r="J15" s="134"/>
      <c r="K15" s="134"/>
      <c r="L15" s="134"/>
      <c r="M15" s="135"/>
      <c r="N15" s="135"/>
      <c r="O15" s="135"/>
      <c r="P15" s="135"/>
      <c r="Q15" s="50"/>
    </row>
    <row r="17" spans="2:17" ht="17.25" customHeight="1" x14ac:dyDescent="0.25">
      <c r="E17" s="127" t="s">
        <v>14</v>
      </c>
      <c r="F17" s="124" t="s">
        <v>27</v>
      </c>
      <c r="G17" s="129" t="s">
        <v>15</v>
      </c>
      <c r="H17" s="130"/>
      <c r="I17" s="129" t="s">
        <v>16</v>
      </c>
      <c r="J17" s="133"/>
      <c r="K17" s="133"/>
      <c r="L17" s="133"/>
      <c r="M17" s="124" t="s">
        <v>17</v>
      </c>
      <c r="N17" s="122" t="s">
        <v>18</v>
      </c>
      <c r="O17" s="122" t="s">
        <v>30</v>
      </c>
      <c r="P17" s="124" t="s">
        <v>19</v>
      </c>
    </row>
    <row r="18" spans="2:17" ht="16.5" customHeight="1" x14ac:dyDescent="0.25">
      <c r="E18" s="128"/>
      <c r="F18" s="125"/>
      <c r="G18" s="131"/>
      <c r="H18" s="132"/>
      <c r="I18" s="131"/>
      <c r="J18" s="8" t="s">
        <v>66</v>
      </c>
      <c r="K18" s="7"/>
      <c r="L18" s="9" t="s">
        <v>32</v>
      </c>
      <c r="M18" s="125"/>
      <c r="N18" s="123"/>
      <c r="O18" s="123"/>
      <c r="P18" s="125"/>
    </row>
    <row r="19" spans="2:17" x14ac:dyDescent="0.25">
      <c r="B19" s="51">
        <v>0.02</v>
      </c>
      <c r="C19" s="52">
        <v>0.48</v>
      </c>
      <c r="D19" s="53" t="e">
        <f>SUM(#REF!*C19*#REF!)</f>
        <v>#REF!</v>
      </c>
      <c r="E19" s="106"/>
      <c r="F19" s="54" t="s">
        <v>67</v>
      </c>
      <c r="G19" s="10" t="s">
        <v>20</v>
      </c>
      <c r="H19" s="11">
        <v>3503</v>
      </c>
      <c r="I19" s="12" t="s">
        <v>22</v>
      </c>
      <c r="J19" s="52">
        <f t="shared" ref="J19:J50" si="0">SUM(C19+B19)</f>
        <v>0.5</v>
      </c>
      <c r="K19" s="51" t="s">
        <v>21</v>
      </c>
      <c r="L19" s="55">
        <v>0.06</v>
      </c>
      <c r="M19" s="13">
        <f t="shared" ref="M19:M50" si="1">SUM(J19*L19)</f>
        <v>0.03</v>
      </c>
      <c r="N19" s="16">
        <v>865</v>
      </c>
      <c r="O19" s="14">
        <f t="shared" ref="O19:O50" si="2">SUM(M19*N19)</f>
        <v>25.95</v>
      </c>
      <c r="P19" s="15">
        <f t="shared" ref="P19:P50" si="3">SUM(E19*O19)</f>
        <v>0</v>
      </c>
    </row>
    <row r="20" spans="2:17" x14ac:dyDescent="0.25">
      <c r="B20" s="51">
        <v>0.02</v>
      </c>
      <c r="C20" s="52">
        <v>0.46500000000000002</v>
      </c>
      <c r="D20" s="53"/>
      <c r="E20" s="106"/>
      <c r="F20" s="54" t="s">
        <v>68</v>
      </c>
      <c r="G20" s="10" t="s">
        <v>20</v>
      </c>
      <c r="H20" s="11">
        <v>3503</v>
      </c>
      <c r="I20" s="12" t="s">
        <v>22</v>
      </c>
      <c r="J20" s="52">
        <f t="shared" si="0"/>
        <v>0.48500000000000004</v>
      </c>
      <c r="K20" s="51" t="s">
        <v>21</v>
      </c>
      <c r="L20" s="55">
        <v>0.06</v>
      </c>
      <c r="M20" s="13">
        <f t="shared" si="1"/>
        <v>2.9100000000000001E-2</v>
      </c>
      <c r="N20" s="16">
        <v>865</v>
      </c>
      <c r="O20" s="14">
        <f t="shared" si="2"/>
        <v>25.171500000000002</v>
      </c>
      <c r="P20" s="15">
        <f t="shared" si="3"/>
        <v>0</v>
      </c>
    </row>
    <row r="21" spans="2:17" x14ac:dyDescent="0.25">
      <c r="B21" s="51">
        <v>0.02</v>
      </c>
      <c r="C21" s="52">
        <v>0.5</v>
      </c>
      <c r="D21" s="53"/>
      <c r="E21" s="106"/>
      <c r="F21" s="54" t="s">
        <v>69</v>
      </c>
      <c r="G21" s="10" t="s">
        <v>20</v>
      </c>
      <c r="H21" s="11">
        <v>3503</v>
      </c>
      <c r="I21" s="12" t="s">
        <v>22</v>
      </c>
      <c r="J21" s="52">
        <f t="shared" si="0"/>
        <v>0.52</v>
      </c>
      <c r="K21" s="51" t="s">
        <v>21</v>
      </c>
      <c r="L21" s="55">
        <v>2.7E-2</v>
      </c>
      <c r="M21" s="13">
        <f t="shared" si="1"/>
        <v>1.404E-2</v>
      </c>
      <c r="N21" s="16">
        <v>865</v>
      </c>
      <c r="O21" s="14">
        <f t="shared" si="2"/>
        <v>12.144600000000001</v>
      </c>
      <c r="P21" s="15">
        <f t="shared" si="3"/>
        <v>0</v>
      </c>
    </row>
    <row r="22" spans="2:17" x14ac:dyDescent="0.25">
      <c r="B22" s="51">
        <v>0.02</v>
      </c>
      <c r="C22" s="52">
        <v>0.46</v>
      </c>
      <c r="D22" s="53" t="e">
        <f>SUM(#REF!*C22*#REF!)</f>
        <v>#REF!</v>
      </c>
      <c r="E22" s="106"/>
      <c r="F22" s="54" t="s">
        <v>70</v>
      </c>
      <c r="G22" s="10" t="s">
        <v>20</v>
      </c>
      <c r="H22" s="11">
        <v>3503</v>
      </c>
      <c r="I22" s="12" t="s">
        <v>22</v>
      </c>
      <c r="J22" s="52">
        <f t="shared" si="0"/>
        <v>0.48000000000000004</v>
      </c>
      <c r="K22" s="51" t="s">
        <v>21</v>
      </c>
      <c r="L22" s="55">
        <v>0.06</v>
      </c>
      <c r="M22" s="13">
        <f t="shared" si="1"/>
        <v>2.8800000000000003E-2</v>
      </c>
      <c r="N22" s="16">
        <v>865</v>
      </c>
      <c r="O22" s="14">
        <f t="shared" si="2"/>
        <v>24.912000000000003</v>
      </c>
      <c r="P22" s="15">
        <f t="shared" si="3"/>
        <v>0</v>
      </c>
    </row>
    <row r="23" spans="2:17" x14ac:dyDescent="0.25">
      <c r="B23" s="51">
        <v>0.02</v>
      </c>
      <c r="C23" s="52">
        <v>0.4</v>
      </c>
      <c r="D23" s="53" t="e">
        <f>SUM(#REF!*C23*#REF!)</f>
        <v>#REF!</v>
      </c>
      <c r="E23" s="22"/>
      <c r="F23" s="54" t="s">
        <v>71</v>
      </c>
      <c r="G23" s="10" t="s">
        <v>20</v>
      </c>
      <c r="H23" s="11">
        <v>3503</v>
      </c>
      <c r="I23" s="12" t="s">
        <v>22</v>
      </c>
      <c r="J23" s="52">
        <f t="shared" si="0"/>
        <v>0.42000000000000004</v>
      </c>
      <c r="K23" s="51" t="s">
        <v>21</v>
      </c>
      <c r="L23" s="55">
        <v>0.01</v>
      </c>
      <c r="M23" s="13">
        <f t="shared" si="1"/>
        <v>4.2000000000000006E-3</v>
      </c>
      <c r="N23" s="16">
        <v>865</v>
      </c>
      <c r="O23" s="14">
        <f t="shared" si="2"/>
        <v>3.6330000000000005</v>
      </c>
      <c r="P23" s="15">
        <f t="shared" si="3"/>
        <v>0</v>
      </c>
    </row>
    <row r="24" spans="2:17" ht="30" x14ac:dyDescent="0.25">
      <c r="B24" s="51">
        <v>0.02</v>
      </c>
      <c r="C24" s="52">
        <v>0.46</v>
      </c>
      <c r="D24" s="53" t="e">
        <f>SUM(#REF!*C24*#REF!)</f>
        <v>#REF!</v>
      </c>
      <c r="E24" s="22"/>
      <c r="F24" s="54" t="s">
        <v>72</v>
      </c>
      <c r="G24" s="10" t="s">
        <v>20</v>
      </c>
      <c r="H24" s="11">
        <v>3503</v>
      </c>
      <c r="I24" s="12" t="s">
        <v>22</v>
      </c>
      <c r="J24" s="52">
        <f t="shared" si="0"/>
        <v>0.48000000000000004</v>
      </c>
      <c r="K24" s="51" t="s">
        <v>21</v>
      </c>
      <c r="L24" s="55">
        <v>0.05</v>
      </c>
      <c r="M24" s="13">
        <f t="shared" si="1"/>
        <v>2.4000000000000004E-2</v>
      </c>
      <c r="N24" s="16">
        <v>865</v>
      </c>
      <c r="O24" s="14">
        <f t="shared" si="2"/>
        <v>20.760000000000005</v>
      </c>
      <c r="P24" s="15">
        <f t="shared" si="3"/>
        <v>0</v>
      </c>
    </row>
    <row r="25" spans="2:17" ht="30" x14ac:dyDescent="0.25">
      <c r="B25" s="51">
        <v>0.02</v>
      </c>
      <c r="C25" s="52">
        <v>0.495</v>
      </c>
      <c r="D25" s="53" t="e">
        <f>SUM(#REF!*C25*#REF!)</f>
        <v>#REF!</v>
      </c>
      <c r="E25" s="22"/>
      <c r="F25" s="54" t="s">
        <v>73</v>
      </c>
      <c r="G25" s="10" t="s">
        <v>20</v>
      </c>
      <c r="H25" s="11">
        <v>3503</v>
      </c>
      <c r="I25" s="12" t="s">
        <v>22</v>
      </c>
      <c r="J25" s="52">
        <f t="shared" si="0"/>
        <v>0.51500000000000001</v>
      </c>
      <c r="K25" s="51" t="s">
        <v>21</v>
      </c>
      <c r="L25" s="55">
        <v>0.05</v>
      </c>
      <c r="M25" s="13">
        <f t="shared" si="1"/>
        <v>2.5750000000000002E-2</v>
      </c>
      <c r="N25" s="16">
        <v>865</v>
      </c>
      <c r="O25" s="14">
        <f t="shared" si="2"/>
        <v>22.273750000000003</v>
      </c>
      <c r="P25" s="15">
        <f t="shared" si="3"/>
        <v>0</v>
      </c>
    </row>
    <row r="26" spans="2:17" x14ac:dyDescent="0.25">
      <c r="B26" s="51">
        <v>0.02</v>
      </c>
      <c r="C26" s="52">
        <v>0.48499999999999999</v>
      </c>
      <c r="D26" s="53" t="e">
        <f>SUM(#REF!*C26*#REF!)</f>
        <v>#REF!</v>
      </c>
      <c r="E26" s="22"/>
      <c r="F26" s="54" t="s">
        <v>74</v>
      </c>
      <c r="G26" s="10" t="s">
        <v>20</v>
      </c>
      <c r="H26" s="11">
        <v>3503</v>
      </c>
      <c r="I26" s="12" t="s">
        <v>22</v>
      </c>
      <c r="J26" s="52">
        <f t="shared" si="0"/>
        <v>0.505</v>
      </c>
      <c r="K26" s="51" t="s">
        <v>21</v>
      </c>
      <c r="L26" s="55">
        <v>0.5</v>
      </c>
      <c r="M26" s="13">
        <f t="shared" si="1"/>
        <v>0.2525</v>
      </c>
      <c r="N26" s="16">
        <v>865</v>
      </c>
      <c r="O26" s="14">
        <f t="shared" si="2"/>
        <v>218.41249999999999</v>
      </c>
      <c r="P26" s="15">
        <f t="shared" si="3"/>
        <v>0</v>
      </c>
    </row>
    <row r="27" spans="2:17" x14ac:dyDescent="0.25">
      <c r="B27" s="51">
        <v>0.02</v>
      </c>
      <c r="C27" s="52">
        <v>0.17499999999999999</v>
      </c>
      <c r="D27" s="53"/>
      <c r="E27" s="22"/>
      <c r="F27" s="54" t="s">
        <v>75</v>
      </c>
      <c r="G27" s="10" t="s">
        <v>20</v>
      </c>
      <c r="H27" s="11">
        <v>3503</v>
      </c>
      <c r="I27" s="12" t="s">
        <v>22</v>
      </c>
      <c r="J27" s="52">
        <f t="shared" si="0"/>
        <v>0.19499999999999998</v>
      </c>
      <c r="K27" s="51" t="s">
        <v>21</v>
      </c>
      <c r="L27" s="55">
        <v>0.06</v>
      </c>
      <c r="M27" s="13">
        <f t="shared" si="1"/>
        <v>1.1699999999999999E-2</v>
      </c>
      <c r="N27" s="16">
        <v>865</v>
      </c>
      <c r="O27" s="14">
        <f t="shared" si="2"/>
        <v>10.120499999999998</v>
      </c>
      <c r="P27" s="15">
        <f t="shared" si="3"/>
        <v>0</v>
      </c>
    </row>
    <row r="28" spans="2:17" x14ac:dyDescent="0.25">
      <c r="B28" s="51">
        <v>0.02</v>
      </c>
      <c r="C28" s="52">
        <v>0.53</v>
      </c>
      <c r="D28" s="53" t="e">
        <f>SUM(#REF!*C28*#REF!)</f>
        <v>#REF!</v>
      </c>
      <c r="E28" s="22"/>
      <c r="F28" s="54" t="s">
        <v>76</v>
      </c>
      <c r="G28" s="10" t="s">
        <v>20</v>
      </c>
      <c r="H28" s="11">
        <v>3503</v>
      </c>
      <c r="I28" s="12" t="s">
        <v>22</v>
      </c>
      <c r="J28" s="52">
        <f t="shared" si="0"/>
        <v>0.55000000000000004</v>
      </c>
      <c r="K28" s="51" t="s">
        <v>21</v>
      </c>
      <c r="L28" s="55">
        <v>0.06</v>
      </c>
      <c r="M28" s="13">
        <f t="shared" si="1"/>
        <v>3.3000000000000002E-2</v>
      </c>
      <c r="N28" s="16">
        <v>865</v>
      </c>
      <c r="O28" s="14">
        <f t="shared" si="2"/>
        <v>28.545000000000002</v>
      </c>
      <c r="P28" s="15">
        <f t="shared" si="3"/>
        <v>0</v>
      </c>
    </row>
    <row r="29" spans="2:17" x14ac:dyDescent="0.25">
      <c r="B29" s="51">
        <v>0.02</v>
      </c>
      <c r="C29" s="55">
        <v>0.49</v>
      </c>
      <c r="D29" s="53" t="e">
        <f>SUM(#REF!*C29*#REF!)</f>
        <v>#REF!</v>
      </c>
      <c r="E29" s="22"/>
      <c r="F29" s="54" t="s">
        <v>77</v>
      </c>
      <c r="G29" s="10" t="s">
        <v>20</v>
      </c>
      <c r="H29" s="11">
        <v>3503</v>
      </c>
      <c r="I29" s="12" t="s">
        <v>22</v>
      </c>
      <c r="J29" s="52">
        <f t="shared" si="0"/>
        <v>0.51</v>
      </c>
      <c r="K29" s="51" t="s">
        <v>21</v>
      </c>
      <c r="L29" s="55">
        <v>7.0000000000000007E-2</v>
      </c>
      <c r="M29" s="13">
        <f t="shared" si="1"/>
        <v>3.5700000000000003E-2</v>
      </c>
      <c r="N29" s="16">
        <v>865</v>
      </c>
      <c r="O29" s="14">
        <f t="shared" si="2"/>
        <v>30.880500000000001</v>
      </c>
      <c r="P29" s="15">
        <f t="shared" si="3"/>
        <v>0</v>
      </c>
    </row>
    <row r="30" spans="2:17" x14ac:dyDescent="0.25">
      <c r="B30" s="51">
        <v>0.02</v>
      </c>
      <c r="C30" s="52">
        <v>0.51</v>
      </c>
      <c r="D30" s="53" t="e">
        <f>SUM(#REF!*C30*#REF!)</f>
        <v>#REF!</v>
      </c>
      <c r="E30" s="22"/>
      <c r="F30" s="54" t="s">
        <v>78</v>
      </c>
      <c r="G30" s="10" t="s">
        <v>20</v>
      </c>
      <c r="H30" s="11">
        <v>3503</v>
      </c>
      <c r="I30" s="12" t="s">
        <v>22</v>
      </c>
      <c r="J30" s="52">
        <f t="shared" si="0"/>
        <v>0.53</v>
      </c>
      <c r="K30" s="51" t="s">
        <v>21</v>
      </c>
      <c r="L30" s="55">
        <v>0.06</v>
      </c>
      <c r="M30" s="13">
        <f t="shared" si="1"/>
        <v>3.1800000000000002E-2</v>
      </c>
      <c r="N30" s="16">
        <v>865</v>
      </c>
      <c r="O30" s="14">
        <f t="shared" si="2"/>
        <v>27.507000000000001</v>
      </c>
      <c r="P30" s="15">
        <f t="shared" si="3"/>
        <v>0</v>
      </c>
      <c r="Q30" s="46"/>
    </row>
    <row r="31" spans="2:17" x14ac:dyDescent="0.25">
      <c r="B31" s="51">
        <v>0.02</v>
      </c>
      <c r="C31" s="52">
        <v>0.43</v>
      </c>
      <c r="D31" s="53"/>
      <c r="E31" s="22"/>
      <c r="F31" s="54" t="s">
        <v>79</v>
      </c>
      <c r="G31" s="10" t="s">
        <v>20</v>
      </c>
      <c r="H31" s="11">
        <v>3503</v>
      </c>
      <c r="I31" s="12" t="s">
        <v>22</v>
      </c>
      <c r="J31" s="52">
        <f t="shared" si="0"/>
        <v>0.45</v>
      </c>
      <c r="K31" s="51" t="s">
        <v>21</v>
      </c>
      <c r="L31" s="55">
        <v>0.05</v>
      </c>
      <c r="M31" s="13">
        <f t="shared" si="1"/>
        <v>2.2500000000000003E-2</v>
      </c>
      <c r="N31" s="16">
        <v>865</v>
      </c>
      <c r="O31" s="14">
        <f t="shared" si="2"/>
        <v>19.462500000000002</v>
      </c>
      <c r="P31" s="15">
        <f t="shared" si="3"/>
        <v>0</v>
      </c>
      <c r="Q31" s="46"/>
    </row>
    <row r="32" spans="2:17" x14ac:dyDescent="0.25">
      <c r="B32" s="51">
        <v>0.02</v>
      </c>
      <c r="C32" s="52">
        <v>0.45</v>
      </c>
      <c r="D32" s="53" t="e">
        <f>SUM(#REF!*C32*#REF!)</f>
        <v>#REF!</v>
      </c>
      <c r="E32" s="22"/>
      <c r="F32" s="54" t="s">
        <v>80</v>
      </c>
      <c r="G32" s="10" t="s">
        <v>20</v>
      </c>
      <c r="H32" s="11">
        <v>3503</v>
      </c>
      <c r="I32" s="12" t="s">
        <v>22</v>
      </c>
      <c r="J32" s="52">
        <f t="shared" si="0"/>
        <v>0.47000000000000003</v>
      </c>
      <c r="K32" s="51" t="s">
        <v>21</v>
      </c>
      <c r="L32" s="55">
        <v>0.06</v>
      </c>
      <c r="M32" s="13">
        <f t="shared" si="1"/>
        <v>2.8199999999999999E-2</v>
      </c>
      <c r="N32" s="16">
        <v>865</v>
      </c>
      <c r="O32" s="14">
        <f t="shared" si="2"/>
        <v>24.393000000000001</v>
      </c>
      <c r="P32" s="15">
        <f t="shared" si="3"/>
        <v>0</v>
      </c>
      <c r="Q32" s="46"/>
    </row>
    <row r="33" spans="2:17" x14ac:dyDescent="0.25">
      <c r="B33" s="51">
        <v>0.02</v>
      </c>
      <c r="C33" s="52">
        <v>0.45</v>
      </c>
      <c r="D33" s="53" t="e">
        <f>SUM(#REF!*C33*#REF!)</f>
        <v>#REF!</v>
      </c>
      <c r="E33" s="22"/>
      <c r="F33" s="54" t="s">
        <v>81</v>
      </c>
      <c r="G33" s="10" t="s">
        <v>20</v>
      </c>
      <c r="H33" s="11">
        <v>3503</v>
      </c>
      <c r="I33" s="12" t="s">
        <v>22</v>
      </c>
      <c r="J33" s="52">
        <f t="shared" si="0"/>
        <v>0.47000000000000003</v>
      </c>
      <c r="K33" s="51" t="s">
        <v>21</v>
      </c>
      <c r="L33" s="55">
        <v>0.06</v>
      </c>
      <c r="M33" s="13">
        <f t="shared" si="1"/>
        <v>2.8199999999999999E-2</v>
      </c>
      <c r="N33" s="16">
        <v>865</v>
      </c>
      <c r="O33" s="14">
        <f t="shared" si="2"/>
        <v>24.393000000000001</v>
      </c>
      <c r="P33" s="15">
        <f t="shared" si="3"/>
        <v>0</v>
      </c>
      <c r="Q33" s="46"/>
    </row>
    <row r="34" spans="2:17" x14ac:dyDescent="0.25">
      <c r="B34" s="51">
        <v>0.02</v>
      </c>
      <c r="C34" s="52">
        <v>0.20499999999999999</v>
      </c>
      <c r="D34" s="53" t="e">
        <f>SUM(#REF!*C34*#REF!)</f>
        <v>#REF!</v>
      </c>
      <c r="E34" s="22"/>
      <c r="F34" s="54" t="s">
        <v>82</v>
      </c>
      <c r="G34" s="10" t="s">
        <v>20</v>
      </c>
      <c r="H34" s="11">
        <v>3503</v>
      </c>
      <c r="I34" s="12" t="s">
        <v>22</v>
      </c>
      <c r="J34" s="52">
        <f t="shared" si="0"/>
        <v>0.22499999999999998</v>
      </c>
      <c r="K34" s="51" t="s">
        <v>21</v>
      </c>
      <c r="L34" s="55">
        <v>0.06</v>
      </c>
      <c r="M34" s="13">
        <f t="shared" si="1"/>
        <v>1.3499999999999998E-2</v>
      </c>
      <c r="N34" s="16">
        <v>865</v>
      </c>
      <c r="O34" s="14">
        <f t="shared" si="2"/>
        <v>11.677499999999998</v>
      </c>
      <c r="P34" s="15">
        <f t="shared" si="3"/>
        <v>0</v>
      </c>
      <c r="Q34" s="46"/>
    </row>
    <row r="35" spans="2:17" x14ac:dyDescent="0.25">
      <c r="B35" s="51">
        <v>0.02</v>
      </c>
      <c r="C35" s="52">
        <v>0.48</v>
      </c>
      <c r="D35" s="53" t="e">
        <f>SUM(#REF!*C35*#REF!)</f>
        <v>#REF!</v>
      </c>
      <c r="E35" s="22"/>
      <c r="F35" s="54" t="s">
        <v>83</v>
      </c>
      <c r="G35" s="10" t="s">
        <v>20</v>
      </c>
      <c r="H35" s="11">
        <v>3503</v>
      </c>
      <c r="I35" s="12" t="s">
        <v>22</v>
      </c>
      <c r="J35" s="52">
        <f t="shared" si="0"/>
        <v>0.5</v>
      </c>
      <c r="K35" s="51" t="s">
        <v>21</v>
      </c>
      <c r="L35" s="55">
        <v>0.05</v>
      </c>
      <c r="M35" s="13">
        <f t="shared" si="1"/>
        <v>2.5000000000000001E-2</v>
      </c>
      <c r="N35" s="16">
        <v>865</v>
      </c>
      <c r="O35" s="14">
        <f t="shared" si="2"/>
        <v>21.625</v>
      </c>
      <c r="P35" s="15">
        <f t="shared" si="3"/>
        <v>0</v>
      </c>
      <c r="Q35" s="46"/>
    </row>
    <row r="36" spans="2:17" ht="30" x14ac:dyDescent="0.25">
      <c r="B36" s="51">
        <v>0.02</v>
      </c>
      <c r="C36" s="52">
        <v>0.48</v>
      </c>
      <c r="D36" s="53" t="e">
        <f>SUM(#REF!*C36*#REF!)</f>
        <v>#REF!</v>
      </c>
      <c r="E36" s="22"/>
      <c r="F36" s="54" t="s">
        <v>84</v>
      </c>
      <c r="G36" s="10" t="s">
        <v>20</v>
      </c>
      <c r="H36" s="11">
        <v>3503</v>
      </c>
      <c r="I36" s="12" t="s">
        <v>22</v>
      </c>
      <c r="J36" s="52">
        <f t="shared" si="0"/>
        <v>0.5</v>
      </c>
      <c r="K36" s="51" t="s">
        <v>21</v>
      </c>
      <c r="L36" s="55">
        <v>0.05</v>
      </c>
      <c r="M36" s="13">
        <f t="shared" si="1"/>
        <v>2.5000000000000001E-2</v>
      </c>
      <c r="N36" s="16">
        <v>865</v>
      </c>
      <c r="O36" s="14">
        <f t="shared" si="2"/>
        <v>21.625</v>
      </c>
      <c r="P36" s="15">
        <f t="shared" si="3"/>
        <v>0</v>
      </c>
      <c r="Q36" s="46"/>
    </row>
    <row r="37" spans="2:17" x14ac:dyDescent="0.25">
      <c r="B37" s="51">
        <v>0.02</v>
      </c>
      <c r="C37" s="52">
        <v>0.46</v>
      </c>
      <c r="D37" s="53" t="e">
        <f>SUM(#REF!*C37*#REF!)</f>
        <v>#REF!</v>
      </c>
      <c r="E37" s="23"/>
      <c r="F37" s="54" t="s">
        <v>85</v>
      </c>
      <c r="G37" s="10" t="s">
        <v>20</v>
      </c>
      <c r="H37" s="11">
        <v>3503</v>
      </c>
      <c r="I37" s="12" t="s">
        <v>22</v>
      </c>
      <c r="J37" s="52">
        <f t="shared" si="0"/>
        <v>0.48000000000000004</v>
      </c>
      <c r="K37" s="51" t="s">
        <v>21</v>
      </c>
      <c r="L37" s="55">
        <v>0.06</v>
      </c>
      <c r="M37" s="13">
        <f t="shared" si="1"/>
        <v>2.8800000000000003E-2</v>
      </c>
      <c r="N37" s="16">
        <v>865</v>
      </c>
      <c r="O37" s="14">
        <f t="shared" si="2"/>
        <v>24.912000000000003</v>
      </c>
      <c r="P37" s="15">
        <f t="shared" si="3"/>
        <v>0</v>
      </c>
      <c r="Q37" s="46"/>
    </row>
    <row r="38" spans="2:17" x14ac:dyDescent="0.25">
      <c r="B38" s="51">
        <v>0.02</v>
      </c>
      <c r="C38" s="52">
        <v>0.52</v>
      </c>
      <c r="D38" s="53" t="e">
        <f>SUM(#REF!*C38*#REF!)</f>
        <v>#REF!</v>
      </c>
      <c r="E38" s="22"/>
      <c r="F38" s="54" t="s">
        <v>86</v>
      </c>
      <c r="G38" s="10" t="s">
        <v>20</v>
      </c>
      <c r="H38" s="11">
        <v>3503</v>
      </c>
      <c r="I38" s="12" t="s">
        <v>22</v>
      </c>
      <c r="J38" s="52">
        <f t="shared" si="0"/>
        <v>0.54</v>
      </c>
      <c r="K38" s="51" t="s">
        <v>21</v>
      </c>
      <c r="L38" s="55">
        <v>6.5000000000000002E-2</v>
      </c>
      <c r="M38" s="13">
        <f t="shared" si="1"/>
        <v>3.5100000000000006E-2</v>
      </c>
      <c r="N38" s="16">
        <v>865</v>
      </c>
      <c r="O38" s="14">
        <f t="shared" si="2"/>
        <v>30.361500000000007</v>
      </c>
      <c r="P38" s="15">
        <f t="shared" si="3"/>
        <v>0</v>
      </c>
      <c r="Q38" s="46"/>
    </row>
    <row r="39" spans="2:17" x14ac:dyDescent="0.25">
      <c r="B39" s="51">
        <v>0.02</v>
      </c>
      <c r="C39" s="52">
        <v>0.22</v>
      </c>
      <c r="D39" s="53" t="e">
        <f>SUM(#REF!*C39*#REF!)</f>
        <v>#REF!</v>
      </c>
      <c r="E39" s="22"/>
      <c r="F39" s="54" t="s">
        <v>87</v>
      </c>
      <c r="G39" s="10" t="s">
        <v>20</v>
      </c>
      <c r="H39" s="11">
        <v>3503</v>
      </c>
      <c r="I39" s="12" t="s">
        <v>22</v>
      </c>
      <c r="J39" s="52">
        <f t="shared" si="0"/>
        <v>0.24</v>
      </c>
      <c r="K39" s="51" t="s">
        <v>21</v>
      </c>
      <c r="L39" s="55">
        <v>0.06</v>
      </c>
      <c r="M39" s="13">
        <f t="shared" si="1"/>
        <v>1.44E-2</v>
      </c>
      <c r="N39" s="16">
        <v>865</v>
      </c>
      <c r="O39" s="14">
        <f t="shared" si="2"/>
        <v>12.456</v>
      </c>
      <c r="P39" s="15">
        <f t="shared" si="3"/>
        <v>0</v>
      </c>
      <c r="Q39" s="46"/>
    </row>
    <row r="40" spans="2:17" x14ac:dyDescent="0.25">
      <c r="B40" s="51">
        <v>0.02</v>
      </c>
      <c r="C40" s="52">
        <v>0.51</v>
      </c>
      <c r="D40" s="53" t="e">
        <f>SUM(#REF!*C40*#REF!)</f>
        <v>#REF!</v>
      </c>
      <c r="E40" s="22"/>
      <c r="F40" s="54" t="s">
        <v>88</v>
      </c>
      <c r="G40" s="10" t="s">
        <v>20</v>
      </c>
      <c r="H40" s="11">
        <v>3503</v>
      </c>
      <c r="I40" s="12" t="s">
        <v>22</v>
      </c>
      <c r="J40" s="52">
        <f t="shared" si="0"/>
        <v>0.53</v>
      </c>
      <c r="K40" s="51" t="s">
        <v>21</v>
      </c>
      <c r="L40" s="55">
        <v>0.05</v>
      </c>
      <c r="M40" s="13">
        <f t="shared" si="1"/>
        <v>2.6500000000000003E-2</v>
      </c>
      <c r="N40" s="16">
        <v>865</v>
      </c>
      <c r="O40" s="14">
        <f t="shared" si="2"/>
        <v>22.922500000000003</v>
      </c>
      <c r="P40" s="15">
        <f t="shared" si="3"/>
        <v>0</v>
      </c>
      <c r="Q40" s="46"/>
    </row>
    <row r="41" spans="2:17" x14ac:dyDescent="0.25">
      <c r="B41" s="51">
        <v>0.02</v>
      </c>
      <c r="C41" s="52">
        <v>0.54</v>
      </c>
      <c r="D41" s="53" t="e">
        <f>SUM(#REF!*C41*#REF!)</f>
        <v>#REF!</v>
      </c>
      <c r="E41" s="22"/>
      <c r="F41" s="54" t="s">
        <v>89</v>
      </c>
      <c r="G41" s="10" t="s">
        <v>20</v>
      </c>
      <c r="H41" s="11">
        <v>3503</v>
      </c>
      <c r="I41" s="12" t="s">
        <v>22</v>
      </c>
      <c r="J41" s="52">
        <f t="shared" si="0"/>
        <v>0.56000000000000005</v>
      </c>
      <c r="K41" s="51" t="s">
        <v>21</v>
      </c>
      <c r="L41" s="55">
        <v>0.06</v>
      </c>
      <c r="M41" s="13">
        <f t="shared" si="1"/>
        <v>3.3600000000000005E-2</v>
      </c>
      <c r="N41" s="16">
        <v>865</v>
      </c>
      <c r="O41" s="14">
        <f t="shared" si="2"/>
        <v>29.064000000000004</v>
      </c>
      <c r="P41" s="15">
        <f t="shared" si="3"/>
        <v>0</v>
      </c>
      <c r="Q41" s="46"/>
    </row>
    <row r="42" spans="2:17" x14ac:dyDescent="0.25">
      <c r="B42" s="51">
        <v>0.02</v>
      </c>
      <c r="C42" s="52">
        <v>0.22</v>
      </c>
      <c r="D42" s="53" t="e">
        <f>SUM(#REF!*C42*#REF!)</f>
        <v>#REF!</v>
      </c>
      <c r="E42" s="22"/>
      <c r="F42" s="54" t="s">
        <v>90</v>
      </c>
      <c r="G42" s="10" t="s">
        <v>20</v>
      </c>
      <c r="H42" s="11">
        <v>3503</v>
      </c>
      <c r="I42" s="12" t="s">
        <v>22</v>
      </c>
      <c r="J42" s="52">
        <f t="shared" si="0"/>
        <v>0.24</v>
      </c>
      <c r="K42" s="51" t="s">
        <v>21</v>
      </c>
      <c r="L42" s="55">
        <v>0.06</v>
      </c>
      <c r="M42" s="13">
        <f t="shared" si="1"/>
        <v>1.44E-2</v>
      </c>
      <c r="N42" s="16">
        <v>865</v>
      </c>
      <c r="O42" s="14">
        <f t="shared" si="2"/>
        <v>12.456</v>
      </c>
      <c r="P42" s="15">
        <f t="shared" si="3"/>
        <v>0</v>
      </c>
      <c r="Q42" s="46"/>
    </row>
    <row r="43" spans="2:17" x14ac:dyDescent="0.25">
      <c r="B43" s="51">
        <v>0.02</v>
      </c>
      <c r="C43" s="52">
        <v>0.49</v>
      </c>
      <c r="D43" s="53" t="e">
        <f>SUM(#REF!*C43*#REF!)</f>
        <v>#REF!</v>
      </c>
      <c r="E43" s="22"/>
      <c r="F43" s="54" t="s">
        <v>91</v>
      </c>
      <c r="G43" s="10" t="s">
        <v>20</v>
      </c>
      <c r="H43" s="11">
        <v>3503</v>
      </c>
      <c r="I43" s="12" t="s">
        <v>22</v>
      </c>
      <c r="J43" s="52">
        <f t="shared" si="0"/>
        <v>0.51</v>
      </c>
      <c r="K43" s="51" t="s">
        <v>21</v>
      </c>
      <c r="L43" s="55">
        <v>0.06</v>
      </c>
      <c r="M43" s="13">
        <f t="shared" si="1"/>
        <v>3.0599999999999999E-2</v>
      </c>
      <c r="N43" s="16">
        <v>865</v>
      </c>
      <c r="O43" s="14">
        <f t="shared" si="2"/>
        <v>26.468999999999998</v>
      </c>
      <c r="P43" s="15">
        <f t="shared" si="3"/>
        <v>0</v>
      </c>
      <c r="Q43" s="46"/>
    </row>
    <row r="44" spans="2:17" x14ac:dyDescent="0.25">
      <c r="B44" s="51">
        <v>0.02</v>
      </c>
      <c r="C44" s="52">
        <v>0.43</v>
      </c>
      <c r="D44" s="53" t="e">
        <f>SUM(#REF!*C44*#REF!)</f>
        <v>#REF!</v>
      </c>
      <c r="E44" s="22">
        <v>25</v>
      </c>
      <c r="F44" s="54" t="s">
        <v>92</v>
      </c>
      <c r="G44" s="10" t="s">
        <v>20</v>
      </c>
      <c r="H44" s="11">
        <v>3503</v>
      </c>
      <c r="I44" s="12" t="s">
        <v>22</v>
      </c>
      <c r="J44" s="52">
        <f t="shared" si="0"/>
        <v>0.45</v>
      </c>
      <c r="K44" s="51" t="s">
        <v>21</v>
      </c>
      <c r="L44" s="55">
        <v>0.01</v>
      </c>
      <c r="M44" s="13">
        <f t="shared" si="1"/>
        <v>4.5000000000000005E-3</v>
      </c>
      <c r="N44" s="16">
        <v>865</v>
      </c>
      <c r="O44" s="14">
        <f t="shared" si="2"/>
        <v>3.8925000000000005</v>
      </c>
      <c r="P44" s="15">
        <f t="shared" si="3"/>
        <v>97.312500000000014</v>
      </c>
      <c r="Q44" s="46"/>
    </row>
    <row r="45" spans="2:17" x14ac:dyDescent="0.25">
      <c r="B45" s="51">
        <v>0.02</v>
      </c>
      <c r="C45" s="52">
        <v>0.43</v>
      </c>
      <c r="D45" s="53" t="e">
        <f>SUM(#REF!*C45*#REF!)</f>
        <v>#REF!</v>
      </c>
      <c r="E45" s="22">
        <v>15</v>
      </c>
      <c r="F45" s="54" t="s">
        <v>93</v>
      </c>
      <c r="G45" s="10" t="s">
        <v>20</v>
      </c>
      <c r="H45" s="11">
        <v>3503</v>
      </c>
      <c r="I45" s="12" t="s">
        <v>22</v>
      </c>
      <c r="J45" s="52">
        <f t="shared" si="0"/>
        <v>0.45</v>
      </c>
      <c r="K45" s="51" t="s">
        <v>21</v>
      </c>
      <c r="L45" s="55">
        <v>0.05</v>
      </c>
      <c r="M45" s="13">
        <f t="shared" si="1"/>
        <v>2.2500000000000003E-2</v>
      </c>
      <c r="N45" s="16">
        <v>865</v>
      </c>
      <c r="O45" s="14">
        <f t="shared" si="2"/>
        <v>19.462500000000002</v>
      </c>
      <c r="P45" s="15">
        <f t="shared" si="3"/>
        <v>291.93750000000006</v>
      </c>
      <c r="Q45" s="46"/>
    </row>
    <row r="46" spans="2:17" ht="30" x14ac:dyDescent="0.25">
      <c r="B46" s="51">
        <v>0.02</v>
      </c>
      <c r="C46" s="52">
        <v>0.245</v>
      </c>
      <c r="D46" s="53" t="e">
        <f>SUM(#REF!*C46*#REF!)</f>
        <v>#REF!</v>
      </c>
      <c r="E46" s="22"/>
      <c r="F46" s="54" t="s">
        <v>94</v>
      </c>
      <c r="G46" s="10" t="s">
        <v>20</v>
      </c>
      <c r="H46" s="11">
        <v>3503</v>
      </c>
      <c r="I46" s="12" t="s">
        <v>22</v>
      </c>
      <c r="J46" s="52">
        <f t="shared" si="0"/>
        <v>0.26500000000000001</v>
      </c>
      <c r="K46" s="51" t="s">
        <v>21</v>
      </c>
      <c r="L46" s="55">
        <v>0.06</v>
      </c>
      <c r="M46" s="13">
        <f t="shared" si="1"/>
        <v>1.5900000000000001E-2</v>
      </c>
      <c r="N46" s="16">
        <v>865</v>
      </c>
      <c r="O46" s="14">
        <f t="shared" si="2"/>
        <v>13.753500000000001</v>
      </c>
      <c r="P46" s="15">
        <f t="shared" si="3"/>
        <v>0</v>
      </c>
      <c r="Q46" s="46"/>
    </row>
    <row r="47" spans="2:17" x14ac:dyDescent="0.25">
      <c r="B47" s="51">
        <v>0.02</v>
      </c>
      <c r="C47" s="56">
        <v>0.48</v>
      </c>
      <c r="D47" s="53" t="e">
        <f>SUM(#REF!*C47*#REF!)</f>
        <v>#REF!</v>
      </c>
      <c r="E47" s="22"/>
      <c r="F47" s="54" t="s">
        <v>95</v>
      </c>
      <c r="G47" s="10" t="s">
        <v>20</v>
      </c>
      <c r="H47" s="11">
        <v>3503</v>
      </c>
      <c r="I47" s="12" t="s">
        <v>22</v>
      </c>
      <c r="J47" s="52">
        <f t="shared" si="0"/>
        <v>0.5</v>
      </c>
      <c r="K47" s="51" t="s">
        <v>21</v>
      </c>
      <c r="L47" s="55">
        <v>0.05</v>
      </c>
      <c r="M47" s="13">
        <f t="shared" si="1"/>
        <v>2.5000000000000001E-2</v>
      </c>
      <c r="N47" s="16">
        <v>865</v>
      </c>
      <c r="O47" s="14">
        <f t="shared" si="2"/>
        <v>21.625</v>
      </c>
      <c r="P47" s="15">
        <f t="shared" si="3"/>
        <v>0</v>
      </c>
      <c r="Q47" s="46"/>
    </row>
    <row r="48" spans="2:17" x14ac:dyDescent="0.25">
      <c r="B48" s="51">
        <v>0.02</v>
      </c>
      <c r="C48" s="56">
        <v>0.43</v>
      </c>
      <c r="D48" s="53" t="e">
        <f>SUM(#REF!*C48*#REF!)</f>
        <v>#REF!</v>
      </c>
      <c r="E48" s="22"/>
      <c r="F48" s="57" t="s">
        <v>107</v>
      </c>
      <c r="G48" s="10" t="s">
        <v>20</v>
      </c>
      <c r="H48" s="11">
        <v>3503</v>
      </c>
      <c r="I48" s="12" t="s">
        <v>22</v>
      </c>
      <c r="J48" s="52">
        <f t="shared" si="0"/>
        <v>0.45</v>
      </c>
      <c r="K48" s="51" t="s">
        <v>21</v>
      </c>
      <c r="L48" s="55">
        <v>0.1</v>
      </c>
      <c r="M48" s="13">
        <f t="shared" si="1"/>
        <v>4.5000000000000005E-2</v>
      </c>
      <c r="N48" s="16">
        <v>865</v>
      </c>
      <c r="O48" s="14">
        <f t="shared" si="2"/>
        <v>38.925000000000004</v>
      </c>
      <c r="P48" s="15">
        <f t="shared" si="3"/>
        <v>0</v>
      </c>
      <c r="Q48" s="46"/>
    </row>
    <row r="49" spans="2:19" x14ac:dyDescent="0.25">
      <c r="B49" s="51">
        <v>0.02</v>
      </c>
      <c r="C49" s="56">
        <v>0.48</v>
      </c>
      <c r="D49" s="53" t="e">
        <f>SUM(#REF!*C49*#REF!)</f>
        <v>#REF!</v>
      </c>
      <c r="E49" s="22"/>
      <c r="F49" s="57" t="s">
        <v>108</v>
      </c>
      <c r="G49" s="10" t="s">
        <v>20</v>
      </c>
      <c r="H49" s="11">
        <v>3503</v>
      </c>
      <c r="I49" s="12" t="s">
        <v>22</v>
      </c>
      <c r="J49" s="52">
        <f t="shared" si="0"/>
        <v>0.5</v>
      </c>
      <c r="K49" s="51" t="s">
        <v>21</v>
      </c>
      <c r="L49" s="55">
        <v>0.05</v>
      </c>
      <c r="M49" s="13">
        <f t="shared" si="1"/>
        <v>2.5000000000000001E-2</v>
      </c>
      <c r="N49" s="16">
        <v>865</v>
      </c>
      <c r="O49" s="14">
        <f t="shared" si="2"/>
        <v>21.625</v>
      </c>
      <c r="P49" s="15">
        <f t="shared" si="3"/>
        <v>0</v>
      </c>
      <c r="Q49" s="46"/>
    </row>
    <row r="50" spans="2:19" x14ac:dyDescent="0.25">
      <c r="B50" s="51">
        <v>0.02</v>
      </c>
      <c r="C50" s="56">
        <v>0.48</v>
      </c>
      <c r="D50" s="53" t="e">
        <f>SUM(#REF!*C50*#REF!)</f>
        <v>#REF!</v>
      </c>
      <c r="E50" s="24"/>
      <c r="F50" s="57" t="s">
        <v>109</v>
      </c>
      <c r="G50" s="10" t="s">
        <v>20</v>
      </c>
      <c r="H50" s="11">
        <v>3503</v>
      </c>
      <c r="I50" s="12" t="s">
        <v>22</v>
      </c>
      <c r="J50" s="52">
        <f t="shared" si="0"/>
        <v>0.5</v>
      </c>
      <c r="K50" s="51" t="s">
        <v>21</v>
      </c>
      <c r="L50" s="55">
        <v>0.05</v>
      </c>
      <c r="M50" s="13">
        <f t="shared" si="1"/>
        <v>2.5000000000000001E-2</v>
      </c>
      <c r="N50" s="16">
        <v>865</v>
      </c>
      <c r="O50" s="14">
        <f t="shared" si="2"/>
        <v>21.625</v>
      </c>
      <c r="P50" s="15">
        <f t="shared" si="3"/>
        <v>0</v>
      </c>
      <c r="Q50" s="46"/>
    </row>
    <row r="51" spans="2:19" x14ac:dyDescent="0.25">
      <c r="B51" s="58"/>
      <c r="C51" s="59"/>
      <c r="D51" s="53"/>
      <c r="E51" s="61"/>
      <c r="F51" s="57"/>
      <c r="G51" s="10"/>
      <c r="H51" s="11"/>
      <c r="I51" s="12"/>
      <c r="J51" s="62"/>
      <c r="K51" s="63"/>
      <c r="L51" s="55"/>
      <c r="M51" s="13"/>
      <c r="N51" s="16"/>
      <c r="O51" s="16"/>
      <c r="P51" s="17"/>
    </row>
    <row r="52" spans="2:19" ht="5.0999999999999996" customHeight="1" x14ac:dyDescent="0.25">
      <c r="M52" s="49"/>
      <c r="O52" s="49"/>
    </row>
    <row r="53" spans="2:19" ht="18" customHeight="1" x14ac:dyDescent="0.25">
      <c r="G53" s="64"/>
      <c r="J53" s="126" t="s">
        <v>36</v>
      </c>
      <c r="K53" s="126"/>
      <c r="L53" s="126"/>
      <c r="M53" s="19">
        <f>SUM(M19:M51)</f>
        <v>1.0092899999999998</v>
      </c>
      <c r="O53" s="19"/>
      <c r="P53" s="18">
        <f>SUM(P22:P47)</f>
        <v>389.25000000000006</v>
      </c>
    </row>
    <row r="54" spans="2:19" ht="14.45" customHeight="1" x14ac:dyDescent="0.25">
      <c r="E54" s="120" t="s">
        <v>23</v>
      </c>
      <c r="F54" s="120"/>
      <c r="G54" s="120"/>
      <c r="H54" s="120"/>
      <c r="I54" s="1" t="s">
        <v>24</v>
      </c>
      <c r="J54" s="119"/>
      <c r="K54" s="119"/>
      <c r="L54" s="119"/>
      <c r="M54" s="119"/>
      <c r="N54" s="119"/>
      <c r="O54" s="119"/>
      <c r="P54" s="119"/>
    </row>
    <row r="55" spans="2:19" ht="14.45" customHeight="1" x14ac:dyDescent="0.25">
      <c r="E55" s="116" t="s">
        <v>52</v>
      </c>
      <c r="F55" s="117"/>
      <c r="G55" s="117"/>
      <c r="H55" s="118"/>
      <c r="J55" s="119"/>
      <c r="K55" s="119"/>
      <c r="L55" s="119"/>
      <c r="M55" s="119"/>
      <c r="N55" s="119"/>
      <c r="O55" s="119"/>
      <c r="P55" s="119"/>
    </row>
    <row r="56" spans="2:19" x14ac:dyDescent="0.25">
      <c r="E56" s="120" t="s">
        <v>47</v>
      </c>
      <c r="F56" s="120"/>
      <c r="G56" s="120"/>
      <c r="H56" s="120"/>
      <c r="J56" s="119"/>
      <c r="K56" s="119"/>
      <c r="L56" s="119"/>
      <c r="M56" s="119"/>
      <c r="N56" s="119"/>
      <c r="O56" s="119"/>
      <c r="P56" s="119"/>
    </row>
    <row r="57" spans="2:19" x14ac:dyDescent="0.25">
      <c r="E57" s="121" t="s">
        <v>25</v>
      </c>
      <c r="F57" s="121"/>
      <c r="G57" s="121"/>
      <c r="H57" s="121"/>
      <c r="J57" s="119"/>
      <c r="K57" s="119"/>
      <c r="L57" s="119"/>
      <c r="M57" s="119"/>
      <c r="N57" s="119"/>
      <c r="O57" s="119"/>
      <c r="P57" s="119"/>
    </row>
    <row r="58" spans="2:19" x14ac:dyDescent="0.25">
      <c r="S58" s="1">
        <f>[1]Planilha1!A18</f>
        <v>0</v>
      </c>
    </row>
    <row r="59" spans="2:19" x14ac:dyDescent="0.25">
      <c r="S59" s="1">
        <f>[1]Planilha1!A19</f>
        <v>0</v>
      </c>
    </row>
  </sheetData>
  <mergeCells count="50">
    <mergeCell ref="I2:M2"/>
    <mergeCell ref="H3:M3"/>
    <mergeCell ref="G4:M4"/>
    <mergeCell ref="G5:M5"/>
    <mergeCell ref="E6:G6"/>
    <mergeCell ref="H6:P6"/>
    <mergeCell ref="E7:F7"/>
    <mergeCell ref="H7:K7"/>
    <mergeCell ref="O7:P7"/>
    <mergeCell ref="E8:G8"/>
    <mergeCell ref="H8:K8"/>
    <mergeCell ref="O8:P8"/>
    <mergeCell ref="E9:G9"/>
    <mergeCell ref="H9:K9"/>
    <mergeCell ref="O9:P9"/>
    <mergeCell ref="E10:G10"/>
    <mergeCell ref="H10:K10"/>
    <mergeCell ref="O10:P10"/>
    <mergeCell ref="H15:L15"/>
    <mergeCell ref="M15:P15"/>
    <mergeCell ref="E11:G11"/>
    <mergeCell ref="H11:I11"/>
    <mergeCell ref="J11:K11"/>
    <mergeCell ref="O11:P11"/>
    <mergeCell ref="E12:G12"/>
    <mergeCell ref="H12:K12"/>
    <mergeCell ref="O12:P12"/>
    <mergeCell ref="E13:G13"/>
    <mergeCell ref="H13:K13"/>
    <mergeCell ref="M13:N13"/>
    <mergeCell ref="O13:P13"/>
    <mergeCell ref="I14:K14"/>
    <mergeCell ref="N17:N18"/>
    <mergeCell ref="O17:O18"/>
    <mergeCell ref="P17:P18"/>
    <mergeCell ref="J53:L53"/>
    <mergeCell ref="E54:H54"/>
    <mergeCell ref="J54:P54"/>
    <mergeCell ref="E17:E18"/>
    <mergeCell ref="F17:F18"/>
    <mergeCell ref="G17:H18"/>
    <mergeCell ref="I17:I18"/>
    <mergeCell ref="J17:L17"/>
    <mergeCell ref="M17:M18"/>
    <mergeCell ref="E55:H55"/>
    <mergeCell ref="J55:P55"/>
    <mergeCell ref="E56:H56"/>
    <mergeCell ref="J56:P56"/>
    <mergeCell ref="E57:H57"/>
    <mergeCell ref="J57:P57"/>
  </mergeCells>
  <dataValidations count="2">
    <dataValidation allowBlank="1" showErrorMessage="1" sqref="F51:F1048576 F1:F48 F50" xr:uid="{0919D409-3237-4155-8E6A-A751B286D68E}"/>
    <dataValidation type="list" allowBlank="1" showInputMessage="1" showErrorMessage="1" sqref="G19:G51" xr:uid="{7001CF4E-F318-46F8-8DB5-0BDFCDEABD83}">
      <formula1>"NRM,NR,NRF,NRD,LNC,NRAE,DS"</formula1>
    </dataValidation>
  </dataValidations>
  <pageMargins left="0.23622047244094491" right="0.23622047244094491" top="0" bottom="0" header="0.31496062992125984" footer="0.31496062992125984"/>
  <pageSetup paperSize="9" orientation="landscape" r:id="rId1"/>
  <ignoredErrors>
    <ignoredError sqref="J19:J5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48AF-89E9-43AD-BC46-DF6B5639C31C}">
  <dimension ref="B2:Y86"/>
  <sheetViews>
    <sheetView showGridLines="0" tabSelected="1" topLeftCell="A8" zoomScaleNormal="100" workbookViewId="0">
      <selection activeCell="Y76" sqref="Y76"/>
    </sheetView>
  </sheetViews>
  <sheetFormatPr defaultColWidth="8.7109375" defaultRowHeight="15" x14ac:dyDescent="0.25"/>
  <cols>
    <col min="1" max="1" width="3.28515625" style="1" customWidth="1"/>
    <col min="2" max="2" width="8.140625" style="1" hidden="1" customWidth="1"/>
    <col min="3" max="3" width="14.42578125" style="1" hidden="1" customWidth="1"/>
    <col min="4" max="6" width="8.7109375" style="1" hidden="1" customWidth="1"/>
    <col min="7" max="7" width="1.42578125" style="1" hidden="1" customWidth="1"/>
    <col min="8" max="8" width="2" style="1" hidden="1" customWidth="1"/>
    <col min="9" max="9" width="8.7109375" style="43"/>
    <col min="10" max="10" width="28.7109375" style="44" bestFit="1" customWidth="1"/>
    <col min="11" max="11" width="5" style="1" customWidth="1"/>
    <col min="12" max="12" width="5.85546875" style="1" customWidth="1"/>
    <col min="13" max="13" width="13.140625" style="1" customWidth="1"/>
    <col min="14" max="14" width="7" style="1" customWidth="1"/>
    <col min="15" max="15" width="1.42578125" style="1" customWidth="1"/>
    <col min="16" max="16" width="6.28515625" style="49" customWidth="1"/>
    <col min="17" max="17" width="1.42578125" style="1" customWidth="1"/>
    <col min="18" max="18" width="8" style="49" customWidth="1"/>
    <col min="19" max="19" width="9.140625" style="1" customWidth="1"/>
    <col min="20" max="20" width="11.28515625" style="1" customWidth="1"/>
    <col min="21" max="21" width="12.140625" style="1" customWidth="1"/>
    <col min="22" max="22" width="19.42578125" style="1" customWidth="1"/>
    <col min="23" max="23" width="14.7109375" style="1" customWidth="1"/>
    <col min="24" max="16384" width="8.7109375" style="1"/>
  </cols>
  <sheetData>
    <row r="2" spans="9:25" x14ac:dyDescent="0.25">
      <c r="M2" s="156"/>
      <c r="N2" s="156"/>
      <c r="O2" s="156"/>
      <c r="P2" s="156"/>
      <c r="Q2" s="156"/>
      <c r="R2" s="156"/>
      <c r="S2" s="156"/>
    </row>
    <row r="3" spans="9:25" s="28" customFormat="1" x14ac:dyDescent="0.25">
      <c r="I3" s="43"/>
      <c r="J3" s="44"/>
      <c r="K3" s="1"/>
      <c r="L3" s="156" t="s">
        <v>0</v>
      </c>
      <c r="M3" s="156"/>
      <c r="N3" s="156"/>
      <c r="O3" s="156"/>
      <c r="P3" s="156"/>
      <c r="Q3" s="156"/>
      <c r="R3" s="156"/>
      <c r="S3" s="156"/>
      <c r="V3" s="1"/>
      <c r="W3" s="1"/>
      <c r="X3" s="1"/>
      <c r="Y3" s="1"/>
    </row>
    <row r="4" spans="9:25" s="28" customFormat="1" x14ac:dyDescent="0.25">
      <c r="I4" s="43"/>
      <c r="J4" s="44"/>
      <c r="K4" s="156" t="s">
        <v>1</v>
      </c>
      <c r="L4" s="156"/>
      <c r="M4" s="156"/>
      <c r="N4" s="156"/>
      <c r="O4" s="156"/>
      <c r="P4" s="156"/>
      <c r="Q4" s="156"/>
      <c r="R4" s="156"/>
      <c r="S4" s="156"/>
      <c r="V4" s="1"/>
    </row>
    <row r="5" spans="9:25" s="28" customFormat="1" x14ac:dyDescent="0.25">
      <c r="I5" s="43"/>
      <c r="J5" s="44"/>
      <c r="K5" s="120" t="s">
        <v>26</v>
      </c>
      <c r="L5" s="120"/>
      <c r="M5" s="120"/>
      <c r="N5" s="120"/>
      <c r="O5" s="120"/>
      <c r="P5" s="120"/>
      <c r="Q5" s="120"/>
      <c r="R5" s="120"/>
      <c r="S5" s="120"/>
      <c r="V5" s="1"/>
      <c r="W5" s="1"/>
    </row>
    <row r="6" spans="9:25" x14ac:dyDescent="0.25">
      <c r="I6" s="136" t="s">
        <v>2</v>
      </c>
      <c r="J6" s="137"/>
      <c r="K6" s="137"/>
      <c r="L6" s="144" t="s">
        <v>49</v>
      </c>
      <c r="M6" s="144"/>
      <c r="N6" s="144"/>
      <c r="O6" s="144"/>
      <c r="P6" s="144"/>
      <c r="Q6" s="144"/>
      <c r="R6" s="144"/>
      <c r="S6" s="144"/>
      <c r="T6" s="144"/>
      <c r="U6" s="144"/>
      <c r="V6" s="150"/>
    </row>
    <row r="7" spans="9:25" x14ac:dyDescent="0.25">
      <c r="I7" s="151" t="s">
        <v>3</v>
      </c>
      <c r="J7" s="152"/>
      <c r="K7" s="2"/>
      <c r="L7" s="157" t="s">
        <v>48</v>
      </c>
      <c r="M7" s="157"/>
      <c r="N7" s="157"/>
      <c r="O7" s="157"/>
      <c r="P7" s="157"/>
      <c r="Q7" s="157"/>
      <c r="R7" s="108"/>
      <c r="S7" s="3" t="s">
        <v>4</v>
      </c>
      <c r="T7" s="25"/>
      <c r="U7" s="170"/>
      <c r="V7" s="171"/>
    </row>
    <row r="8" spans="9:25" x14ac:dyDescent="0.25">
      <c r="I8" s="136" t="s">
        <v>59</v>
      </c>
      <c r="J8" s="137"/>
      <c r="K8" s="137"/>
      <c r="L8" s="137"/>
      <c r="M8" s="137"/>
      <c r="N8" s="137"/>
      <c r="O8" s="137"/>
      <c r="P8" s="137"/>
      <c r="Q8" s="137"/>
      <c r="R8" s="45"/>
      <c r="S8" s="2" t="s">
        <v>5</v>
      </c>
      <c r="T8" s="4"/>
      <c r="U8" s="137"/>
      <c r="V8" s="164"/>
      <c r="W8" s="46"/>
    </row>
    <row r="9" spans="9:25" x14ac:dyDescent="0.25">
      <c r="I9" s="136" t="s">
        <v>60</v>
      </c>
      <c r="J9" s="137"/>
      <c r="K9" s="137"/>
      <c r="L9" s="137"/>
      <c r="M9" s="137"/>
      <c r="N9" s="137"/>
      <c r="O9" s="137"/>
      <c r="P9" s="137"/>
      <c r="Q9" s="137"/>
      <c r="R9" s="45"/>
      <c r="S9" s="157" t="s">
        <v>6</v>
      </c>
      <c r="T9" s="157"/>
      <c r="U9" s="162"/>
      <c r="V9" s="163"/>
    </row>
    <row r="10" spans="9:25" x14ac:dyDescent="0.25">
      <c r="I10" s="136" t="s">
        <v>61</v>
      </c>
      <c r="J10" s="137"/>
      <c r="K10" s="137"/>
      <c r="L10" s="137"/>
      <c r="M10" s="137"/>
      <c r="N10" s="137"/>
      <c r="O10" s="137"/>
      <c r="P10" s="137"/>
      <c r="Q10" s="137"/>
      <c r="R10" s="45"/>
      <c r="S10" s="157" t="s">
        <v>7</v>
      </c>
      <c r="T10" s="157"/>
      <c r="U10" s="137"/>
      <c r="V10" s="164"/>
    </row>
    <row r="11" spans="9:25" x14ac:dyDescent="0.25">
      <c r="I11" s="136" t="s">
        <v>8</v>
      </c>
      <c r="J11" s="137"/>
      <c r="K11" s="137"/>
      <c r="L11" s="158"/>
      <c r="M11" s="158"/>
      <c r="N11" s="158"/>
      <c r="O11" s="158"/>
      <c r="P11" s="158"/>
      <c r="Q11" s="158"/>
      <c r="R11" s="45"/>
      <c r="S11" s="157" t="s">
        <v>9</v>
      </c>
      <c r="T11" s="157"/>
      <c r="U11" s="165"/>
      <c r="V11" s="166"/>
    </row>
    <row r="12" spans="9:25" x14ac:dyDescent="0.25">
      <c r="I12" s="136" t="s">
        <v>10</v>
      </c>
      <c r="J12" s="137"/>
      <c r="K12" s="137"/>
      <c r="L12" s="167"/>
      <c r="M12" s="167"/>
      <c r="N12" s="167"/>
      <c r="O12" s="167"/>
      <c r="P12" s="167"/>
      <c r="Q12" s="167"/>
      <c r="R12" s="45"/>
      <c r="S12" s="3" t="s">
        <v>11</v>
      </c>
      <c r="T12" s="26"/>
      <c r="U12" s="168"/>
      <c r="V12" s="169"/>
    </row>
    <row r="13" spans="9:25" x14ac:dyDescent="0.25">
      <c r="I13" s="136" t="s">
        <v>62</v>
      </c>
      <c r="J13" s="137"/>
      <c r="K13" s="137"/>
      <c r="L13" s="137"/>
      <c r="M13" s="137"/>
      <c r="N13" s="137"/>
      <c r="O13" s="137"/>
      <c r="P13" s="137"/>
      <c r="Q13" s="137"/>
      <c r="R13" s="45"/>
      <c r="S13" s="157" t="s">
        <v>12</v>
      </c>
      <c r="T13" s="157"/>
      <c r="U13" s="159"/>
      <c r="V13" s="160"/>
    </row>
    <row r="14" spans="9:25" s="28" customFormat="1" x14ac:dyDescent="0.25">
      <c r="I14" s="47"/>
      <c r="J14" s="48"/>
      <c r="N14" s="66"/>
      <c r="O14" s="66"/>
      <c r="P14" s="66"/>
      <c r="Q14" s="66"/>
      <c r="R14" s="49"/>
      <c r="S14" s="1"/>
      <c r="T14" s="1"/>
      <c r="U14" s="1"/>
      <c r="V14" s="50"/>
    </row>
    <row r="15" spans="9:25" s="28" customFormat="1" x14ac:dyDescent="0.25">
      <c r="I15" s="5" t="s">
        <v>13</v>
      </c>
      <c r="J15" s="109"/>
      <c r="K15" s="34"/>
      <c r="L15" s="1"/>
      <c r="M15" s="147"/>
      <c r="N15" s="147"/>
      <c r="O15" s="147"/>
      <c r="P15" s="147"/>
      <c r="Q15" s="34"/>
      <c r="R15" s="49"/>
      <c r="S15" s="27"/>
      <c r="T15" s="27"/>
      <c r="U15" s="27"/>
      <c r="V15" s="27"/>
      <c r="W15" s="50"/>
    </row>
    <row r="17" spans="2:23" ht="17.25" customHeight="1" x14ac:dyDescent="0.25">
      <c r="I17" s="127" t="s">
        <v>14</v>
      </c>
      <c r="J17" s="124" t="s">
        <v>27</v>
      </c>
      <c r="K17" s="129" t="s">
        <v>15</v>
      </c>
      <c r="L17" s="130"/>
      <c r="M17" s="129" t="s">
        <v>16</v>
      </c>
      <c r="N17" s="161" t="s">
        <v>31</v>
      </c>
      <c r="O17" s="133"/>
      <c r="P17" s="133"/>
      <c r="Q17" s="133"/>
      <c r="R17" s="133"/>
      <c r="S17" s="124" t="s">
        <v>17</v>
      </c>
      <c r="T17" s="122" t="s">
        <v>18</v>
      </c>
      <c r="U17" s="122" t="s">
        <v>30</v>
      </c>
      <c r="V17" s="124" t="s">
        <v>19</v>
      </c>
    </row>
    <row r="18" spans="2:23" ht="16.5" customHeight="1" x14ac:dyDescent="0.25">
      <c r="I18" s="128"/>
      <c r="J18" s="125"/>
      <c r="K18" s="131"/>
      <c r="L18" s="132"/>
      <c r="M18" s="131"/>
      <c r="N18" s="6" t="s">
        <v>32</v>
      </c>
      <c r="O18" s="36"/>
      <c r="P18" s="8" t="s">
        <v>33</v>
      </c>
      <c r="Q18" s="36"/>
      <c r="R18" s="8" t="s">
        <v>34</v>
      </c>
      <c r="S18" s="125"/>
      <c r="T18" s="123"/>
      <c r="U18" s="123"/>
      <c r="V18" s="125"/>
    </row>
    <row r="19" spans="2:23" ht="30" hidden="1" x14ac:dyDescent="0.25">
      <c r="B19" s="51">
        <v>0.01</v>
      </c>
      <c r="C19" s="67">
        <v>0.46500000000000002</v>
      </c>
      <c r="D19" s="68">
        <v>0.01</v>
      </c>
      <c r="E19" s="69">
        <v>0.25</v>
      </c>
      <c r="F19" s="35">
        <f>SUM(S19*I19)</f>
        <v>0</v>
      </c>
      <c r="G19" s="53"/>
      <c r="H19" s="53"/>
      <c r="I19" s="110"/>
      <c r="J19" s="54" t="s">
        <v>53</v>
      </c>
      <c r="K19" s="10" t="s">
        <v>20</v>
      </c>
      <c r="L19" s="11">
        <v>3503</v>
      </c>
      <c r="M19" s="10" t="s">
        <v>22</v>
      </c>
      <c r="N19" s="104">
        <v>0.14000000000000001</v>
      </c>
      <c r="O19" s="67" t="s">
        <v>21</v>
      </c>
      <c r="P19" s="102">
        <f>SUM(C19+B19)</f>
        <v>0.47500000000000003</v>
      </c>
      <c r="Q19" s="67" t="s">
        <v>21</v>
      </c>
      <c r="R19" s="103">
        <f>SUM(E19+D19)</f>
        <v>0.26</v>
      </c>
      <c r="S19" s="35">
        <f>SUM(N19*P19*R19)</f>
        <v>1.7290000000000007E-2</v>
      </c>
      <c r="T19" s="16">
        <v>865</v>
      </c>
      <c r="U19" s="14">
        <f>SUM(S19*T19)</f>
        <v>14.955850000000005</v>
      </c>
      <c r="V19" s="15">
        <f>SUM(I19*U19)</f>
        <v>0</v>
      </c>
    </row>
    <row r="20" spans="2:23" hidden="1" x14ac:dyDescent="0.25">
      <c r="B20" s="51">
        <v>0.01</v>
      </c>
      <c r="C20" s="70">
        <v>0.61</v>
      </c>
      <c r="D20" s="68">
        <v>0.01</v>
      </c>
      <c r="E20" s="71">
        <v>0.4</v>
      </c>
      <c r="F20" s="35">
        <f t="shared" ref="F20:F37" si="0">SUM(S20*I20)</f>
        <v>0</v>
      </c>
      <c r="G20" s="53" t="e">
        <f>SUM(N20*#REF!*#REF!)</f>
        <v>#REF!</v>
      </c>
      <c r="H20" s="53"/>
      <c r="I20" s="110"/>
      <c r="J20" s="54" t="s">
        <v>54</v>
      </c>
      <c r="K20" s="10" t="s">
        <v>20</v>
      </c>
      <c r="L20" s="11">
        <v>3503</v>
      </c>
      <c r="M20" s="10" t="s">
        <v>22</v>
      </c>
      <c r="N20" s="101">
        <v>5.0000000000000001E-3</v>
      </c>
      <c r="O20" s="67" t="s">
        <v>21</v>
      </c>
      <c r="P20" s="102">
        <f>SUM(C20+B20)</f>
        <v>0.62</v>
      </c>
      <c r="Q20" s="67" t="s">
        <v>21</v>
      </c>
      <c r="R20" s="103">
        <f>SUM(E20+D20)</f>
        <v>0.41000000000000003</v>
      </c>
      <c r="S20" s="35">
        <f t="shared" ref="S20:S35" si="1">SUM(N20*P20*R20)</f>
        <v>1.271E-3</v>
      </c>
      <c r="T20" s="16">
        <v>865</v>
      </c>
      <c r="U20" s="14">
        <f t="shared" ref="U20:U37" si="2">SUM(S20*T20)</f>
        <v>1.099415</v>
      </c>
      <c r="V20" s="15">
        <f t="shared" ref="V20:V37" si="3">SUM(I20*U20)</f>
        <v>0</v>
      </c>
    </row>
    <row r="21" spans="2:23" ht="30" hidden="1" x14ac:dyDescent="0.25">
      <c r="B21" s="51">
        <v>0.01</v>
      </c>
      <c r="C21" s="72">
        <v>0.46</v>
      </c>
      <c r="D21" s="68">
        <v>0.01</v>
      </c>
      <c r="E21" s="73">
        <v>0.12</v>
      </c>
      <c r="F21" s="35">
        <f t="shared" si="0"/>
        <v>0</v>
      </c>
      <c r="G21" s="53" t="e">
        <f>SUM(N21*#REF!*#REF!)</f>
        <v>#REF!</v>
      </c>
      <c r="H21" s="53"/>
      <c r="I21" s="110"/>
      <c r="J21" s="54" t="s">
        <v>55</v>
      </c>
      <c r="K21" s="10" t="s">
        <v>20</v>
      </c>
      <c r="L21" s="11">
        <v>3503</v>
      </c>
      <c r="M21" s="10" t="s">
        <v>22</v>
      </c>
      <c r="N21" s="104">
        <v>2.5000000000000001E-2</v>
      </c>
      <c r="O21" s="67" t="s">
        <v>21</v>
      </c>
      <c r="P21" s="102">
        <f t="shared" ref="P21:P35" si="4">SUM(C21+B21)</f>
        <v>0.47000000000000003</v>
      </c>
      <c r="Q21" s="67" t="s">
        <v>21</v>
      </c>
      <c r="R21" s="103">
        <f t="shared" ref="R21:R35" si="5">SUM(E21+D21)</f>
        <v>0.13</v>
      </c>
      <c r="S21" s="35">
        <f t="shared" si="1"/>
        <v>1.5275000000000002E-3</v>
      </c>
      <c r="T21" s="16">
        <v>865</v>
      </c>
      <c r="U21" s="14">
        <f t="shared" si="2"/>
        <v>1.3212875000000002</v>
      </c>
      <c r="V21" s="15">
        <f t="shared" si="3"/>
        <v>0</v>
      </c>
    </row>
    <row r="22" spans="2:23" hidden="1" x14ac:dyDescent="0.25">
      <c r="B22" s="51">
        <v>0.01</v>
      </c>
      <c r="C22" s="70">
        <v>1.36</v>
      </c>
      <c r="D22" s="68">
        <v>0.01</v>
      </c>
      <c r="E22" s="71">
        <v>0.05</v>
      </c>
      <c r="F22" s="35">
        <f t="shared" si="0"/>
        <v>0</v>
      </c>
      <c r="G22" s="53" t="e">
        <f>SUM(N22*#REF!*#REF!)</f>
        <v>#REF!</v>
      </c>
      <c r="H22" s="53"/>
      <c r="I22" s="110"/>
      <c r="J22" s="54" t="s">
        <v>56</v>
      </c>
      <c r="K22" s="10" t="s">
        <v>20</v>
      </c>
      <c r="L22" s="11">
        <v>3503</v>
      </c>
      <c r="M22" s="10" t="s">
        <v>22</v>
      </c>
      <c r="N22" s="101">
        <v>5.0000000000000001E-3</v>
      </c>
      <c r="O22" s="67" t="s">
        <v>21</v>
      </c>
      <c r="P22" s="102">
        <f t="shared" si="4"/>
        <v>1.37</v>
      </c>
      <c r="Q22" s="67" t="s">
        <v>21</v>
      </c>
      <c r="R22" s="103">
        <f t="shared" si="5"/>
        <v>6.0000000000000005E-2</v>
      </c>
      <c r="S22" s="35">
        <f t="shared" si="1"/>
        <v>4.1100000000000007E-4</v>
      </c>
      <c r="T22" s="16">
        <v>865</v>
      </c>
      <c r="U22" s="14">
        <f t="shared" si="2"/>
        <v>0.35551500000000008</v>
      </c>
      <c r="V22" s="15">
        <f t="shared" si="3"/>
        <v>0</v>
      </c>
    </row>
    <row r="23" spans="2:23" hidden="1" x14ac:dyDescent="0.25">
      <c r="B23" s="51">
        <v>0.01</v>
      </c>
      <c r="C23" s="70">
        <v>0.53</v>
      </c>
      <c r="D23" s="68">
        <v>0.01</v>
      </c>
      <c r="E23" s="71">
        <v>0.495</v>
      </c>
      <c r="F23" s="35">
        <f t="shared" si="0"/>
        <v>0</v>
      </c>
      <c r="G23" s="53" t="e">
        <f>SUM(#REF!*#REF!*N23)</f>
        <v>#REF!</v>
      </c>
      <c r="H23" s="53"/>
      <c r="I23" s="110"/>
      <c r="J23" s="54" t="s">
        <v>39</v>
      </c>
      <c r="K23" s="10" t="s">
        <v>20</v>
      </c>
      <c r="L23" s="11">
        <v>3503</v>
      </c>
      <c r="M23" s="10" t="s">
        <v>22</v>
      </c>
      <c r="N23" s="104">
        <v>7.0000000000000007E-2</v>
      </c>
      <c r="O23" s="67" t="s">
        <v>21</v>
      </c>
      <c r="P23" s="102">
        <f t="shared" si="4"/>
        <v>0.54</v>
      </c>
      <c r="Q23" s="67" t="s">
        <v>21</v>
      </c>
      <c r="R23" s="103">
        <f t="shared" si="5"/>
        <v>0.505</v>
      </c>
      <c r="S23" s="35">
        <f t="shared" si="1"/>
        <v>1.9089000000000005E-2</v>
      </c>
      <c r="T23" s="16">
        <v>865</v>
      </c>
      <c r="U23" s="14">
        <f t="shared" si="2"/>
        <v>16.511985000000003</v>
      </c>
      <c r="V23" s="15">
        <f t="shared" si="3"/>
        <v>0</v>
      </c>
      <c r="W23" s="46"/>
    </row>
    <row r="24" spans="2:23" x14ac:dyDescent="0.25">
      <c r="B24" s="51">
        <v>0.01</v>
      </c>
      <c r="C24" s="70">
        <v>0.47</v>
      </c>
      <c r="D24" s="68">
        <v>0.01</v>
      </c>
      <c r="E24" s="71">
        <v>0.38500000000000001</v>
      </c>
      <c r="F24" s="35">
        <f t="shared" si="0"/>
        <v>0</v>
      </c>
      <c r="G24" s="53" t="e">
        <f>SUM(#REF!*#REF!*N24)</f>
        <v>#REF!</v>
      </c>
      <c r="H24" s="53"/>
      <c r="I24" s="22"/>
      <c r="J24" s="54" t="s">
        <v>38</v>
      </c>
      <c r="K24" s="10" t="s">
        <v>20</v>
      </c>
      <c r="L24" s="11">
        <v>3503</v>
      </c>
      <c r="M24" s="10" t="s">
        <v>22</v>
      </c>
      <c r="N24" s="112">
        <v>0.06</v>
      </c>
      <c r="O24" s="67" t="s">
        <v>21</v>
      </c>
      <c r="P24" s="78">
        <f t="shared" si="4"/>
        <v>0.48</v>
      </c>
      <c r="Q24" s="67" t="s">
        <v>21</v>
      </c>
      <c r="R24" s="79">
        <f t="shared" si="5"/>
        <v>0.39500000000000002</v>
      </c>
      <c r="S24" s="35">
        <f t="shared" si="1"/>
        <v>1.1376000000000001E-2</v>
      </c>
      <c r="T24" s="16">
        <v>865</v>
      </c>
      <c r="U24" s="14">
        <f t="shared" si="2"/>
        <v>9.8402400000000014</v>
      </c>
      <c r="V24" s="15">
        <f t="shared" si="3"/>
        <v>0</v>
      </c>
      <c r="W24" s="46"/>
    </row>
    <row r="25" spans="2:23" x14ac:dyDescent="0.25">
      <c r="B25" s="51">
        <v>0.01</v>
      </c>
      <c r="C25" s="70">
        <v>0.57999999999999996</v>
      </c>
      <c r="D25" s="68">
        <v>0.01</v>
      </c>
      <c r="E25" s="71">
        <v>0.5</v>
      </c>
      <c r="F25" s="35">
        <f t="shared" si="0"/>
        <v>0</v>
      </c>
      <c r="G25" s="53" t="e">
        <f>SUM(#REF!*#REF!*N25)</f>
        <v>#REF!</v>
      </c>
      <c r="H25" s="53"/>
      <c r="I25" s="22"/>
      <c r="J25" s="54" t="s">
        <v>44</v>
      </c>
      <c r="K25" s="10" t="s">
        <v>20</v>
      </c>
      <c r="L25" s="11">
        <v>3503</v>
      </c>
      <c r="M25" s="10" t="s">
        <v>22</v>
      </c>
      <c r="N25" s="113">
        <v>0.06</v>
      </c>
      <c r="O25" s="67" t="s">
        <v>21</v>
      </c>
      <c r="P25" s="78">
        <f t="shared" si="4"/>
        <v>0.59</v>
      </c>
      <c r="Q25" s="67" t="s">
        <v>21</v>
      </c>
      <c r="R25" s="79">
        <f t="shared" si="5"/>
        <v>0.51</v>
      </c>
      <c r="S25" s="35">
        <f t="shared" si="1"/>
        <v>1.8053999999999997E-2</v>
      </c>
      <c r="T25" s="16">
        <v>865</v>
      </c>
      <c r="U25" s="14">
        <f t="shared" si="2"/>
        <v>15.616709999999998</v>
      </c>
      <c r="V25" s="15">
        <f t="shared" si="3"/>
        <v>0</v>
      </c>
      <c r="W25" s="46"/>
    </row>
    <row r="26" spans="2:23" x14ac:dyDescent="0.25">
      <c r="B26" s="51">
        <v>0.01</v>
      </c>
      <c r="C26" s="70">
        <v>0.5</v>
      </c>
      <c r="D26" s="68">
        <v>0.01</v>
      </c>
      <c r="E26" s="71">
        <v>0.30499999999999999</v>
      </c>
      <c r="F26" s="35">
        <f t="shared" si="0"/>
        <v>0</v>
      </c>
      <c r="G26" s="53" t="e">
        <f>SUM(#REF!*#REF!*N26)</f>
        <v>#REF!</v>
      </c>
      <c r="H26" s="53"/>
      <c r="I26" s="22"/>
      <c r="J26" s="54" t="s">
        <v>41</v>
      </c>
      <c r="K26" s="10" t="s">
        <v>20</v>
      </c>
      <c r="L26" s="11">
        <v>3503</v>
      </c>
      <c r="M26" s="10" t="s">
        <v>22</v>
      </c>
      <c r="N26" s="112">
        <v>0.05</v>
      </c>
      <c r="O26" s="67" t="s">
        <v>21</v>
      </c>
      <c r="P26" s="78">
        <f t="shared" si="4"/>
        <v>0.51</v>
      </c>
      <c r="Q26" s="67" t="s">
        <v>21</v>
      </c>
      <c r="R26" s="79">
        <f t="shared" si="5"/>
        <v>0.315</v>
      </c>
      <c r="S26" s="35">
        <f t="shared" si="1"/>
        <v>8.0325000000000014E-3</v>
      </c>
      <c r="T26" s="16">
        <v>865</v>
      </c>
      <c r="U26" s="14">
        <f t="shared" si="2"/>
        <v>6.9481125000000015</v>
      </c>
      <c r="V26" s="15">
        <f t="shared" si="3"/>
        <v>0</v>
      </c>
      <c r="W26" s="46"/>
    </row>
    <row r="27" spans="2:23" x14ac:dyDescent="0.25">
      <c r="B27" s="51">
        <v>0.01</v>
      </c>
      <c r="C27" s="70">
        <v>0.67</v>
      </c>
      <c r="D27" s="68">
        <v>0.01</v>
      </c>
      <c r="E27" s="71">
        <v>0.54</v>
      </c>
      <c r="F27" s="35">
        <f t="shared" si="0"/>
        <v>0</v>
      </c>
      <c r="G27" s="53" t="e">
        <f>SUM(N27*#REF!*#REF!)</f>
        <v>#REF!</v>
      </c>
      <c r="H27" s="53"/>
      <c r="I27" s="22"/>
      <c r="J27" s="54" t="s">
        <v>37</v>
      </c>
      <c r="K27" s="10" t="s">
        <v>20</v>
      </c>
      <c r="L27" s="11">
        <v>3503</v>
      </c>
      <c r="M27" s="10" t="s">
        <v>22</v>
      </c>
      <c r="N27" s="113">
        <v>0.05</v>
      </c>
      <c r="O27" s="67" t="s">
        <v>21</v>
      </c>
      <c r="P27" s="78">
        <f t="shared" si="4"/>
        <v>0.68</v>
      </c>
      <c r="Q27" s="67" t="s">
        <v>21</v>
      </c>
      <c r="R27" s="79">
        <f t="shared" si="5"/>
        <v>0.55000000000000004</v>
      </c>
      <c r="S27" s="35">
        <f t="shared" si="1"/>
        <v>1.8700000000000001E-2</v>
      </c>
      <c r="T27" s="16">
        <v>865</v>
      </c>
      <c r="U27" s="14">
        <f t="shared" si="2"/>
        <v>16.1755</v>
      </c>
      <c r="V27" s="15">
        <f t="shared" si="3"/>
        <v>0</v>
      </c>
    </row>
    <row r="28" spans="2:23" x14ac:dyDescent="0.25">
      <c r="B28" s="51">
        <v>0.01</v>
      </c>
      <c r="C28" s="70">
        <v>0.46</v>
      </c>
      <c r="D28" s="68">
        <v>0.01</v>
      </c>
      <c r="E28" s="71">
        <v>0.34499999999999997</v>
      </c>
      <c r="F28" s="35">
        <f t="shared" si="0"/>
        <v>0</v>
      </c>
      <c r="G28" s="53" t="e">
        <f>SUM(#REF!*#REF!*N28)</f>
        <v>#REF!</v>
      </c>
      <c r="H28" s="53"/>
      <c r="I28" s="22"/>
      <c r="J28" s="54" t="s">
        <v>58</v>
      </c>
      <c r="K28" s="10" t="s">
        <v>20</v>
      </c>
      <c r="L28" s="11">
        <v>3503</v>
      </c>
      <c r="M28" s="10" t="s">
        <v>22</v>
      </c>
      <c r="N28" s="112">
        <v>0.06</v>
      </c>
      <c r="O28" s="67" t="s">
        <v>21</v>
      </c>
      <c r="P28" s="78">
        <f t="shared" si="4"/>
        <v>0.47000000000000003</v>
      </c>
      <c r="Q28" s="67" t="s">
        <v>21</v>
      </c>
      <c r="R28" s="79">
        <f t="shared" si="5"/>
        <v>0.35499999999999998</v>
      </c>
      <c r="S28" s="35">
        <f t="shared" si="1"/>
        <v>1.0010999999999999E-2</v>
      </c>
      <c r="T28" s="16">
        <v>865</v>
      </c>
      <c r="U28" s="14">
        <f t="shared" si="2"/>
        <v>8.659514999999999</v>
      </c>
      <c r="V28" s="15">
        <f t="shared" si="3"/>
        <v>0</v>
      </c>
      <c r="W28" s="46"/>
    </row>
    <row r="29" spans="2:23" x14ac:dyDescent="0.25">
      <c r="B29" s="51">
        <v>0.01</v>
      </c>
      <c r="C29" s="70">
        <v>0.74</v>
      </c>
      <c r="D29" s="68">
        <v>0.01</v>
      </c>
      <c r="E29" s="71">
        <v>0.495</v>
      </c>
      <c r="F29" s="35">
        <f t="shared" si="0"/>
        <v>0</v>
      </c>
      <c r="G29" s="53" t="e">
        <f>SUM(#REF!*#REF!*N29)</f>
        <v>#REF!</v>
      </c>
      <c r="H29" s="53"/>
      <c r="I29" s="22"/>
      <c r="J29" s="54" t="s">
        <v>45</v>
      </c>
      <c r="K29" s="10" t="s">
        <v>20</v>
      </c>
      <c r="L29" s="11">
        <v>3503</v>
      </c>
      <c r="M29" s="10" t="s">
        <v>22</v>
      </c>
      <c r="N29" s="113">
        <v>0.1</v>
      </c>
      <c r="O29" s="67" t="s">
        <v>21</v>
      </c>
      <c r="P29" s="78">
        <f t="shared" si="4"/>
        <v>0.75</v>
      </c>
      <c r="Q29" s="67" t="s">
        <v>21</v>
      </c>
      <c r="R29" s="79">
        <f t="shared" si="5"/>
        <v>0.505</v>
      </c>
      <c r="S29" s="35">
        <f t="shared" si="1"/>
        <v>3.7875000000000006E-2</v>
      </c>
      <c r="T29" s="16">
        <v>865</v>
      </c>
      <c r="U29" s="14">
        <f t="shared" si="2"/>
        <v>32.761875000000003</v>
      </c>
      <c r="V29" s="15">
        <f t="shared" si="3"/>
        <v>0</v>
      </c>
      <c r="W29" s="46"/>
    </row>
    <row r="30" spans="2:23" x14ac:dyDescent="0.25">
      <c r="B30" s="51">
        <v>0.01</v>
      </c>
      <c r="C30" s="70">
        <v>0.52</v>
      </c>
      <c r="D30" s="68">
        <v>0.01</v>
      </c>
      <c r="E30" s="71">
        <v>0.5</v>
      </c>
      <c r="F30" s="35">
        <f t="shared" si="0"/>
        <v>0</v>
      </c>
      <c r="G30" s="53" t="e">
        <f>SUM(#REF!*#REF!*N30)</f>
        <v>#REF!</v>
      </c>
      <c r="H30" s="53"/>
      <c r="I30" s="22"/>
      <c r="J30" s="54" t="s">
        <v>46</v>
      </c>
      <c r="K30" s="10" t="s">
        <v>20</v>
      </c>
      <c r="L30" s="11">
        <v>3503</v>
      </c>
      <c r="M30" s="10" t="s">
        <v>22</v>
      </c>
      <c r="N30" s="112">
        <v>0.01</v>
      </c>
      <c r="O30" s="67" t="s">
        <v>21</v>
      </c>
      <c r="P30" s="78">
        <f t="shared" si="4"/>
        <v>0.53</v>
      </c>
      <c r="Q30" s="67" t="s">
        <v>21</v>
      </c>
      <c r="R30" s="79">
        <f t="shared" si="5"/>
        <v>0.51</v>
      </c>
      <c r="S30" s="35">
        <f t="shared" si="1"/>
        <v>2.7030000000000001E-3</v>
      </c>
      <c r="T30" s="16">
        <v>865</v>
      </c>
      <c r="U30" s="14">
        <f t="shared" si="2"/>
        <v>2.338095</v>
      </c>
      <c r="V30" s="15">
        <f t="shared" si="3"/>
        <v>0</v>
      </c>
      <c r="W30" s="46"/>
    </row>
    <row r="31" spans="2:23" x14ac:dyDescent="0.25">
      <c r="B31" s="51">
        <v>0.01</v>
      </c>
      <c r="C31" s="72">
        <v>1</v>
      </c>
      <c r="D31" s="68">
        <v>0.01</v>
      </c>
      <c r="E31" s="73">
        <v>0.505</v>
      </c>
      <c r="F31" s="35">
        <f t="shared" si="0"/>
        <v>0</v>
      </c>
      <c r="G31" s="53" t="e">
        <f>SUM(#REF!*#REF!*N31)</f>
        <v>#REF!</v>
      </c>
      <c r="H31" s="53"/>
      <c r="I31" s="22"/>
      <c r="J31" s="54" t="s">
        <v>50</v>
      </c>
      <c r="K31" s="10" t="s">
        <v>20</v>
      </c>
      <c r="L31" s="11">
        <v>3503</v>
      </c>
      <c r="M31" s="10" t="s">
        <v>22</v>
      </c>
      <c r="N31" s="112">
        <v>0.02</v>
      </c>
      <c r="O31" s="67" t="s">
        <v>21</v>
      </c>
      <c r="P31" s="78">
        <f t="shared" si="4"/>
        <v>1.01</v>
      </c>
      <c r="Q31" s="67" t="s">
        <v>21</v>
      </c>
      <c r="R31" s="79">
        <f t="shared" si="5"/>
        <v>0.51500000000000001</v>
      </c>
      <c r="S31" s="35">
        <f t="shared" si="1"/>
        <v>1.0402999999999999E-2</v>
      </c>
      <c r="T31" s="16">
        <v>865</v>
      </c>
      <c r="U31" s="14">
        <f t="shared" si="2"/>
        <v>8.9985949999999999</v>
      </c>
      <c r="V31" s="15">
        <f t="shared" si="3"/>
        <v>0</v>
      </c>
      <c r="W31" s="46"/>
    </row>
    <row r="32" spans="2:23" x14ac:dyDescent="0.25">
      <c r="B32" s="51">
        <v>0.01</v>
      </c>
      <c r="C32" s="70">
        <v>0.44</v>
      </c>
      <c r="D32" s="68">
        <v>0.01</v>
      </c>
      <c r="E32" s="71">
        <v>0.39</v>
      </c>
      <c r="F32" s="35">
        <f t="shared" si="0"/>
        <v>0</v>
      </c>
      <c r="G32" s="53" t="e">
        <f>SUM(#REF!*#REF!*N32)</f>
        <v>#REF!</v>
      </c>
      <c r="H32" s="53"/>
      <c r="I32" s="22"/>
      <c r="J32" s="54" t="s">
        <v>51</v>
      </c>
      <c r="K32" s="10" t="s">
        <v>20</v>
      </c>
      <c r="L32" s="11">
        <v>3503</v>
      </c>
      <c r="M32" s="10" t="s">
        <v>22</v>
      </c>
      <c r="N32" s="113">
        <v>0.02</v>
      </c>
      <c r="O32" s="67" t="s">
        <v>21</v>
      </c>
      <c r="P32" s="78">
        <f t="shared" si="4"/>
        <v>0.45</v>
      </c>
      <c r="Q32" s="67" t="s">
        <v>21</v>
      </c>
      <c r="R32" s="79">
        <f t="shared" si="5"/>
        <v>0.4</v>
      </c>
      <c r="S32" s="35">
        <f t="shared" si="1"/>
        <v>3.6000000000000008E-3</v>
      </c>
      <c r="T32" s="16">
        <v>865</v>
      </c>
      <c r="U32" s="14">
        <f t="shared" si="2"/>
        <v>3.1140000000000008</v>
      </c>
      <c r="V32" s="15">
        <f t="shared" si="3"/>
        <v>0</v>
      </c>
      <c r="W32" s="46"/>
    </row>
    <row r="33" spans="2:23" x14ac:dyDescent="0.25">
      <c r="B33" s="51">
        <v>0.01</v>
      </c>
      <c r="C33" s="72">
        <v>0.505</v>
      </c>
      <c r="D33" s="68">
        <v>0.01</v>
      </c>
      <c r="E33" s="73">
        <v>0.43</v>
      </c>
      <c r="F33" s="35">
        <f t="shared" si="0"/>
        <v>0</v>
      </c>
      <c r="G33" s="53" t="e">
        <f>SUM(#REF!*#REF!*N33)</f>
        <v>#REF!</v>
      </c>
      <c r="H33" s="53"/>
      <c r="I33" s="22"/>
      <c r="J33" s="54" t="s">
        <v>43</v>
      </c>
      <c r="K33" s="10" t="s">
        <v>20</v>
      </c>
      <c r="L33" s="11">
        <v>3503</v>
      </c>
      <c r="M33" s="10" t="s">
        <v>22</v>
      </c>
      <c r="N33" s="112">
        <v>0.05</v>
      </c>
      <c r="O33" s="67" t="s">
        <v>21</v>
      </c>
      <c r="P33" s="78">
        <f t="shared" si="4"/>
        <v>0.51500000000000001</v>
      </c>
      <c r="Q33" s="67" t="s">
        <v>21</v>
      </c>
      <c r="R33" s="79">
        <f t="shared" si="5"/>
        <v>0.44</v>
      </c>
      <c r="S33" s="35">
        <f t="shared" si="1"/>
        <v>1.1330000000000002E-2</v>
      </c>
      <c r="T33" s="16">
        <v>865</v>
      </c>
      <c r="U33" s="14">
        <f t="shared" si="2"/>
        <v>9.8004500000000014</v>
      </c>
      <c r="V33" s="15">
        <f t="shared" si="3"/>
        <v>0</v>
      </c>
      <c r="W33" s="46"/>
    </row>
    <row r="34" spans="2:23" x14ac:dyDescent="0.25">
      <c r="B34" s="51">
        <v>0.01</v>
      </c>
      <c r="C34" s="70">
        <v>0.43</v>
      </c>
      <c r="D34" s="68">
        <v>0.01</v>
      </c>
      <c r="E34" s="71">
        <v>0.38500000000000001</v>
      </c>
      <c r="F34" s="35">
        <f t="shared" si="0"/>
        <v>0</v>
      </c>
      <c r="G34" s="53" t="e">
        <f>SUM(#REF!*#REF!*N34)</f>
        <v>#REF!</v>
      </c>
      <c r="H34" s="53"/>
      <c r="I34" s="22"/>
      <c r="J34" s="54" t="s">
        <v>40</v>
      </c>
      <c r="K34" s="10" t="s">
        <v>20</v>
      </c>
      <c r="L34" s="11">
        <v>3503</v>
      </c>
      <c r="M34" s="10" t="s">
        <v>22</v>
      </c>
      <c r="N34" s="113">
        <v>0.1</v>
      </c>
      <c r="O34" s="67" t="s">
        <v>21</v>
      </c>
      <c r="P34" s="78">
        <f t="shared" si="4"/>
        <v>0.44</v>
      </c>
      <c r="Q34" s="67" t="s">
        <v>21</v>
      </c>
      <c r="R34" s="79">
        <f t="shared" si="5"/>
        <v>0.39500000000000002</v>
      </c>
      <c r="S34" s="35">
        <f t="shared" si="1"/>
        <v>1.7380000000000003E-2</v>
      </c>
      <c r="T34" s="16">
        <v>865</v>
      </c>
      <c r="U34" s="14">
        <f t="shared" si="2"/>
        <v>15.033700000000003</v>
      </c>
      <c r="V34" s="15">
        <f t="shared" si="3"/>
        <v>0</v>
      </c>
      <c r="W34" s="46"/>
    </row>
    <row r="35" spans="2:23" x14ac:dyDescent="0.25">
      <c r="B35" s="74">
        <v>0.01</v>
      </c>
      <c r="C35" s="72">
        <v>0.32</v>
      </c>
      <c r="D35" s="68">
        <v>0.01</v>
      </c>
      <c r="E35" s="73">
        <v>7.0000000000000007E-2</v>
      </c>
      <c r="F35" s="35">
        <f t="shared" si="0"/>
        <v>0</v>
      </c>
      <c r="G35" s="53" t="e">
        <f>SUM(#REF!*#REF!*N35)</f>
        <v>#REF!</v>
      </c>
      <c r="H35" s="53"/>
      <c r="I35" s="22"/>
      <c r="J35" s="54" t="s">
        <v>57</v>
      </c>
      <c r="K35" s="10" t="s">
        <v>20</v>
      </c>
      <c r="L35" s="11">
        <v>3503</v>
      </c>
      <c r="M35" s="10" t="s">
        <v>22</v>
      </c>
      <c r="N35" s="112">
        <v>0.02</v>
      </c>
      <c r="O35" s="67" t="s">
        <v>21</v>
      </c>
      <c r="P35" s="78">
        <f t="shared" si="4"/>
        <v>0.33</v>
      </c>
      <c r="Q35" s="67" t="s">
        <v>21</v>
      </c>
      <c r="R35" s="79">
        <f t="shared" si="5"/>
        <v>0.08</v>
      </c>
      <c r="S35" s="35">
        <f t="shared" si="1"/>
        <v>5.2800000000000004E-4</v>
      </c>
      <c r="T35" s="16">
        <v>865</v>
      </c>
      <c r="U35" s="14">
        <f t="shared" si="2"/>
        <v>0.45672000000000001</v>
      </c>
      <c r="V35" s="15">
        <f t="shared" si="3"/>
        <v>0</v>
      </c>
      <c r="W35" s="46"/>
    </row>
    <row r="36" spans="2:23" x14ac:dyDescent="0.25">
      <c r="B36" s="51">
        <v>0.01</v>
      </c>
      <c r="C36" s="70">
        <v>0.46</v>
      </c>
      <c r="D36" s="68">
        <v>0.01</v>
      </c>
      <c r="E36" s="71">
        <v>0.14000000000000001</v>
      </c>
      <c r="F36" s="35">
        <f t="shared" si="0"/>
        <v>0</v>
      </c>
      <c r="G36" s="53" t="e">
        <f>SUM(#REF!*#REF!*N36)</f>
        <v>#REF!</v>
      </c>
      <c r="H36" s="53"/>
      <c r="I36" s="23"/>
      <c r="J36" s="54" t="s">
        <v>42</v>
      </c>
      <c r="K36" s="10" t="s">
        <v>20</v>
      </c>
      <c r="L36" s="11">
        <v>3503</v>
      </c>
      <c r="M36" s="10" t="s">
        <v>22</v>
      </c>
      <c r="N36" s="112">
        <v>0.02</v>
      </c>
      <c r="O36" s="67" t="s">
        <v>21</v>
      </c>
      <c r="P36" s="78">
        <f t="shared" ref="P36:P40" si="6">SUM(C36+B36)</f>
        <v>0.47000000000000003</v>
      </c>
      <c r="Q36" s="67" t="s">
        <v>21</v>
      </c>
      <c r="R36" s="79">
        <f t="shared" ref="R36:R40" si="7">SUM(E36+D36)</f>
        <v>0.15000000000000002</v>
      </c>
      <c r="S36" s="35">
        <f t="shared" ref="S36:S40" si="8">SUM(N36*P36*R36)</f>
        <v>1.4100000000000002E-3</v>
      </c>
      <c r="T36" s="16">
        <v>865</v>
      </c>
      <c r="U36" s="14">
        <f t="shared" si="2"/>
        <v>1.2196500000000001</v>
      </c>
      <c r="V36" s="15">
        <f t="shared" si="3"/>
        <v>0</v>
      </c>
      <c r="W36" s="46"/>
    </row>
    <row r="37" spans="2:23" x14ac:dyDescent="0.25">
      <c r="B37" s="51">
        <v>0.01</v>
      </c>
      <c r="C37" s="72">
        <v>0.46</v>
      </c>
      <c r="D37" s="68">
        <v>0.01</v>
      </c>
      <c r="E37" s="73">
        <v>0.12</v>
      </c>
      <c r="F37" s="35">
        <f t="shared" si="0"/>
        <v>0</v>
      </c>
      <c r="G37" s="53" t="e">
        <f>SUM(#REF!*#REF!*N37)</f>
        <v>#REF!</v>
      </c>
      <c r="H37" s="53"/>
      <c r="I37" s="23"/>
      <c r="J37" s="54" t="s">
        <v>35</v>
      </c>
      <c r="K37" s="10" t="s">
        <v>20</v>
      </c>
      <c r="L37" s="11">
        <v>3503</v>
      </c>
      <c r="M37" s="10" t="s">
        <v>22</v>
      </c>
      <c r="N37" s="112">
        <v>0.02</v>
      </c>
      <c r="O37" s="67" t="s">
        <v>21</v>
      </c>
      <c r="P37" s="78">
        <f t="shared" si="6"/>
        <v>0.47000000000000003</v>
      </c>
      <c r="Q37" s="67" t="s">
        <v>21</v>
      </c>
      <c r="R37" s="79">
        <f t="shared" si="7"/>
        <v>0.13</v>
      </c>
      <c r="S37" s="35">
        <f t="shared" si="8"/>
        <v>1.222E-3</v>
      </c>
      <c r="T37" s="16">
        <v>865</v>
      </c>
      <c r="U37" s="14">
        <f t="shared" si="2"/>
        <v>1.0570299999999999</v>
      </c>
      <c r="V37" s="15">
        <f t="shared" si="3"/>
        <v>0</v>
      </c>
      <c r="W37" s="46"/>
    </row>
    <row r="38" spans="2:23" x14ac:dyDescent="0.25">
      <c r="B38" s="51">
        <v>0.01</v>
      </c>
      <c r="C38" s="72">
        <v>0.57999999999999996</v>
      </c>
      <c r="D38" s="68">
        <v>0.01</v>
      </c>
      <c r="E38" s="73">
        <v>0.5</v>
      </c>
      <c r="F38" s="35">
        <f t="shared" ref="F38:F40" si="9">SUM(S38*I38)</f>
        <v>0</v>
      </c>
      <c r="G38" s="53" t="e">
        <f>SUM(#REF!*#REF!*N38)</f>
        <v>#REF!</v>
      </c>
      <c r="H38" s="53"/>
      <c r="I38" s="23"/>
      <c r="J38" s="54" t="s">
        <v>103</v>
      </c>
      <c r="K38" s="10" t="s">
        <v>20</v>
      </c>
      <c r="L38" s="11">
        <v>3503</v>
      </c>
      <c r="M38" s="10" t="s">
        <v>22</v>
      </c>
      <c r="N38" s="112">
        <v>0.06</v>
      </c>
      <c r="O38" s="67" t="s">
        <v>21</v>
      </c>
      <c r="P38" s="78">
        <f t="shared" si="6"/>
        <v>0.59</v>
      </c>
      <c r="Q38" s="67" t="s">
        <v>21</v>
      </c>
      <c r="R38" s="79">
        <f t="shared" si="7"/>
        <v>0.51</v>
      </c>
      <c r="S38" s="35">
        <f t="shared" si="8"/>
        <v>1.8053999999999997E-2</v>
      </c>
      <c r="T38" s="16">
        <v>865</v>
      </c>
      <c r="U38" s="14">
        <f t="shared" ref="U38:U40" si="10">SUM(S38*T38)</f>
        <v>15.616709999999998</v>
      </c>
      <c r="V38" s="15">
        <f t="shared" ref="V38:V40" si="11">SUM(I38*U38)</f>
        <v>0</v>
      </c>
      <c r="W38" s="46"/>
    </row>
    <row r="39" spans="2:23" x14ac:dyDescent="0.25">
      <c r="B39" s="51">
        <v>0.01</v>
      </c>
      <c r="C39" s="72">
        <v>0.51</v>
      </c>
      <c r="D39" s="68">
        <v>0.01</v>
      </c>
      <c r="E39" s="73">
        <v>0.31</v>
      </c>
      <c r="F39" s="35">
        <f t="shared" si="9"/>
        <v>0</v>
      </c>
      <c r="G39" s="53" t="e">
        <f>SUM(#REF!*#REF!*N39)</f>
        <v>#REF!</v>
      </c>
      <c r="H39" s="53"/>
      <c r="I39" s="24"/>
      <c r="J39" s="57" t="s">
        <v>102</v>
      </c>
      <c r="K39" s="10" t="s">
        <v>20</v>
      </c>
      <c r="L39" s="11">
        <v>3503</v>
      </c>
      <c r="M39" s="10" t="s">
        <v>22</v>
      </c>
      <c r="N39" s="112">
        <v>0.05</v>
      </c>
      <c r="O39" s="67" t="s">
        <v>21</v>
      </c>
      <c r="P39" s="78">
        <f>SUM(C39+B39)</f>
        <v>0.52</v>
      </c>
      <c r="Q39" s="67" t="s">
        <v>21</v>
      </c>
      <c r="R39" s="79">
        <f t="shared" si="7"/>
        <v>0.32</v>
      </c>
      <c r="S39" s="35">
        <f t="shared" si="8"/>
        <v>8.320000000000001E-3</v>
      </c>
      <c r="T39" s="16">
        <v>865</v>
      </c>
      <c r="U39" s="14">
        <f t="shared" si="10"/>
        <v>7.1968000000000005</v>
      </c>
      <c r="V39" s="15">
        <f t="shared" si="11"/>
        <v>0</v>
      </c>
      <c r="W39" s="46"/>
    </row>
    <row r="40" spans="2:23" ht="30" x14ac:dyDescent="0.25">
      <c r="B40" s="51">
        <v>0.01</v>
      </c>
      <c r="C40" s="72">
        <v>0.47</v>
      </c>
      <c r="D40" s="68">
        <v>0.01</v>
      </c>
      <c r="E40" s="73">
        <v>0.38500000000000001</v>
      </c>
      <c r="F40" s="35">
        <f t="shared" si="9"/>
        <v>0</v>
      </c>
      <c r="G40" s="53" t="e">
        <f>SUM(#REF!*#REF!*N40)</f>
        <v>#REF!</v>
      </c>
      <c r="H40" s="53"/>
      <c r="I40" s="23"/>
      <c r="J40" s="54" t="s">
        <v>104</v>
      </c>
      <c r="K40" s="10" t="s">
        <v>20</v>
      </c>
      <c r="L40" s="11">
        <v>3503</v>
      </c>
      <c r="M40" s="10" t="s">
        <v>22</v>
      </c>
      <c r="N40" s="112">
        <v>0.06</v>
      </c>
      <c r="O40" s="67" t="s">
        <v>21</v>
      </c>
      <c r="P40" s="78">
        <f t="shared" si="6"/>
        <v>0.48</v>
      </c>
      <c r="Q40" s="67" t="s">
        <v>21</v>
      </c>
      <c r="R40" s="79">
        <f t="shared" si="7"/>
        <v>0.39500000000000002</v>
      </c>
      <c r="S40" s="35">
        <f t="shared" si="8"/>
        <v>1.1376000000000001E-2</v>
      </c>
      <c r="T40" s="16">
        <v>865</v>
      </c>
      <c r="U40" s="14">
        <f t="shared" si="10"/>
        <v>9.8402400000000014</v>
      </c>
      <c r="V40" s="15">
        <f t="shared" si="11"/>
        <v>0</v>
      </c>
      <c r="W40" s="46"/>
    </row>
    <row r="41" spans="2:23" x14ac:dyDescent="0.25">
      <c r="B41" s="51">
        <v>0.01</v>
      </c>
      <c r="C41" s="72">
        <v>0.52</v>
      </c>
      <c r="D41" s="68">
        <v>0.01</v>
      </c>
      <c r="E41" s="73">
        <v>0.5</v>
      </c>
      <c r="F41" s="35">
        <f>SUM(S41*I41)</f>
        <v>0</v>
      </c>
      <c r="G41" s="53" t="e">
        <f>SUM(#REF!*#REF!*N41)</f>
        <v>#REF!</v>
      </c>
      <c r="H41" s="53"/>
      <c r="I41" s="23"/>
      <c r="J41" s="54" t="s">
        <v>106</v>
      </c>
      <c r="K41" s="10" t="s">
        <v>20</v>
      </c>
      <c r="L41" s="11">
        <v>3503</v>
      </c>
      <c r="M41" s="10" t="s">
        <v>22</v>
      </c>
      <c r="N41" s="112">
        <v>0.01</v>
      </c>
      <c r="O41" s="70" t="s">
        <v>21</v>
      </c>
      <c r="P41" s="114">
        <f>SUM(C41+B41)</f>
        <v>0.53</v>
      </c>
      <c r="Q41" s="70" t="s">
        <v>21</v>
      </c>
      <c r="R41" s="115">
        <f>SUM(E41+D41)</f>
        <v>0.51</v>
      </c>
      <c r="S41" s="35">
        <f>SUM(N41*P41*R41)</f>
        <v>2.7030000000000001E-3</v>
      </c>
      <c r="T41" s="16">
        <v>865</v>
      </c>
      <c r="U41" s="14">
        <f>SUM(S41*T41)</f>
        <v>2.338095</v>
      </c>
      <c r="V41" s="15">
        <f>SUM(I41*U41)</f>
        <v>0</v>
      </c>
      <c r="W41" s="46"/>
    </row>
    <row r="42" spans="2:23" x14ac:dyDescent="0.25">
      <c r="B42" s="51"/>
      <c r="C42" s="72"/>
      <c r="D42" s="68"/>
      <c r="E42" s="73"/>
      <c r="F42" s="35"/>
      <c r="G42" s="53"/>
      <c r="H42" s="53"/>
      <c r="I42" s="23"/>
      <c r="J42" s="54"/>
      <c r="K42" s="10"/>
      <c r="L42" s="11"/>
      <c r="M42" s="10"/>
      <c r="N42" s="80"/>
      <c r="O42" s="67"/>
      <c r="P42" s="78"/>
      <c r="Q42" s="67"/>
      <c r="R42" s="79"/>
      <c r="S42" s="35"/>
      <c r="T42" s="16"/>
      <c r="U42" s="14"/>
      <c r="V42" s="15"/>
      <c r="W42" s="46"/>
    </row>
    <row r="43" spans="2:23" x14ac:dyDescent="0.25">
      <c r="B43" s="51"/>
      <c r="C43" s="72"/>
      <c r="D43" s="68"/>
      <c r="E43" s="73"/>
      <c r="F43" s="35"/>
      <c r="G43" s="53"/>
      <c r="H43" s="53"/>
      <c r="I43" s="23"/>
      <c r="J43" s="54" t="s">
        <v>67</v>
      </c>
      <c r="K43" s="10" t="s">
        <v>20</v>
      </c>
      <c r="L43" s="11">
        <v>3503</v>
      </c>
      <c r="M43" s="12" t="s">
        <v>22</v>
      </c>
      <c r="N43" s="112">
        <v>0</v>
      </c>
      <c r="O43" s="67" t="s">
        <v>21</v>
      </c>
      <c r="P43" s="78">
        <f t="shared" ref="P43:P76" si="12">SUM(C43+B43)</f>
        <v>0</v>
      </c>
      <c r="Q43" s="67" t="s">
        <v>21</v>
      </c>
      <c r="R43" s="79">
        <f t="shared" ref="R43:R76" si="13">SUM(E43+D43)</f>
        <v>0</v>
      </c>
      <c r="S43" s="35">
        <f t="shared" ref="S43:S76" si="14">SUM(N43*P43*R43)</f>
        <v>0</v>
      </c>
      <c r="T43" s="16">
        <v>865</v>
      </c>
      <c r="U43" s="14">
        <f t="shared" ref="U43:U76" si="15">SUM(S43*T43)</f>
        <v>0</v>
      </c>
      <c r="V43" s="15">
        <f t="shared" ref="V43:V76" si="16">SUM(I43*U43)</f>
        <v>0</v>
      </c>
      <c r="W43" s="46"/>
    </row>
    <row r="44" spans="2:23" x14ac:dyDescent="0.25">
      <c r="B44" s="51"/>
      <c r="C44" s="72"/>
      <c r="D44" s="68"/>
      <c r="E44" s="73"/>
      <c r="F44" s="35"/>
      <c r="G44" s="53"/>
      <c r="H44" s="53"/>
      <c r="I44" s="23"/>
      <c r="J44" s="54" t="s">
        <v>68</v>
      </c>
      <c r="K44" s="10" t="s">
        <v>20</v>
      </c>
      <c r="L44" s="11">
        <v>3503</v>
      </c>
      <c r="M44" s="12" t="s">
        <v>22</v>
      </c>
      <c r="N44" s="112">
        <v>0</v>
      </c>
      <c r="O44" s="67" t="s">
        <v>21</v>
      </c>
      <c r="P44" s="78">
        <f t="shared" si="12"/>
        <v>0</v>
      </c>
      <c r="Q44" s="67" t="s">
        <v>21</v>
      </c>
      <c r="R44" s="79">
        <f t="shared" si="13"/>
        <v>0</v>
      </c>
      <c r="S44" s="35">
        <f t="shared" si="14"/>
        <v>0</v>
      </c>
      <c r="T44" s="16">
        <v>865</v>
      </c>
      <c r="U44" s="14">
        <f t="shared" si="15"/>
        <v>0</v>
      </c>
      <c r="V44" s="15">
        <f t="shared" si="16"/>
        <v>0</v>
      </c>
      <c r="W44" s="46"/>
    </row>
    <row r="45" spans="2:23" x14ac:dyDescent="0.25">
      <c r="B45" s="51"/>
      <c r="C45" s="72"/>
      <c r="D45" s="68"/>
      <c r="E45" s="73"/>
      <c r="F45" s="35"/>
      <c r="G45" s="53"/>
      <c r="H45" s="53"/>
      <c r="I45" s="23"/>
      <c r="J45" s="54" t="s">
        <v>69</v>
      </c>
      <c r="K45" s="10" t="s">
        <v>20</v>
      </c>
      <c r="L45" s="11">
        <v>3503</v>
      </c>
      <c r="M45" s="12" t="s">
        <v>22</v>
      </c>
      <c r="N45" s="112">
        <v>0</v>
      </c>
      <c r="O45" s="67" t="s">
        <v>21</v>
      </c>
      <c r="P45" s="78">
        <f t="shared" si="12"/>
        <v>0</v>
      </c>
      <c r="Q45" s="67" t="s">
        <v>21</v>
      </c>
      <c r="R45" s="79">
        <f t="shared" si="13"/>
        <v>0</v>
      </c>
      <c r="S45" s="35">
        <f t="shared" si="14"/>
        <v>0</v>
      </c>
      <c r="T45" s="16">
        <v>865</v>
      </c>
      <c r="U45" s="14">
        <f t="shared" si="15"/>
        <v>0</v>
      </c>
      <c r="V45" s="15">
        <f t="shared" si="16"/>
        <v>0</v>
      </c>
      <c r="W45" s="46"/>
    </row>
    <row r="46" spans="2:23" x14ac:dyDescent="0.25">
      <c r="B46" s="51"/>
      <c r="C46" s="72"/>
      <c r="D46" s="68"/>
      <c r="E46" s="73"/>
      <c r="F46" s="35"/>
      <c r="G46" s="53"/>
      <c r="H46" s="53"/>
      <c r="I46" s="23"/>
      <c r="J46" s="54" t="s">
        <v>70</v>
      </c>
      <c r="K46" s="10" t="s">
        <v>20</v>
      </c>
      <c r="L46" s="11">
        <v>3503</v>
      </c>
      <c r="M46" s="12" t="s">
        <v>22</v>
      </c>
      <c r="N46" s="112">
        <v>0</v>
      </c>
      <c r="O46" s="67" t="s">
        <v>21</v>
      </c>
      <c r="P46" s="78">
        <f t="shared" si="12"/>
        <v>0</v>
      </c>
      <c r="Q46" s="67" t="s">
        <v>21</v>
      </c>
      <c r="R46" s="79">
        <f t="shared" si="13"/>
        <v>0</v>
      </c>
      <c r="S46" s="35">
        <f t="shared" si="14"/>
        <v>0</v>
      </c>
      <c r="T46" s="16">
        <v>865</v>
      </c>
      <c r="U46" s="14">
        <f t="shared" si="15"/>
        <v>0</v>
      </c>
      <c r="V46" s="15">
        <f t="shared" si="16"/>
        <v>0</v>
      </c>
      <c r="W46" s="46"/>
    </row>
    <row r="47" spans="2:23" x14ac:dyDescent="0.25">
      <c r="B47" s="51"/>
      <c r="C47" s="72"/>
      <c r="D47" s="68"/>
      <c r="E47" s="73"/>
      <c r="F47" s="35"/>
      <c r="G47" s="53"/>
      <c r="H47" s="53"/>
      <c r="I47" s="23"/>
      <c r="J47" s="54" t="s">
        <v>71</v>
      </c>
      <c r="K47" s="10" t="s">
        <v>20</v>
      </c>
      <c r="L47" s="11">
        <v>3503</v>
      </c>
      <c r="M47" s="12" t="s">
        <v>22</v>
      </c>
      <c r="N47" s="112">
        <v>0</v>
      </c>
      <c r="O47" s="67" t="s">
        <v>21</v>
      </c>
      <c r="P47" s="78">
        <f t="shared" si="12"/>
        <v>0</v>
      </c>
      <c r="Q47" s="67" t="s">
        <v>21</v>
      </c>
      <c r="R47" s="79">
        <f t="shared" si="13"/>
        <v>0</v>
      </c>
      <c r="S47" s="35">
        <f t="shared" si="14"/>
        <v>0</v>
      </c>
      <c r="T47" s="16">
        <v>865</v>
      </c>
      <c r="U47" s="14">
        <f t="shared" si="15"/>
        <v>0</v>
      </c>
      <c r="V47" s="15">
        <f t="shared" si="16"/>
        <v>0</v>
      </c>
      <c r="W47" s="46"/>
    </row>
    <row r="48" spans="2:23" x14ac:dyDescent="0.25">
      <c r="B48" s="51"/>
      <c r="C48" s="72"/>
      <c r="D48" s="68"/>
      <c r="E48" s="73"/>
      <c r="F48" s="35"/>
      <c r="G48" s="53"/>
      <c r="H48" s="53"/>
      <c r="I48" s="23"/>
      <c r="J48" s="54" t="s">
        <v>72</v>
      </c>
      <c r="K48" s="10" t="s">
        <v>20</v>
      </c>
      <c r="L48" s="11">
        <v>3503</v>
      </c>
      <c r="M48" s="12" t="s">
        <v>22</v>
      </c>
      <c r="N48" s="112">
        <v>0</v>
      </c>
      <c r="O48" s="67" t="s">
        <v>21</v>
      </c>
      <c r="P48" s="78">
        <f t="shared" si="12"/>
        <v>0</v>
      </c>
      <c r="Q48" s="67" t="s">
        <v>21</v>
      </c>
      <c r="R48" s="79">
        <f t="shared" si="13"/>
        <v>0</v>
      </c>
      <c r="S48" s="35">
        <f t="shared" si="14"/>
        <v>0</v>
      </c>
      <c r="T48" s="16">
        <v>865</v>
      </c>
      <c r="U48" s="14">
        <f t="shared" si="15"/>
        <v>0</v>
      </c>
      <c r="V48" s="15">
        <f t="shared" si="16"/>
        <v>0</v>
      </c>
      <c r="W48" s="46"/>
    </row>
    <row r="49" spans="2:23" x14ac:dyDescent="0.25">
      <c r="B49" s="51"/>
      <c r="C49" s="72"/>
      <c r="D49" s="68"/>
      <c r="E49" s="73"/>
      <c r="F49" s="35"/>
      <c r="G49" s="53"/>
      <c r="H49" s="53"/>
      <c r="I49" s="23"/>
      <c r="J49" s="54" t="s">
        <v>73</v>
      </c>
      <c r="K49" s="10" t="s">
        <v>20</v>
      </c>
      <c r="L49" s="11">
        <v>3503</v>
      </c>
      <c r="M49" s="12" t="s">
        <v>22</v>
      </c>
      <c r="N49" s="112">
        <v>0</v>
      </c>
      <c r="O49" s="67" t="s">
        <v>21</v>
      </c>
      <c r="P49" s="78">
        <f t="shared" si="12"/>
        <v>0</v>
      </c>
      <c r="Q49" s="67" t="s">
        <v>21</v>
      </c>
      <c r="R49" s="79">
        <f t="shared" si="13"/>
        <v>0</v>
      </c>
      <c r="S49" s="35">
        <f t="shared" si="14"/>
        <v>0</v>
      </c>
      <c r="T49" s="16">
        <v>865</v>
      </c>
      <c r="U49" s="14">
        <f t="shared" si="15"/>
        <v>0</v>
      </c>
      <c r="V49" s="15">
        <f t="shared" si="16"/>
        <v>0</v>
      </c>
      <c r="W49" s="46"/>
    </row>
    <row r="50" spans="2:23" x14ac:dyDescent="0.25">
      <c r="B50" s="51"/>
      <c r="C50" s="72"/>
      <c r="D50" s="68"/>
      <c r="E50" s="73"/>
      <c r="F50" s="35"/>
      <c r="G50" s="53"/>
      <c r="H50" s="53"/>
      <c r="I50" s="23"/>
      <c r="J50" s="54" t="s">
        <v>74</v>
      </c>
      <c r="K50" s="10" t="s">
        <v>20</v>
      </c>
      <c r="L50" s="11">
        <v>3503</v>
      </c>
      <c r="M50" s="12" t="s">
        <v>22</v>
      </c>
      <c r="N50" s="112">
        <v>0</v>
      </c>
      <c r="O50" s="67" t="s">
        <v>21</v>
      </c>
      <c r="P50" s="78">
        <f t="shared" si="12"/>
        <v>0</v>
      </c>
      <c r="Q50" s="67" t="s">
        <v>21</v>
      </c>
      <c r="R50" s="79">
        <f t="shared" si="13"/>
        <v>0</v>
      </c>
      <c r="S50" s="35">
        <f t="shared" si="14"/>
        <v>0</v>
      </c>
      <c r="T50" s="16">
        <v>865</v>
      </c>
      <c r="U50" s="14">
        <f t="shared" si="15"/>
        <v>0</v>
      </c>
      <c r="V50" s="15">
        <f t="shared" si="16"/>
        <v>0</v>
      </c>
      <c r="W50" s="46"/>
    </row>
    <row r="51" spans="2:23" x14ac:dyDescent="0.25">
      <c r="B51" s="51"/>
      <c r="C51" s="72"/>
      <c r="D51" s="68"/>
      <c r="E51" s="73"/>
      <c r="F51" s="35"/>
      <c r="G51" s="53"/>
      <c r="H51" s="53"/>
      <c r="I51" s="23"/>
      <c r="J51" s="54" t="s">
        <v>75</v>
      </c>
      <c r="K51" s="10" t="s">
        <v>20</v>
      </c>
      <c r="L51" s="11">
        <v>3503</v>
      </c>
      <c r="M51" s="12" t="s">
        <v>22</v>
      </c>
      <c r="N51" s="112">
        <v>0</v>
      </c>
      <c r="O51" s="67" t="s">
        <v>21</v>
      </c>
      <c r="P51" s="78">
        <f t="shared" si="12"/>
        <v>0</v>
      </c>
      <c r="Q51" s="67" t="s">
        <v>21</v>
      </c>
      <c r="R51" s="79">
        <f t="shared" si="13"/>
        <v>0</v>
      </c>
      <c r="S51" s="35">
        <f t="shared" si="14"/>
        <v>0</v>
      </c>
      <c r="T51" s="16">
        <v>865</v>
      </c>
      <c r="U51" s="14">
        <f t="shared" si="15"/>
        <v>0</v>
      </c>
      <c r="V51" s="15">
        <f t="shared" si="16"/>
        <v>0</v>
      </c>
      <c r="W51" s="46"/>
    </row>
    <row r="52" spans="2:23" x14ac:dyDescent="0.25">
      <c r="B52" s="51"/>
      <c r="C52" s="72"/>
      <c r="D52" s="68"/>
      <c r="E52" s="73"/>
      <c r="F52" s="35"/>
      <c r="G52" s="53"/>
      <c r="H52" s="53"/>
      <c r="I52" s="23"/>
      <c r="J52" s="54" t="s">
        <v>76</v>
      </c>
      <c r="K52" s="10" t="s">
        <v>20</v>
      </c>
      <c r="L52" s="11">
        <v>3503</v>
      </c>
      <c r="M52" s="12" t="s">
        <v>22</v>
      </c>
      <c r="N52" s="112">
        <v>0</v>
      </c>
      <c r="O52" s="67" t="s">
        <v>21</v>
      </c>
      <c r="P52" s="78">
        <f t="shared" si="12"/>
        <v>0</v>
      </c>
      <c r="Q52" s="67" t="s">
        <v>21</v>
      </c>
      <c r="R52" s="79">
        <f t="shared" si="13"/>
        <v>0</v>
      </c>
      <c r="S52" s="35">
        <f t="shared" si="14"/>
        <v>0</v>
      </c>
      <c r="T52" s="16">
        <v>865</v>
      </c>
      <c r="U52" s="14">
        <f t="shared" si="15"/>
        <v>0</v>
      </c>
      <c r="V52" s="15">
        <f t="shared" si="16"/>
        <v>0</v>
      </c>
      <c r="W52" s="46"/>
    </row>
    <row r="53" spans="2:23" x14ac:dyDescent="0.25">
      <c r="B53" s="51"/>
      <c r="C53" s="72"/>
      <c r="D53" s="68"/>
      <c r="E53" s="73"/>
      <c r="F53" s="35"/>
      <c r="G53" s="53"/>
      <c r="H53" s="53"/>
      <c r="I53" s="23"/>
      <c r="J53" s="54" t="s">
        <v>77</v>
      </c>
      <c r="K53" s="10" t="s">
        <v>20</v>
      </c>
      <c r="L53" s="11">
        <v>3503</v>
      </c>
      <c r="M53" s="12" t="s">
        <v>22</v>
      </c>
      <c r="N53" s="112">
        <v>0</v>
      </c>
      <c r="O53" s="67" t="s">
        <v>21</v>
      </c>
      <c r="P53" s="78">
        <f t="shared" si="12"/>
        <v>0</v>
      </c>
      <c r="Q53" s="67" t="s">
        <v>21</v>
      </c>
      <c r="R53" s="79">
        <f t="shared" si="13"/>
        <v>0</v>
      </c>
      <c r="S53" s="35">
        <f t="shared" si="14"/>
        <v>0</v>
      </c>
      <c r="T53" s="16">
        <v>865</v>
      </c>
      <c r="U53" s="14">
        <f t="shared" si="15"/>
        <v>0</v>
      </c>
      <c r="V53" s="15">
        <f t="shared" si="16"/>
        <v>0</v>
      </c>
      <c r="W53" s="46"/>
    </row>
    <row r="54" spans="2:23" x14ac:dyDescent="0.25">
      <c r="B54" s="51"/>
      <c r="C54" s="72"/>
      <c r="D54" s="68"/>
      <c r="E54" s="73"/>
      <c r="F54" s="35"/>
      <c r="G54" s="53"/>
      <c r="H54" s="53"/>
      <c r="I54" s="23"/>
      <c r="J54" s="54" t="s">
        <v>78</v>
      </c>
      <c r="K54" s="10" t="s">
        <v>20</v>
      </c>
      <c r="L54" s="11">
        <v>3503</v>
      </c>
      <c r="M54" s="12" t="s">
        <v>22</v>
      </c>
      <c r="N54" s="112">
        <v>0</v>
      </c>
      <c r="O54" s="67" t="s">
        <v>21</v>
      </c>
      <c r="P54" s="78">
        <f t="shared" si="12"/>
        <v>0</v>
      </c>
      <c r="Q54" s="67" t="s">
        <v>21</v>
      </c>
      <c r="R54" s="79">
        <f t="shared" si="13"/>
        <v>0</v>
      </c>
      <c r="S54" s="35">
        <f t="shared" si="14"/>
        <v>0</v>
      </c>
      <c r="T54" s="16">
        <v>865</v>
      </c>
      <c r="U54" s="14">
        <f t="shared" si="15"/>
        <v>0</v>
      </c>
      <c r="V54" s="15">
        <f t="shared" si="16"/>
        <v>0</v>
      </c>
      <c r="W54" s="46"/>
    </row>
    <row r="55" spans="2:23" x14ac:dyDescent="0.25">
      <c r="B55" s="51"/>
      <c r="C55" s="72"/>
      <c r="D55" s="68"/>
      <c r="E55" s="73"/>
      <c r="F55" s="35"/>
      <c r="G55" s="53"/>
      <c r="H55" s="53"/>
      <c r="I55" s="23"/>
      <c r="J55" s="54" t="s">
        <v>79</v>
      </c>
      <c r="K55" s="10" t="s">
        <v>20</v>
      </c>
      <c r="L55" s="11">
        <v>3503</v>
      </c>
      <c r="M55" s="12" t="s">
        <v>22</v>
      </c>
      <c r="N55" s="112">
        <v>0</v>
      </c>
      <c r="O55" s="67" t="s">
        <v>21</v>
      </c>
      <c r="P55" s="78">
        <f t="shared" si="12"/>
        <v>0</v>
      </c>
      <c r="Q55" s="67" t="s">
        <v>21</v>
      </c>
      <c r="R55" s="79">
        <f t="shared" si="13"/>
        <v>0</v>
      </c>
      <c r="S55" s="35">
        <f t="shared" si="14"/>
        <v>0</v>
      </c>
      <c r="T55" s="16">
        <v>865</v>
      </c>
      <c r="U55" s="14">
        <f t="shared" si="15"/>
        <v>0</v>
      </c>
      <c r="V55" s="15">
        <f t="shared" si="16"/>
        <v>0</v>
      </c>
      <c r="W55" s="46"/>
    </row>
    <row r="56" spans="2:23" x14ac:dyDescent="0.25">
      <c r="B56" s="51"/>
      <c r="C56" s="72"/>
      <c r="D56" s="68"/>
      <c r="E56" s="73"/>
      <c r="F56" s="35"/>
      <c r="G56" s="53"/>
      <c r="H56" s="53"/>
      <c r="I56" s="23"/>
      <c r="J56" s="54" t="s">
        <v>80</v>
      </c>
      <c r="K56" s="10" t="s">
        <v>20</v>
      </c>
      <c r="L56" s="11">
        <v>3503</v>
      </c>
      <c r="M56" s="12" t="s">
        <v>22</v>
      </c>
      <c r="N56" s="112">
        <v>0</v>
      </c>
      <c r="O56" s="67" t="s">
        <v>21</v>
      </c>
      <c r="P56" s="78">
        <f t="shared" si="12"/>
        <v>0</v>
      </c>
      <c r="Q56" s="67" t="s">
        <v>21</v>
      </c>
      <c r="R56" s="79">
        <f t="shared" si="13"/>
        <v>0</v>
      </c>
      <c r="S56" s="35">
        <f t="shared" si="14"/>
        <v>0</v>
      </c>
      <c r="T56" s="16">
        <v>865</v>
      </c>
      <c r="U56" s="14">
        <f t="shared" si="15"/>
        <v>0</v>
      </c>
      <c r="V56" s="15">
        <f t="shared" si="16"/>
        <v>0</v>
      </c>
      <c r="W56" s="46"/>
    </row>
    <row r="57" spans="2:23" x14ac:dyDescent="0.25">
      <c r="B57" s="51"/>
      <c r="C57" s="72"/>
      <c r="D57" s="68"/>
      <c r="E57" s="73"/>
      <c r="F57" s="35"/>
      <c r="G57" s="53"/>
      <c r="H57" s="53"/>
      <c r="I57" s="23"/>
      <c r="J57" s="54" t="s">
        <v>81</v>
      </c>
      <c r="K57" s="10" t="s">
        <v>20</v>
      </c>
      <c r="L57" s="11">
        <v>3503</v>
      </c>
      <c r="M57" s="12" t="s">
        <v>22</v>
      </c>
      <c r="N57" s="112">
        <v>0</v>
      </c>
      <c r="O57" s="67" t="s">
        <v>21</v>
      </c>
      <c r="P57" s="78">
        <f t="shared" si="12"/>
        <v>0</v>
      </c>
      <c r="Q57" s="67" t="s">
        <v>21</v>
      </c>
      <c r="R57" s="79">
        <f t="shared" si="13"/>
        <v>0</v>
      </c>
      <c r="S57" s="35">
        <f t="shared" si="14"/>
        <v>0</v>
      </c>
      <c r="T57" s="16">
        <v>865</v>
      </c>
      <c r="U57" s="14">
        <f t="shared" si="15"/>
        <v>0</v>
      </c>
      <c r="V57" s="15">
        <f t="shared" si="16"/>
        <v>0</v>
      </c>
      <c r="W57" s="46"/>
    </row>
    <row r="58" spans="2:23" x14ac:dyDescent="0.25">
      <c r="B58" s="51"/>
      <c r="C58" s="72"/>
      <c r="D58" s="68"/>
      <c r="E58" s="73"/>
      <c r="F58" s="35"/>
      <c r="G58" s="53"/>
      <c r="H58" s="53"/>
      <c r="I58" s="23"/>
      <c r="J58" s="54" t="s">
        <v>82</v>
      </c>
      <c r="K58" s="10" t="s">
        <v>20</v>
      </c>
      <c r="L58" s="11">
        <v>3503</v>
      </c>
      <c r="M58" s="12" t="s">
        <v>22</v>
      </c>
      <c r="N58" s="112">
        <v>0</v>
      </c>
      <c r="O58" s="67" t="s">
        <v>21</v>
      </c>
      <c r="P58" s="78">
        <f t="shared" si="12"/>
        <v>0</v>
      </c>
      <c r="Q58" s="67" t="s">
        <v>21</v>
      </c>
      <c r="R58" s="79">
        <f t="shared" si="13"/>
        <v>0</v>
      </c>
      <c r="S58" s="35">
        <f t="shared" si="14"/>
        <v>0</v>
      </c>
      <c r="T58" s="16">
        <v>865</v>
      </c>
      <c r="U58" s="14">
        <f t="shared" si="15"/>
        <v>0</v>
      </c>
      <c r="V58" s="15">
        <f t="shared" si="16"/>
        <v>0</v>
      </c>
      <c r="W58" s="46"/>
    </row>
    <row r="59" spans="2:23" x14ac:dyDescent="0.25">
      <c r="B59" s="51"/>
      <c r="C59" s="72"/>
      <c r="D59" s="68"/>
      <c r="E59" s="73"/>
      <c r="F59" s="35"/>
      <c r="G59" s="53"/>
      <c r="H59" s="53"/>
      <c r="I59" s="23"/>
      <c r="J59" s="54" t="s">
        <v>83</v>
      </c>
      <c r="K59" s="10" t="s">
        <v>20</v>
      </c>
      <c r="L59" s="11">
        <v>3503</v>
      </c>
      <c r="M59" s="12" t="s">
        <v>22</v>
      </c>
      <c r="N59" s="112">
        <v>0</v>
      </c>
      <c r="O59" s="67" t="s">
        <v>21</v>
      </c>
      <c r="P59" s="78">
        <f t="shared" si="12"/>
        <v>0</v>
      </c>
      <c r="Q59" s="67" t="s">
        <v>21</v>
      </c>
      <c r="R59" s="79">
        <f t="shared" si="13"/>
        <v>0</v>
      </c>
      <c r="S59" s="35">
        <f t="shared" si="14"/>
        <v>0</v>
      </c>
      <c r="T59" s="16">
        <v>865</v>
      </c>
      <c r="U59" s="14">
        <f t="shared" si="15"/>
        <v>0</v>
      </c>
      <c r="V59" s="15">
        <f t="shared" si="16"/>
        <v>0</v>
      </c>
      <c r="W59" s="46"/>
    </row>
    <row r="60" spans="2:23" x14ac:dyDescent="0.25">
      <c r="B60" s="51"/>
      <c r="C60" s="72"/>
      <c r="D60" s="68"/>
      <c r="E60" s="73"/>
      <c r="F60" s="35"/>
      <c r="G60" s="53"/>
      <c r="H60" s="53"/>
      <c r="I60" s="23"/>
      <c r="J60" s="54" t="s">
        <v>84</v>
      </c>
      <c r="K60" s="10" t="s">
        <v>20</v>
      </c>
      <c r="L60" s="11">
        <v>3503</v>
      </c>
      <c r="M60" s="12" t="s">
        <v>22</v>
      </c>
      <c r="N60" s="112">
        <v>0</v>
      </c>
      <c r="O60" s="67" t="s">
        <v>21</v>
      </c>
      <c r="P60" s="78">
        <f t="shared" si="12"/>
        <v>0</v>
      </c>
      <c r="Q60" s="67" t="s">
        <v>21</v>
      </c>
      <c r="R60" s="79">
        <f t="shared" si="13"/>
        <v>0</v>
      </c>
      <c r="S60" s="35">
        <f t="shared" si="14"/>
        <v>0</v>
      </c>
      <c r="T60" s="16">
        <v>865</v>
      </c>
      <c r="U60" s="14">
        <f t="shared" si="15"/>
        <v>0</v>
      </c>
      <c r="V60" s="15">
        <f t="shared" si="16"/>
        <v>0</v>
      </c>
      <c r="W60" s="46"/>
    </row>
    <row r="61" spans="2:23" x14ac:dyDescent="0.25">
      <c r="B61" s="51"/>
      <c r="C61" s="72"/>
      <c r="D61" s="68"/>
      <c r="E61" s="73"/>
      <c r="F61" s="35"/>
      <c r="G61" s="53"/>
      <c r="H61" s="53"/>
      <c r="I61" s="23"/>
      <c r="J61" s="54" t="s">
        <v>85</v>
      </c>
      <c r="K61" s="10" t="s">
        <v>20</v>
      </c>
      <c r="L61" s="11">
        <v>3503</v>
      </c>
      <c r="M61" s="12" t="s">
        <v>22</v>
      </c>
      <c r="N61" s="112">
        <v>0</v>
      </c>
      <c r="O61" s="67" t="s">
        <v>21</v>
      </c>
      <c r="P61" s="78">
        <f t="shared" si="12"/>
        <v>0</v>
      </c>
      <c r="Q61" s="67" t="s">
        <v>21</v>
      </c>
      <c r="R61" s="79">
        <f t="shared" si="13"/>
        <v>0</v>
      </c>
      <c r="S61" s="35">
        <f t="shared" si="14"/>
        <v>0</v>
      </c>
      <c r="T61" s="16">
        <v>865</v>
      </c>
      <c r="U61" s="14">
        <f t="shared" si="15"/>
        <v>0</v>
      </c>
      <c r="V61" s="15">
        <f t="shared" si="16"/>
        <v>0</v>
      </c>
      <c r="W61" s="46"/>
    </row>
    <row r="62" spans="2:23" x14ac:dyDescent="0.25">
      <c r="B62" s="51"/>
      <c r="C62" s="72"/>
      <c r="D62" s="68"/>
      <c r="E62" s="73"/>
      <c r="F62" s="35"/>
      <c r="G62" s="53"/>
      <c r="H62" s="53"/>
      <c r="I62" s="23"/>
      <c r="J62" s="54" t="s">
        <v>86</v>
      </c>
      <c r="K62" s="10" t="s">
        <v>20</v>
      </c>
      <c r="L62" s="11">
        <v>3503</v>
      </c>
      <c r="M62" s="12" t="s">
        <v>22</v>
      </c>
      <c r="N62" s="112">
        <v>0</v>
      </c>
      <c r="O62" s="67" t="s">
        <v>21</v>
      </c>
      <c r="P62" s="78">
        <f t="shared" si="12"/>
        <v>0</v>
      </c>
      <c r="Q62" s="67" t="s">
        <v>21</v>
      </c>
      <c r="R62" s="79">
        <f t="shared" si="13"/>
        <v>0</v>
      </c>
      <c r="S62" s="35">
        <f t="shared" si="14"/>
        <v>0</v>
      </c>
      <c r="T62" s="16">
        <v>865</v>
      </c>
      <c r="U62" s="14">
        <f t="shared" si="15"/>
        <v>0</v>
      </c>
      <c r="V62" s="15">
        <f t="shared" si="16"/>
        <v>0</v>
      </c>
      <c r="W62" s="46"/>
    </row>
    <row r="63" spans="2:23" x14ac:dyDescent="0.25">
      <c r="B63" s="51"/>
      <c r="C63" s="72"/>
      <c r="D63" s="68"/>
      <c r="E63" s="73"/>
      <c r="F63" s="35"/>
      <c r="G63" s="53"/>
      <c r="H63" s="53"/>
      <c r="I63" s="23"/>
      <c r="J63" s="54" t="s">
        <v>87</v>
      </c>
      <c r="K63" s="10" t="s">
        <v>20</v>
      </c>
      <c r="L63" s="11">
        <v>3503</v>
      </c>
      <c r="M63" s="12" t="s">
        <v>22</v>
      </c>
      <c r="N63" s="112">
        <v>0</v>
      </c>
      <c r="O63" s="67" t="s">
        <v>21</v>
      </c>
      <c r="P63" s="78">
        <f t="shared" si="12"/>
        <v>0</v>
      </c>
      <c r="Q63" s="67" t="s">
        <v>21</v>
      </c>
      <c r="R63" s="79">
        <f t="shared" si="13"/>
        <v>0</v>
      </c>
      <c r="S63" s="35">
        <f t="shared" si="14"/>
        <v>0</v>
      </c>
      <c r="T63" s="16">
        <v>865</v>
      </c>
      <c r="U63" s="14">
        <f t="shared" si="15"/>
        <v>0</v>
      </c>
      <c r="V63" s="15">
        <f t="shared" si="16"/>
        <v>0</v>
      </c>
      <c r="W63" s="46"/>
    </row>
    <row r="64" spans="2:23" x14ac:dyDescent="0.25">
      <c r="B64" s="51"/>
      <c r="C64" s="72"/>
      <c r="D64" s="68"/>
      <c r="E64" s="73"/>
      <c r="F64" s="35"/>
      <c r="G64" s="53"/>
      <c r="H64" s="53"/>
      <c r="I64" s="23"/>
      <c r="J64" s="54" t="s">
        <v>88</v>
      </c>
      <c r="K64" s="10" t="s">
        <v>20</v>
      </c>
      <c r="L64" s="11">
        <v>3503</v>
      </c>
      <c r="M64" s="12" t="s">
        <v>22</v>
      </c>
      <c r="N64" s="112">
        <v>0</v>
      </c>
      <c r="O64" s="67" t="s">
        <v>21</v>
      </c>
      <c r="P64" s="78">
        <f t="shared" si="12"/>
        <v>0</v>
      </c>
      <c r="Q64" s="67" t="s">
        <v>21</v>
      </c>
      <c r="R64" s="79">
        <f t="shared" si="13"/>
        <v>0</v>
      </c>
      <c r="S64" s="35">
        <f t="shared" si="14"/>
        <v>0</v>
      </c>
      <c r="T64" s="16">
        <v>865</v>
      </c>
      <c r="U64" s="14">
        <f t="shared" si="15"/>
        <v>0</v>
      </c>
      <c r="V64" s="15">
        <f t="shared" si="16"/>
        <v>0</v>
      </c>
      <c r="W64" s="46"/>
    </row>
    <row r="65" spans="2:23" x14ac:dyDescent="0.25">
      <c r="B65" s="51"/>
      <c r="C65" s="72"/>
      <c r="D65" s="68"/>
      <c r="E65" s="73"/>
      <c r="F65" s="35"/>
      <c r="G65" s="53"/>
      <c r="H65" s="53"/>
      <c r="I65" s="23"/>
      <c r="J65" s="54" t="s">
        <v>89</v>
      </c>
      <c r="K65" s="10" t="s">
        <v>20</v>
      </c>
      <c r="L65" s="11">
        <v>3503</v>
      </c>
      <c r="M65" s="12" t="s">
        <v>22</v>
      </c>
      <c r="N65" s="112">
        <v>0</v>
      </c>
      <c r="O65" s="67" t="s">
        <v>21</v>
      </c>
      <c r="P65" s="78">
        <f t="shared" si="12"/>
        <v>0</v>
      </c>
      <c r="Q65" s="67" t="s">
        <v>21</v>
      </c>
      <c r="R65" s="79">
        <f t="shared" si="13"/>
        <v>0</v>
      </c>
      <c r="S65" s="35">
        <f t="shared" si="14"/>
        <v>0</v>
      </c>
      <c r="T65" s="16">
        <v>865</v>
      </c>
      <c r="U65" s="14">
        <f t="shared" si="15"/>
        <v>0</v>
      </c>
      <c r="V65" s="15">
        <f t="shared" si="16"/>
        <v>0</v>
      </c>
      <c r="W65" s="46"/>
    </row>
    <row r="66" spans="2:23" x14ac:dyDescent="0.25">
      <c r="B66" s="51"/>
      <c r="C66" s="72"/>
      <c r="D66" s="68"/>
      <c r="E66" s="73"/>
      <c r="F66" s="35"/>
      <c r="G66" s="53"/>
      <c r="H66" s="53"/>
      <c r="I66" s="23"/>
      <c r="J66" s="54" t="s">
        <v>90</v>
      </c>
      <c r="K66" s="10" t="s">
        <v>20</v>
      </c>
      <c r="L66" s="11">
        <v>3503</v>
      </c>
      <c r="M66" s="12" t="s">
        <v>22</v>
      </c>
      <c r="N66" s="112">
        <v>0</v>
      </c>
      <c r="O66" s="67" t="s">
        <v>21</v>
      </c>
      <c r="P66" s="78">
        <f t="shared" si="12"/>
        <v>0</v>
      </c>
      <c r="Q66" s="67" t="s">
        <v>21</v>
      </c>
      <c r="R66" s="79">
        <f t="shared" si="13"/>
        <v>0</v>
      </c>
      <c r="S66" s="35">
        <f t="shared" si="14"/>
        <v>0</v>
      </c>
      <c r="T66" s="16">
        <v>865</v>
      </c>
      <c r="U66" s="14">
        <f t="shared" si="15"/>
        <v>0</v>
      </c>
      <c r="V66" s="15">
        <f t="shared" si="16"/>
        <v>0</v>
      </c>
      <c r="W66" s="46"/>
    </row>
    <row r="67" spans="2:23" x14ac:dyDescent="0.25">
      <c r="B67" s="51"/>
      <c r="C67" s="72"/>
      <c r="D67" s="68"/>
      <c r="E67" s="73"/>
      <c r="F67" s="35"/>
      <c r="G67" s="53"/>
      <c r="H67" s="53"/>
      <c r="I67" s="23"/>
      <c r="J67" s="54" t="s">
        <v>91</v>
      </c>
      <c r="K67" s="10" t="s">
        <v>20</v>
      </c>
      <c r="L67" s="11">
        <v>3503</v>
      </c>
      <c r="M67" s="12" t="s">
        <v>22</v>
      </c>
      <c r="N67" s="112">
        <v>0</v>
      </c>
      <c r="O67" s="67" t="s">
        <v>21</v>
      </c>
      <c r="P67" s="78">
        <f t="shared" si="12"/>
        <v>0</v>
      </c>
      <c r="Q67" s="67" t="s">
        <v>21</v>
      </c>
      <c r="R67" s="79">
        <f t="shared" si="13"/>
        <v>0</v>
      </c>
      <c r="S67" s="35">
        <f t="shared" si="14"/>
        <v>0</v>
      </c>
      <c r="T67" s="16">
        <v>865</v>
      </c>
      <c r="U67" s="14">
        <f t="shared" si="15"/>
        <v>0</v>
      </c>
      <c r="V67" s="15">
        <f t="shared" si="16"/>
        <v>0</v>
      </c>
      <c r="W67" s="46"/>
    </row>
    <row r="68" spans="2:23" x14ac:dyDescent="0.25">
      <c r="B68" s="51"/>
      <c r="C68" s="72"/>
      <c r="D68" s="68"/>
      <c r="E68" s="73"/>
      <c r="F68" s="35"/>
      <c r="G68" s="53"/>
      <c r="H68" s="53"/>
      <c r="I68" s="23"/>
      <c r="J68" s="54" t="s">
        <v>92</v>
      </c>
      <c r="K68" s="10" t="s">
        <v>20</v>
      </c>
      <c r="L68" s="11">
        <v>3503</v>
      </c>
      <c r="M68" s="12" t="s">
        <v>22</v>
      </c>
      <c r="N68" s="112">
        <v>0</v>
      </c>
      <c r="O68" s="67" t="s">
        <v>21</v>
      </c>
      <c r="P68" s="78">
        <f t="shared" si="12"/>
        <v>0</v>
      </c>
      <c r="Q68" s="67" t="s">
        <v>21</v>
      </c>
      <c r="R68" s="79">
        <f t="shared" si="13"/>
        <v>0</v>
      </c>
      <c r="S68" s="35">
        <f t="shared" si="14"/>
        <v>0</v>
      </c>
      <c r="T68" s="16">
        <v>865</v>
      </c>
      <c r="U68" s="14">
        <f t="shared" si="15"/>
        <v>0</v>
      </c>
      <c r="V68" s="15">
        <f t="shared" si="16"/>
        <v>0</v>
      </c>
      <c r="W68" s="46"/>
    </row>
    <row r="69" spans="2:23" x14ac:dyDescent="0.25">
      <c r="B69" s="51"/>
      <c r="C69" s="72"/>
      <c r="D69" s="68"/>
      <c r="E69" s="73"/>
      <c r="F69" s="35"/>
      <c r="G69" s="53"/>
      <c r="H69" s="53"/>
      <c r="I69" s="23"/>
      <c r="J69" s="54" t="s">
        <v>93</v>
      </c>
      <c r="K69" s="10" t="s">
        <v>20</v>
      </c>
      <c r="L69" s="11">
        <v>3503</v>
      </c>
      <c r="M69" s="12" t="s">
        <v>22</v>
      </c>
      <c r="N69" s="112">
        <v>0</v>
      </c>
      <c r="O69" s="67" t="s">
        <v>21</v>
      </c>
      <c r="P69" s="78">
        <f t="shared" si="12"/>
        <v>0</v>
      </c>
      <c r="Q69" s="67" t="s">
        <v>21</v>
      </c>
      <c r="R69" s="79">
        <f t="shared" si="13"/>
        <v>0</v>
      </c>
      <c r="S69" s="35">
        <f t="shared" si="14"/>
        <v>0</v>
      </c>
      <c r="T69" s="16">
        <v>865</v>
      </c>
      <c r="U69" s="14">
        <f t="shared" si="15"/>
        <v>0</v>
      </c>
      <c r="V69" s="15">
        <f t="shared" si="16"/>
        <v>0</v>
      </c>
      <c r="W69" s="46"/>
    </row>
    <row r="70" spans="2:23" ht="30" x14ac:dyDescent="0.25">
      <c r="B70" s="51"/>
      <c r="C70" s="72"/>
      <c r="D70" s="68"/>
      <c r="E70" s="73"/>
      <c r="F70" s="35"/>
      <c r="G70" s="53"/>
      <c r="H70" s="53"/>
      <c r="I70" s="23"/>
      <c r="J70" s="54" t="s">
        <v>94</v>
      </c>
      <c r="K70" s="10" t="s">
        <v>20</v>
      </c>
      <c r="L70" s="11">
        <v>3503</v>
      </c>
      <c r="M70" s="12" t="s">
        <v>22</v>
      </c>
      <c r="N70" s="112">
        <v>0</v>
      </c>
      <c r="O70" s="67" t="s">
        <v>21</v>
      </c>
      <c r="P70" s="78">
        <f t="shared" si="12"/>
        <v>0</v>
      </c>
      <c r="Q70" s="67" t="s">
        <v>21</v>
      </c>
      <c r="R70" s="79">
        <f t="shared" si="13"/>
        <v>0</v>
      </c>
      <c r="S70" s="35">
        <f t="shared" si="14"/>
        <v>0</v>
      </c>
      <c r="T70" s="16">
        <v>865</v>
      </c>
      <c r="U70" s="14">
        <f t="shared" si="15"/>
        <v>0</v>
      </c>
      <c r="V70" s="15">
        <f t="shared" si="16"/>
        <v>0</v>
      </c>
      <c r="W70" s="46"/>
    </row>
    <row r="71" spans="2:23" x14ac:dyDescent="0.25">
      <c r="B71" s="51"/>
      <c r="C71" s="72"/>
      <c r="D71" s="68"/>
      <c r="E71" s="73"/>
      <c r="F71" s="35"/>
      <c r="G71" s="53"/>
      <c r="H71" s="53"/>
      <c r="I71" s="23"/>
      <c r="J71" s="54" t="s">
        <v>95</v>
      </c>
      <c r="K71" s="10" t="s">
        <v>20</v>
      </c>
      <c r="L71" s="11">
        <v>3503</v>
      </c>
      <c r="M71" s="12" t="s">
        <v>22</v>
      </c>
      <c r="N71" s="112">
        <v>0</v>
      </c>
      <c r="O71" s="67" t="s">
        <v>21</v>
      </c>
      <c r="P71" s="78">
        <f t="shared" si="12"/>
        <v>0</v>
      </c>
      <c r="Q71" s="67" t="s">
        <v>21</v>
      </c>
      <c r="R71" s="79">
        <f t="shared" si="13"/>
        <v>0</v>
      </c>
      <c r="S71" s="35">
        <f t="shared" si="14"/>
        <v>0</v>
      </c>
      <c r="T71" s="16">
        <v>865</v>
      </c>
      <c r="U71" s="14">
        <f t="shared" si="15"/>
        <v>0</v>
      </c>
      <c r="V71" s="15">
        <f t="shared" si="16"/>
        <v>0</v>
      </c>
      <c r="W71" s="46"/>
    </row>
    <row r="72" spans="2:23" x14ac:dyDescent="0.25">
      <c r="B72" s="51"/>
      <c r="C72" s="72"/>
      <c r="D72" s="68"/>
      <c r="E72" s="73"/>
      <c r="F72" s="35"/>
      <c r="G72" s="53"/>
      <c r="H72" s="53"/>
      <c r="I72" s="23"/>
      <c r="J72" s="57" t="s">
        <v>107</v>
      </c>
      <c r="K72" s="10" t="s">
        <v>20</v>
      </c>
      <c r="L72" s="11">
        <v>3503</v>
      </c>
      <c r="M72" s="12" t="s">
        <v>22</v>
      </c>
      <c r="N72" s="112">
        <v>0</v>
      </c>
      <c r="O72" s="67" t="s">
        <v>21</v>
      </c>
      <c r="P72" s="78">
        <f t="shared" si="12"/>
        <v>0</v>
      </c>
      <c r="Q72" s="67" t="s">
        <v>21</v>
      </c>
      <c r="R72" s="79">
        <f t="shared" si="13"/>
        <v>0</v>
      </c>
      <c r="S72" s="35">
        <f t="shared" si="14"/>
        <v>0</v>
      </c>
      <c r="T72" s="16">
        <v>865</v>
      </c>
      <c r="U72" s="14">
        <f t="shared" si="15"/>
        <v>0</v>
      </c>
      <c r="V72" s="15">
        <f t="shared" si="16"/>
        <v>0</v>
      </c>
      <c r="W72" s="46"/>
    </row>
    <row r="73" spans="2:23" x14ac:dyDescent="0.25">
      <c r="B73" s="51"/>
      <c r="C73" s="72"/>
      <c r="D73" s="68"/>
      <c r="E73" s="73"/>
      <c r="F73" s="35"/>
      <c r="G73" s="53"/>
      <c r="H73" s="53"/>
      <c r="I73" s="23"/>
      <c r="J73" s="57" t="s">
        <v>108</v>
      </c>
      <c r="K73" s="10" t="s">
        <v>20</v>
      </c>
      <c r="L73" s="11">
        <v>3503</v>
      </c>
      <c r="M73" s="12" t="s">
        <v>22</v>
      </c>
      <c r="N73" s="112">
        <v>0</v>
      </c>
      <c r="O73" s="67" t="s">
        <v>21</v>
      </c>
      <c r="P73" s="78">
        <f t="shared" si="12"/>
        <v>0</v>
      </c>
      <c r="Q73" s="67" t="s">
        <v>21</v>
      </c>
      <c r="R73" s="79">
        <f t="shared" si="13"/>
        <v>0</v>
      </c>
      <c r="S73" s="35">
        <f t="shared" si="14"/>
        <v>0</v>
      </c>
      <c r="T73" s="16">
        <v>865</v>
      </c>
      <c r="U73" s="14">
        <f t="shared" si="15"/>
        <v>0</v>
      </c>
      <c r="V73" s="15">
        <f t="shared" si="16"/>
        <v>0</v>
      </c>
      <c r="W73" s="46"/>
    </row>
    <row r="74" spans="2:23" x14ac:dyDescent="0.25">
      <c r="B74" s="51"/>
      <c r="C74" s="72"/>
      <c r="D74" s="68"/>
      <c r="E74" s="73"/>
      <c r="F74" s="35"/>
      <c r="G74" s="53"/>
      <c r="H74" s="53"/>
      <c r="I74" s="23"/>
      <c r="J74" s="57" t="s">
        <v>109</v>
      </c>
      <c r="K74" s="10" t="s">
        <v>20</v>
      </c>
      <c r="L74" s="11">
        <v>3503</v>
      </c>
      <c r="M74" s="12" t="s">
        <v>22</v>
      </c>
      <c r="N74" s="112">
        <v>0</v>
      </c>
      <c r="O74" s="67" t="s">
        <v>21</v>
      </c>
      <c r="P74" s="78">
        <f t="shared" si="12"/>
        <v>0</v>
      </c>
      <c r="Q74" s="67" t="s">
        <v>21</v>
      </c>
      <c r="R74" s="79">
        <f t="shared" si="13"/>
        <v>0</v>
      </c>
      <c r="S74" s="35">
        <f t="shared" si="14"/>
        <v>0</v>
      </c>
      <c r="T74" s="16">
        <v>865</v>
      </c>
      <c r="U74" s="14">
        <f t="shared" si="15"/>
        <v>0</v>
      </c>
      <c r="V74" s="15">
        <f t="shared" si="16"/>
        <v>0</v>
      </c>
      <c r="W74" s="46"/>
    </row>
    <row r="75" spans="2:23" x14ac:dyDescent="0.25">
      <c r="B75" s="51"/>
      <c r="C75" s="72"/>
      <c r="D75" s="68"/>
      <c r="E75" s="73"/>
      <c r="F75" s="35"/>
      <c r="G75" s="53"/>
      <c r="H75" s="53"/>
      <c r="I75" s="23"/>
      <c r="J75" s="57"/>
      <c r="K75" s="10"/>
      <c r="L75" s="11"/>
      <c r="M75" s="10"/>
      <c r="N75" s="112"/>
      <c r="O75" s="67"/>
      <c r="P75" s="78"/>
      <c r="Q75" s="67"/>
      <c r="R75" s="79"/>
      <c r="S75" s="35"/>
      <c r="T75" s="16"/>
      <c r="U75" s="14"/>
      <c r="V75" s="15"/>
      <c r="W75" s="46"/>
    </row>
    <row r="76" spans="2:23" x14ac:dyDescent="0.25">
      <c r="B76" s="51"/>
      <c r="C76" s="72"/>
      <c r="D76" s="68"/>
      <c r="E76" s="73"/>
      <c r="F76" s="35"/>
      <c r="G76" s="53"/>
      <c r="H76" s="53"/>
      <c r="I76" s="23"/>
      <c r="J76" s="75" t="s">
        <v>105</v>
      </c>
      <c r="K76" s="37" t="s">
        <v>20</v>
      </c>
      <c r="L76" s="38">
        <v>3503</v>
      </c>
      <c r="M76" s="10" t="s">
        <v>22</v>
      </c>
      <c r="N76" s="112">
        <v>0</v>
      </c>
      <c r="O76" s="67" t="s">
        <v>21</v>
      </c>
      <c r="P76" s="78">
        <f t="shared" si="12"/>
        <v>0</v>
      </c>
      <c r="Q76" s="67" t="s">
        <v>21</v>
      </c>
      <c r="R76" s="79">
        <f t="shared" si="13"/>
        <v>0</v>
      </c>
      <c r="S76" s="35">
        <f t="shared" si="14"/>
        <v>0</v>
      </c>
      <c r="T76" s="16">
        <v>865</v>
      </c>
      <c r="U76" s="14">
        <f t="shared" si="15"/>
        <v>0</v>
      </c>
      <c r="V76" s="15">
        <f t="shared" si="16"/>
        <v>0</v>
      </c>
      <c r="W76" s="46"/>
    </row>
    <row r="77" spans="2:23" x14ac:dyDescent="0.25">
      <c r="B77" s="51"/>
      <c r="C77" s="72"/>
      <c r="D77" s="68"/>
      <c r="E77" s="73"/>
      <c r="F77" s="35"/>
      <c r="G77" s="53"/>
      <c r="H77" s="53"/>
      <c r="I77" s="111"/>
      <c r="J77" s="54"/>
      <c r="K77" s="10"/>
      <c r="L77" s="11"/>
      <c r="M77" s="10"/>
      <c r="N77" s="101"/>
      <c r="O77" s="70"/>
      <c r="P77" s="173"/>
      <c r="Q77" s="70"/>
      <c r="R77" s="174"/>
      <c r="S77" s="35"/>
      <c r="T77" s="16"/>
      <c r="U77" s="14"/>
      <c r="V77" s="15"/>
      <c r="W77" s="46"/>
    </row>
    <row r="79" spans="2:23" hidden="1" x14ac:dyDescent="0.25">
      <c r="B79" s="58"/>
      <c r="C79" s="59"/>
      <c r="D79" s="63"/>
      <c r="E79" s="76"/>
      <c r="F79" s="49"/>
      <c r="G79" s="53"/>
      <c r="H79" s="53"/>
      <c r="I79" s="61"/>
      <c r="J79" s="57"/>
      <c r="K79" s="10"/>
      <c r="L79" s="11"/>
      <c r="M79" s="10"/>
      <c r="N79" s="77"/>
      <c r="O79" s="84"/>
      <c r="P79" s="85"/>
      <c r="Q79" s="86"/>
      <c r="R79" s="87"/>
      <c r="S79" s="13"/>
      <c r="T79" s="16"/>
      <c r="U79" s="14">
        <f t="shared" ref="U79" si="17">SUM(S79*T79)</f>
        <v>0</v>
      </c>
      <c r="V79" s="15">
        <f t="shared" ref="V79" si="18">SUM(I79*U79)</f>
        <v>0</v>
      </c>
    </row>
    <row r="80" spans="2:23" hidden="1" x14ac:dyDescent="0.25">
      <c r="D80" s="63"/>
      <c r="E80" s="68"/>
      <c r="F80" s="68"/>
      <c r="G80" s="53"/>
      <c r="H80" s="53"/>
      <c r="I80" s="61"/>
      <c r="J80" s="57"/>
      <c r="K80" s="10"/>
      <c r="L80" s="11"/>
      <c r="M80" s="10"/>
      <c r="N80" s="77"/>
      <c r="O80" s="58"/>
      <c r="P80" s="59"/>
      <c r="Q80" s="63"/>
      <c r="R80" s="59"/>
      <c r="S80" s="13"/>
      <c r="T80" s="16"/>
      <c r="U80" s="16"/>
      <c r="V80" s="17"/>
    </row>
    <row r="81" spans="9:22" ht="5.0999999999999996" customHeight="1" x14ac:dyDescent="0.25">
      <c r="S81" s="49"/>
      <c r="U81" s="49"/>
    </row>
    <row r="82" spans="9:22" ht="18" customHeight="1" x14ac:dyDescent="0.25">
      <c r="P82" s="126" t="s">
        <v>36</v>
      </c>
      <c r="Q82" s="126"/>
      <c r="R82" s="126"/>
      <c r="S82" s="19">
        <f>SUM(F19:F77)</f>
        <v>0</v>
      </c>
      <c r="U82" s="19"/>
      <c r="V82" s="18">
        <f>SUM(V19:V80)</f>
        <v>0</v>
      </c>
    </row>
    <row r="83" spans="9:22" ht="14.45" customHeight="1" x14ac:dyDescent="0.25">
      <c r="I83" s="120" t="s">
        <v>23</v>
      </c>
      <c r="J83" s="120"/>
      <c r="K83" s="120"/>
      <c r="L83" s="120"/>
      <c r="M83" s="1" t="s">
        <v>24</v>
      </c>
      <c r="N83" s="119" t="s">
        <v>28</v>
      </c>
      <c r="O83" s="119"/>
      <c r="P83" s="119"/>
      <c r="Q83" s="119"/>
      <c r="R83" s="119"/>
      <c r="S83" s="119"/>
      <c r="T83" s="119"/>
      <c r="U83" s="119"/>
      <c r="V83" s="119"/>
    </row>
    <row r="84" spans="9:22" ht="14.45" customHeight="1" x14ac:dyDescent="0.25">
      <c r="I84" s="116" t="s">
        <v>52</v>
      </c>
      <c r="J84" s="117"/>
      <c r="K84" s="117"/>
      <c r="L84" s="118"/>
      <c r="N84" s="119" t="s">
        <v>29</v>
      </c>
      <c r="O84" s="119"/>
      <c r="P84" s="119"/>
      <c r="Q84" s="119"/>
      <c r="R84" s="119"/>
      <c r="S84" s="119"/>
      <c r="T84" s="119"/>
      <c r="U84" s="119"/>
      <c r="V84" s="119"/>
    </row>
    <row r="85" spans="9:22" x14ac:dyDescent="0.25">
      <c r="I85" s="120" t="s">
        <v>47</v>
      </c>
      <c r="J85" s="120"/>
      <c r="K85" s="120"/>
      <c r="L85" s="120"/>
      <c r="N85" s="119"/>
      <c r="O85" s="119"/>
      <c r="P85" s="119"/>
      <c r="Q85" s="119"/>
      <c r="R85" s="119"/>
      <c r="S85" s="119"/>
      <c r="T85" s="119"/>
      <c r="U85" s="119"/>
      <c r="V85" s="119"/>
    </row>
    <row r="86" spans="9:22" x14ac:dyDescent="0.25">
      <c r="I86" s="121" t="s">
        <v>25</v>
      </c>
      <c r="J86" s="121"/>
      <c r="K86" s="121"/>
      <c r="L86" s="121"/>
      <c r="N86" s="119"/>
      <c r="O86" s="119"/>
      <c r="P86" s="119"/>
      <c r="Q86" s="119"/>
      <c r="R86" s="119"/>
      <c r="S86" s="119"/>
      <c r="T86" s="119"/>
      <c r="U86" s="119"/>
      <c r="V86" s="119"/>
    </row>
  </sheetData>
  <sheetProtection algorithmName="SHA-512" hashValue="K2j1kHPRuJlKGPFJK1ok74seln8wG3FoNXpHF62gbhM5KIxAoWb/u0h9vLWp1XlxpaQKxNEGZC0dCU+YuMzDxg==" saltValue="aOYR8S29n4eZJCP2P4KFkQ==" spinCount="100000" sheet="1" objects="1" scenarios="1"/>
  <sortState xmlns:xlrd2="http://schemas.microsoft.com/office/spreadsheetml/2017/richdata2" ref="J19:R37">
    <sortCondition ref="J19:J37"/>
  </sortState>
  <mergeCells count="50">
    <mergeCell ref="L12:Q12"/>
    <mergeCell ref="U12:V12"/>
    <mergeCell ref="U7:V7"/>
    <mergeCell ref="U8:V8"/>
    <mergeCell ref="S9:T9"/>
    <mergeCell ref="S10:T10"/>
    <mergeCell ref="S11:T11"/>
    <mergeCell ref="M2:S2"/>
    <mergeCell ref="L3:S3"/>
    <mergeCell ref="I86:L86"/>
    <mergeCell ref="I85:L85"/>
    <mergeCell ref="L10:Q10"/>
    <mergeCell ref="N86:V86"/>
    <mergeCell ref="N85:V85"/>
    <mergeCell ref="N17:R17"/>
    <mergeCell ref="L13:Q13"/>
    <mergeCell ref="I13:K13"/>
    <mergeCell ref="I12:K12"/>
    <mergeCell ref="U9:V9"/>
    <mergeCell ref="I84:L84"/>
    <mergeCell ref="I83:L83"/>
    <mergeCell ref="U10:V10"/>
    <mergeCell ref="U11:V11"/>
    <mergeCell ref="N83:V83"/>
    <mergeCell ref="N84:V84"/>
    <mergeCell ref="U13:V13"/>
    <mergeCell ref="U17:U18"/>
    <mergeCell ref="T17:T18"/>
    <mergeCell ref="P82:R82"/>
    <mergeCell ref="V17:V18"/>
    <mergeCell ref="S13:T13"/>
    <mergeCell ref="M15:P15"/>
    <mergeCell ref="I17:I18"/>
    <mergeCell ref="J17:J18"/>
    <mergeCell ref="K17:L18"/>
    <mergeCell ref="M17:M18"/>
    <mergeCell ref="S17:S18"/>
    <mergeCell ref="K4:S4"/>
    <mergeCell ref="K5:S5"/>
    <mergeCell ref="I11:K11"/>
    <mergeCell ref="I10:K10"/>
    <mergeCell ref="I8:K8"/>
    <mergeCell ref="I6:K6"/>
    <mergeCell ref="L7:Q7"/>
    <mergeCell ref="L6:V6"/>
    <mergeCell ref="I9:K9"/>
    <mergeCell ref="L8:Q8"/>
    <mergeCell ref="L9:Q9"/>
    <mergeCell ref="I7:J7"/>
    <mergeCell ref="L11:Q11"/>
  </mergeCells>
  <dataValidations count="2">
    <dataValidation type="list" allowBlank="1" showInputMessage="1" showErrorMessage="1" sqref="K79:K80 K19:K77" xr:uid="{75CD9102-F4DB-414E-A850-FDCA4E176C47}">
      <formula1>"NRM,NR,NRF,NRD,LNC,NRAE,DS"</formula1>
    </dataValidation>
    <dataValidation allowBlank="1" showErrorMessage="1" sqref="J43:J72 J74:J75" xr:uid="{2CE198BB-4A40-432C-8A73-6F5968DC55DE}"/>
  </dataValidations>
  <pageMargins left="0.23622047244094491" right="0.23622047244094491" top="0" bottom="0" header="0.31496062992125984" footer="0.31496062992125984"/>
  <pageSetup paperSize="9" orientation="landscape" r:id="rId1"/>
  <ignoredErrors>
    <ignoredError sqref="P24 P26:P27 P29:P31 R24 R26:R27 R29:R31 R37:R40 P37:P38 P40 P76 R76 R74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423A-1AC8-499D-B07C-7D421174935C}">
  <dimension ref="B2:Y27"/>
  <sheetViews>
    <sheetView showGridLines="0" topLeftCell="A7" zoomScaleNormal="100" workbookViewId="0">
      <selection activeCell="J20" sqref="J20:L20"/>
    </sheetView>
  </sheetViews>
  <sheetFormatPr defaultColWidth="8.7109375" defaultRowHeight="15" x14ac:dyDescent="0.25"/>
  <cols>
    <col min="1" max="1" width="4.28515625" style="1" customWidth="1"/>
    <col min="2" max="7" width="8.7109375" style="1" hidden="1" customWidth="1"/>
    <col min="8" max="8" width="1.42578125" style="1" hidden="1" customWidth="1"/>
    <col min="9" max="9" width="8.7109375" style="43"/>
    <col min="10" max="10" width="22.42578125" style="44" customWidth="1"/>
    <col min="11" max="11" width="5" style="1" customWidth="1"/>
    <col min="12" max="12" width="5.85546875" style="1" customWidth="1"/>
    <col min="13" max="13" width="11.28515625" style="1" customWidth="1"/>
    <col min="14" max="14" width="7.85546875" style="1" customWidth="1"/>
    <col min="15" max="15" width="1.42578125" style="1" customWidth="1"/>
    <col min="16" max="16" width="7.85546875" style="49" customWidth="1"/>
    <col min="17" max="17" width="1.42578125" style="1" customWidth="1"/>
    <col min="18" max="18" width="7.85546875" style="49" customWidth="1"/>
    <col min="19" max="19" width="9.140625" style="1" customWidth="1"/>
    <col min="20" max="20" width="11.28515625" style="1" customWidth="1"/>
    <col min="21" max="21" width="12.140625" style="1" customWidth="1"/>
    <col min="22" max="22" width="17.5703125" style="1" customWidth="1"/>
    <col min="23" max="23" width="14.7109375" style="1" customWidth="1"/>
    <col min="24" max="16384" width="8.7109375" style="1"/>
  </cols>
  <sheetData>
    <row r="2" spans="9:25" x14ac:dyDescent="0.25">
      <c r="M2" s="156"/>
      <c r="N2" s="156"/>
      <c r="O2" s="156"/>
      <c r="P2" s="156"/>
      <c r="Q2" s="156"/>
      <c r="R2" s="156"/>
      <c r="S2" s="156"/>
    </row>
    <row r="3" spans="9:25" s="28" customFormat="1" x14ac:dyDescent="0.25">
      <c r="I3" s="43"/>
      <c r="J3" s="44"/>
      <c r="K3" s="1"/>
      <c r="L3" s="156" t="s">
        <v>0</v>
      </c>
      <c r="M3" s="156"/>
      <c r="N3" s="156"/>
      <c r="O3" s="156"/>
      <c r="P3" s="156"/>
      <c r="Q3" s="156"/>
      <c r="R3" s="156"/>
      <c r="S3" s="156"/>
      <c r="V3" s="1"/>
      <c r="W3" s="1"/>
      <c r="X3" s="1"/>
      <c r="Y3" s="1"/>
    </row>
    <row r="4" spans="9:25" s="28" customFormat="1" x14ac:dyDescent="0.25">
      <c r="I4" s="43"/>
      <c r="J4" s="44"/>
      <c r="K4" s="156" t="s">
        <v>1</v>
      </c>
      <c r="L4" s="156"/>
      <c r="M4" s="156"/>
      <c r="N4" s="156"/>
      <c r="O4" s="156"/>
      <c r="P4" s="156"/>
      <c r="Q4" s="156"/>
      <c r="R4" s="156"/>
      <c r="S4" s="156"/>
      <c r="V4" s="1"/>
    </row>
    <row r="5" spans="9:25" s="28" customFormat="1" x14ac:dyDescent="0.25">
      <c r="I5" s="43"/>
      <c r="J5" s="44"/>
      <c r="K5" s="120" t="s">
        <v>26</v>
      </c>
      <c r="L5" s="120"/>
      <c r="M5" s="120"/>
      <c r="N5" s="120"/>
      <c r="O5" s="120"/>
      <c r="P5" s="120"/>
      <c r="Q5" s="120"/>
      <c r="R5" s="120"/>
      <c r="S5" s="120"/>
      <c r="V5" s="1"/>
      <c r="W5" s="1"/>
    </row>
    <row r="6" spans="9:25" x14ac:dyDescent="0.25">
      <c r="I6" s="136" t="s">
        <v>2</v>
      </c>
      <c r="J6" s="137"/>
      <c r="K6" s="137"/>
      <c r="L6" s="144" t="s">
        <v>49</v>
      </c>
      <c r="M6" s="144"/>
      <c r="N6" s="144"/>
      <c r="O6" s="144"/>
      <c r="P6" s="144"/>
      <c r="Q6" s="144"/>
      <c r="R6" s="144"/>
      <c r="S6" s="144"/>
      <c r="T6" s="144"/>
      <c r="U6" s="144"/>
      <c r="V6" s="150"/>
    </row>
    <row r="7" spans="9:25" x14ac:dyDescent="0.25">
      <c r="I7" s="151" t="s">
        <v>3</v>
      </c>
      <c r="J7" s="152"/>
      <c r="K7" s="2"/>
      <c r="L7" s="153" t="s">
        <v>48</v>
      </c>
      <c r="M7" s="153"/>
      <c r="N7" s="153"/>
      <c r="O7" s="153"/>
      <c r="P7" s="153"/>
      <c r="Q7" s="153"/>
      <c r="R7" s="90"/>
      <c r="S7" s="89"/>
      <c r="T7" s="91"/>
      <c r="U7" s="154"/>
      <c r="V7" s="155"/>
    </row>
    <row r="8" spans="9:25" x14ac:dyDescent="0.25">
      <c r="I8" s="136" t="s">
        <v>59</v>
      </c>
      <c r="J8" s="137"/>
      <c r="K8" s="137"/>
      <c r="L8" s="144"/>
      <c r="M8" s="144"/>
      <c r="N8" s="144"/>
      <c r="O8" s="144"/>
      <c r="P8" s="144"/>
      <c r="Q8" s="144"/>
      <c r="R8" s="92"/>
      <c r="S8" s="88"/>
      <c r="T8" s="93"/>
      <c r="U8" s="144"/>
      <c r="V8" s="150"/>
      <c r="W8" s="46"/>
    </row>
    <row r="9" spans="9:25" x14ac:dyDescent="0.25">
      <c r="I9" s="136" t="s">
        <v>60</v>
      </c>
      <c r="J9" s="137"/>
      <c r="K9" s="137"/>
      <c r="L9" s="144"/>
      <c r="M9" s="144"/>
      <c r="N9" s="144"/>
      <c r="O9" s="144"/>
      <c r="P9" s="144"/>
      <c r="Q9" s="144"/>
      <c r="R9" s="92"/>
      <c r="S9" s="88"/>
      <c r="T9" s="94"/>
      <c r="U9" s="148"/>
      <c r="V9" s="149"/>
    </row>
    <row r="10" spans="9:25" x14ac:dyDescent="0.25">
      <c r="I10" s="136" t="s">
        <v>64</v>
      </c>
      <c r="J10" s="137"/>
      <c r="K10" s="137"/>
      <c r="L10" s="144"/>
      <c r="M10" s="144"/>
      <c r="N10" s="144"/>
      <c r="O10" s="144"/>
      <c r="P10" s="144"/>
      <c r="Q10" s="144"/>
      <c r="R10" s="92"/>
      <c r="S10" s="88"/>
      <c r="T10" s="93"/>
      <c r="U10" s="144"/>
      <c r="V10" s="150"/>
    </row>
    <row r="11" spans="9:25" x14ac:dyDescent="0.25">
      <c r="I11" s="136" t="s">
        <v>8</v>
      </c>
      <c r="J11" s="137"/>
      <c r="K11" s="137"/>
      <c r="L11" s="138"/>
      <c r="M11" s="138"/>
      <c r="N11" s="95"/>
      <c r="O11" s="95"/>
      <c r="P11" s="138"/>
      <c r="Q11" s="138"/>
      <c r="R11" s="92"/>
      <c r="S11" s="88"/>
      <c r="T11" s="96"/>
      <c r="U11" s="139"/>
      <c r="V11" s="140"/>
    </row>
    <row r="12" spans="9:25" x14ac:dyDescent="0.25">
      <c r="I12" s="136" t="s">
        <v>10</v>
      </c>
      <c r="J12" s="137"/>
      <c r="K12" s="137"/>
      <c r="L12" s="141"/>
      <c r="M12" s="141"/>
      <c r="N12" s="141"/>
      <c r="O12" s="141"/>
      <c r="P12" s="141"/>
      <c r="Q12" s="141"/>
      <c r="R12" s="45"/>
      <c r="S12" s="2" t="s">
        <v>11</v>
      </c>
      <c r="T12" s="105"/>
      <c r="U12" s="142"/>
      <c r="V12" s="143"/>
    </row>
    <row r="13" spans="9:25" x14ac:dyDescent="0.25">
      <c r="I13" s="41" t="s">
        <v>96</v>
      </c>
      <c r="J13" s="42"/>
      <c r="K13" s="42"/>
      <c r="L13" s="107"/>
      <c r="M13" s="107"/>
      <c r="N13" s="107"/>
      <c r="O13" s="107"/>
      <c r="P13" s="107"/>
      <c r="Q13" s="107"/>
      <c r="R13" s="92"/>
      <c r="S13" s="144"/>
      <c r="T13" s="144"/>
      <c r="U13" s="145"/>
      <c r="V13" s="146"/>
    </row>
    <row r="14" spans="9:25" s="28" customFormat="1" x14ac:dyDescent="0.25">
      <c r="I14" s="47"/>
      <c r="J14" s="48"/>
      <c r="M14" s="147"/>
      <c r="N14" s="147"/>
      <c r="O14" s="147"/>
      <c r="P14" s="147"/>
      <c r="Q14" s="147"/>
      <c r="R14" s="49"/>
      <c r="S14" s="1"/>
      <c r="U14" s="1"/>
      <c r="V14" s="50"/>
      <c r="W14" s="50"/>
    </row>
    <row r="15" spans="9:25" s="28" customFormat="1" x14ac:dyDescent="0.25">
      <c r="I15" s="5" t="s">
        <v>13</v>
      </c>
      <c r="J15" s="97"/>
      <c r="K15" s="34"/>
      <c r="L15" s="134" t="s">
        <v>97</v>
      </c>
      <c r="M15" s="134"/>
      <c r="N15" s="134"/>
      <c r="O15" s="134"/>
      <c r="P15" s="134"/>
      <c r="Q15" s="134"/>
      <c r="R15" s="134"/>
      <c r="S15" s="135"/>
      <c r="T15" s="135"/>
      <c r="U15" s="135"/>
      <c r="V15" s="135"/>
      <c r="W15" s="50"/>
    </row>
    <row r="17" spans="2:22" ht="17.25" customHeight="1" x14ac:dyDescent="0.25">
      <c r="I17" s="127" t="s">
        <v>14</v>
      </c>
      <c r="J17" s="124" t="s">
        <v>27</v>
      </c>
      <c r="K17" s="129" t="s">
        <v>15</v>
      </c>
      <c r="L17" s="130"/>
      <c r="M17" s="129" t="s">
        <v>16</v>
      </c>
      <c r="N17" s="32"/>
      <c r="O17" s="32"/>
      <c r="P17" s="133"/>
      <c r="Q17" s="133"/>
      <c r="R17" s="133"/>
      <c r="S17" s="124" t="s">
        <v>17</v>
      </c>
      <c r="T17" s="122" t="s">
        <v>18</v>
      </c>
      <c r="U17" s="122" t="s">
        <v>30</v>
      </c>
      <c r="V17" s="124" t="s">
        <v>19</v>
      </c>
    </row>
    <row r="18" spans="2:22" ht="16.5" customHeight="1" x14ac:dyDescent="0.25">
      <c r="I18" s="128"/>
      <c r="J18" s="125"/>
      <c r="K18" s="131"/>
      <c r="L18" s="132"/>
      <c r="M18" s="131"/>
      <c r="N18" s="29" t="s">
        <v>98</v>
      </c>
      <c r="O18" s="29"/>
      <c r="P18" s="29" t="s">
        <v>99</v>
      </c>
      <c r="Q18" s="7"/>
      <c r="R18" s="29" t="s">
        <v>100</v>
      </c>
      <c r="S18" s="125"/>
      <c r="T18" s="123"/>
      <c r="U18" s="123"/>
      <c r="V18" s="125"/>
    </row>
    <row r="19" spans="2:22" ht="15" hidden="1" customHeight="1" x14ac:dyDescent="0.25">
      <c r="D19" s="51">
        <f>SUM(0.02+N19)</f>
        <v>0.38</v>
      </c>
      <c r="E19" s="52">
        <f t="shared" ref="E19" si="0">SUM(P19:P19)</f>
        <v>0.2</v>
      </c>
      <c r="F19" s="68">
        <v>0</v>
      </c>
      <c r="G19" s="56">
        <f t="shared" ref="G19" si="1">SUM(R19:R19)</f>
        <v>0.15</v>
      </c>
      <c r="H19" s="53">
        <f>SUM(N19*E19*G19)</f>
        <v>1.0799999999999999E-2</v>
      </c>
      <c r="I19" s="22"/>
      <c r="J19" s="54" t="s">
        <v>101</v>
      </c>
      <c r="K19" s="10" t="s">
        <v>20</v>
      </c>
      <c r="L19" s="11">
        <v>3503</v>
      </c>
      <c r="M19" s="12" t="s">
        <v>22</v>
      </c>
      <c r="N19" s="30">
        <v>0.36</v>
      </c>
      <c r="O19" s="31" t="s">
        <v>21</v>
      </c>
      <c r="P19" s="20">
        <v>0.2</v>
      </c>
      <c r="Q19" s="21">
        <v>0.15</v>
      </c>
      <c r="R19" s="65">
        <v>0.15</v>
      </c>
      <c r="S19" s="13">
        <f>SUM(D19*E19*G19)</f>
        <v>1.1400000000000002E-2</v>
      </c>
      <c r="T19" s="16">
        <v>865</v>
      </c>
      <c r="U19" s="14">
        <f>SUM(S19*T19)</f>
        <v>9.8610000000000024</v>
      </c>
      <c r="V19" s="15">
        <f>SUM(I19*U19)</f>
        <v>0</v>
      </c>
    </row>
    <row r="20" spans="2:22" ht="15" customHeight="1" x14ac:dyDescent="0.25">
      <c r="D20" s="51">
        <v>0.02</v>
      </c>
      <c r="E20" s="52">
        <f t="shared" ref="E20" si="2">SUM(P20:P20)</f>
        <v>0.31</v>
      </c>
      <c r="F20" s="68">
        <v>0</v>
      </c>
      <c r="G20" s="56">
        <f t="shared" ref="G20" si="3">SUM(R20:R20)</f>
        <v>0.05</v>
      </c>
      <c r="H20" s="53">
        <f>SUM(N20*E20*G20)</f>
        <v>7.9050000000000006E-3</v>
      </c>
      <c r="I20" s="83"/>
      <c r="J20" s="75" t="s">
        <v>105</v>
      </c>
      <c r="K20" s="37" t="s">
        <v>20</v>
      </c>
      <c r="L20" s="38">
        <v>3503</v>
      </c>
      <c r="M20" s="39" t="s">
        <v>22</v>
      </c>
      <c r="N20" s="98">
        <v>0.51</v>
      </c>
      <c r="O20" s="38" t="s">
        <v>21</v>
      </c>
      <c r="P20" s="99">
        <v>0.31</v>
      </c>
      <c r="Q20" s="100">
        <v>0.15</v>
      </c>
      <c r="R20" s="60">
        <v>0.05</v>
      </c>
      <c r="S20" s="40">
        <f>SUM(D20*E20*G20)</f>
        <v>3.1E-4</v>
      </c>
      <c r="T20" s="81">
        <v>865</v>
      </c>
      <c r="U20" s="14">
        <f>SUM(S20*T20)</f>
        <v>0.26815</v>
      </c>
      <c r="V20" s="15">
        <f>SUM(I20*U20)</f>
        <v>0</v>
      </c>
    </row>
    <row r="21" spans="2:22" x14ac:dyDescent="0.25">
      <c r="B21" s="77"/>
      <c r="C21" s="58"/>
      <c r="D21" s="58"/>
      <c r="E21" s="59"/>
      <c r="F21" s="63"/>
      <c r="G21" s="82"/>
      <c r="H21" s="53"/>
      <c r="I21" s="24"/>
      <c r="J21" s="57"/>
      <c r="K21" s="10"/>
      <c r="L21" s="11"/>
      <c r="M21" s="33"/>
      <c r="N21" s="77"/>
      <c r="O21" s="58"/>
      <c r="P21" s="59"/>
      <c r="Q21" s="63"/>
      <c r="R21" s="55"/>
      <c r="S21" s="16"/>
      <c r="T21" s="17"/>
      <c r="U21" s="17"/>
      <c r="V21" s="12"/>
    </row>
    <row r="22" spans="2:22" ht="5.0999999999999996" customHeight="1" x14ac:dyDescent="0.25">
      <c r="S22" s="49"/>
      <c r="U22" s="49"/>
    </row>
    <row r="23" spans="2:22" ht="18" customHeight="1" x14ac:dyDescent="0.25">
      <c r="P23" s="126" t="s">
        <v>36</v>
      </c>
      <c r="Q23" s="126"/>
      <c r="R23" s="126"/>
      <c r="S23" s="19">
        <f>SUM(S19:S21)</f>
        <v>1.1710000000000002E-2</v>
      </c>
      <c r="U23" s="19"/>
      <c r="V23" s="18">
        <f>SUM(V19:V22)</f>
        <v>0</v>
      </c>
    </row>
    <row r="24" spans="2:22" ht="14.45" customHeight="1" x14ac:dyDescent="0.25">
      <c r="I24" s="120" t="s">
        <v>23</v>
      </c>
      <c r="J24" s="120"/>
      <c r="K24" s="120"/>
      <c r="L24" s="120"/>
      <c r="M24" s="1" t="s">
        <v>24</v>
      </c>
      <c r="P24" s="172">
        <v>2810</v>
      </c>
      <c r="Q24" s="172"/>
      <c r="R24" s="172"/>
      <c r="S24" s="172"/>
      <c r="T24" s="172"/>
      <c r="U24" s="172"/>
      <c r="V24" s="172"/>
    </row>
    <row r="25" spans="2:22" ht="14.45" customHeight="1" x14ac:dyDescent="0.25">
      <c r="I25" s="116" t="s">
        <v>52</v>
      </c>
      <c r="J25" s="117"/>
      <c r="K25" s="117"/>
      <c r="L25" s="118"/>
      <c r="P25" s="172">
        <v>2810</v>
      </c>
      <c r="Q25" s="172"/>
      <c r="R25" s="172"/>
      <c r="S25" s="172"/>
      <c r="T25" s="172"/>
      <c r="U25" s="172"/>
      <c r="V25" s="172"/>
    </row>
    <row r="26" spans="2:22" x14ac:dyDescent="0.25">
      <c r="I26" s="120" t="s">
        <v>47</v>
      </c>
      <c r="J26" s="120"/>
      <c r="K26" s="120"/>
      <c r="L26" s="120"/>
      <c r="P26" s="172"/>
      <c r="Q26" s="172"/>
      <c r="R26" s="172"/>
      <c r="S26" s="172"/>
      <c r="T26" s="172"/>
      <c r="U26" s="172"/>
      <c r="V26" s="172"/>
    </row>
    <row r="27" spans="2:22" x14ac:dyDescent="0.25">
      <c r="I27" s="121" t="s">
        <v>25</v>
      </c>
      <c r="J27" s="121"/>
      <c r="K27" s="121"/>
      <c r="L27" s="121"/>
      <c r="P27" s="172"/>
      <c r="Q27" s="172"/>
      <c r="R27" s="172"/>
      <c r="S27" s="172"/>
      <c r="T27" s="172"/>
      <c r="U27" s="172"/>
      <c r="V27" s="172"/>
    </row>
  </sheetData>
  <sortState xmlns:xlrd2="http://schemas.microsoft.com/office/spreadsheetml/2017/richdata2" ref="I20:R20">
    <sortCondition ref="I19:I20"/>
  </sortState>
  <mergeCells count="48">
    <mergeCell ref="M2:S2"/>
    <mergeCell ref="L3:S3"/>
    <mergeCell ref="K4:S4"/>
    <mergeCell ref="K5:S5"/>
    <mergeCell ref="I6:K6"/>
    <mergeCell ref="L6:V6"/>
    <mergeCell ref="I7:J7"/>
    <mergeCell ref="L7:Q7"/>
    <mergeCell ref="U7:V7"/>
    <mergeCell ref="I8:K8"/>
    <mergeCell ref="L8:Q8"/>
    <mergeCell ref="U8:V8"/>
    <mergeCell ref="I9:K9"/>
    <mergeCell ref="L9:Q9"/>
    <mergeCell ref="U9:V9"/>
    <mergeCell ref="I10:K10"/>
    <mergeCell ref="L10:Q10"/>
    <mergeCell ref="U10:V10"/>
    <mergeCell ref="L15:R15"/>
    <mergeCell ref="S15:V15"/>
    <mergeCell ref="I11:K11"/>
    <mergeCell ref="L11:M11"/>
    <mergeCell ref="P11:Q11"/>
    <mergeCell ref="U11:V11"/>
    <mergeCell ref="I12:K12"/>
    <mergeCell ref="L12:Q12"/>
    <mergeCell ref="U12:V12"/>
    <mergeCell ref="S13:T13"/>
    <mergeCell ref="U13:V13"/>
    <mergeCell ref="M14:Q14"/>
    <mergeCell ref="T17:T18"/>
    <mergeCell ref="U17:U18"/>
    <mergeCell ref="V17:V18"/>
    <mergeCell ref="P23:R23"/>
    <mergeCell ref="I24:L24"/>
    <mergeCell ref="P24:V24"/>
    <mergeCell ref="I17:I18"/>
    <mergeCell ref="J17:J18"/>
    <mergeCell ref="K17:L18"/>
    <mergeCell ref="M17:M18"/>
    <mergeCell ref="P17:R17"/>
    <mergeCell ref="S17:S18"/>
    <mergeCell ref="I25:L25"/>
    <mergeCell ref="P25:V25"/>
    <mergeCell ref="I26:L26"/>
    <mergeCell ref="P26:V26"/>
    <mergeCell ref="I27:L27"/>
    <mergeCell ref="P27:V27"/>
  </mergeCells>
  <dataValidations count="1">
    <dataValidation type="list" allowBlank="1" showInputMessage="1" showErrorMessage="1" sqref="K19:K21" xr:uid="{8343D043-13FE-48F0-BFD5-45CB3505B22B}">
      <formula1>"NRM,NR,NRF,NRD,LNC,NRAE,DS"</formula1>
    </dataValidation>
  </dataValidations>
  <pageMargins left="0.23622047244094491" right="0.23622047244094491" top="0" bottom="0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Modeladas</vt:lpstr>
      <vt:lpstr>Retas</vt:lpstr>
      <vt:lpstr>Triângulo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Ernesto F Paula</cp:lastModifiedBy>
  <cp:revision/>
  <cp:lastPrinted>2026-07-16T17:28:13Z</cp:lastPrinted>
  <dcterms:created xsi:type="dcterms:W3CDTF">2024-03-14T19:36:59Z</dcterms:created>
  <dcterms:modified xsi:type="dcterms:W3CDTF">2026-09-18T14:04:03Z</dcterms:modified>
  <cp:category/>
  <cp:contentStatus/>
</cp:coreProperties>
</file>