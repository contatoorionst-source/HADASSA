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adas" sheetId="1" r:id="rId5"/>
    <sheet state="visible" name="Retas" sheetId="2" r:id="rId6"/>
    <sheet state="visible" name="Triângulo" sheetId="3" r:id="rId7"/>
  </sheets>
  <definedNames/>
  <calcPr/>
</workbook>
</file>

<file path=xl/sharedStrings.xml><?xml version="1.0" encoding="utf-8"?>
<sst xmlns="http://schemas.openxmlformats.org/spreadsheetml/2006/main" count="530" uniqueCount="113">
  <si>
    <t>TEL.: 17 3421 2907 / 17 98126 3862</t>
  </si>
  <si>
    <t>RUA JOÃO VILLAR PONTES, 3424 - PQ. IND. 1</t>
  </si>
  <si>
    <t>CEP 15.503-019 VOTUPORANGA - SP</t>
  </si>
  <si>
    <t>CLIENTE:</t>
  </si>
  <si>
    <t>DELLON</t>
  </si>
  <si>
    <t>NOME FANTASIA:</t>
  </si>
  <si>
    <t xml:space="preserve">HADASSA </t>
  </si>
  <si>
    <t>E-MAIL</t>
  </si>
  <si>
    <t>ENDEREÇO: Rua jundiai , 605</t>
  </si>
  <si>
    <t>ENDEREÇO: Rua Jundiai, 605</t>
  </si>
  <si>
    <t>N°</t>
  </si>
  <si>
    <t>BAIRRO: Monte Belo</t>
  </si>
  <si>
    <t>CEP:</t>
  </si>
  <si>
    <t>CIDADE: Itaququecetuba</t>
  </si>
  <si>
    <t>CIDADE: Itaquaquecetuba</t>
  </si>
  <si>
    <t>ESTADO</t>
  </si>
  <si>
    <t>COD. PAGAMENTOS:</t>
  </si>
  <si>
    <t>TEF:</t>
  </si>
  <si>
    <t>CNPJ/CPF:</t>
  </si>
  <si>
    <t>IE:</t>
  </si>
  <si>
    <t>ENDEREÇO DE ENTREGA: Rua Jundiai, 605</t>
  </si>
  <si>
    <t>ENDEREÇO DE ENTREGA: Rua: Jundiai, 605</t>
  </si>
  <si>
    <t>DATA:</t>
  </si>
  <si>
    <t>PRAZO DE ENTREGA:</t>
  </si>
  <si>
    <t xml:space="preserve"> PEÇAS MODELADAS</t>
  </si>
  <si>
    <t xml:space="preserve"> PEÇAS TRIÂNGULO</t>
  </si>
  <si>
    <t>QUANT.</t>
  </si>
  <si>
    <t>NOME</t>
  </si>
  <si>
    <t>DENSIDADE</t>
  </si>
  <si>
    <t>COR</t>
  </si>
  <si>
    <t>M3</t>
  </si>
  <si>
    <t>PREÇO M3</t>
  </si>
  <si>
    <t>PREÇO PEÇA</t>
  </si>
  <si>
    <t xml:space="preserve">MEDIDAS*                                  </t>
  </si>
  <si>
    <t>TOTAL</t>
  </si>
  <si>
    <t>DIAM*</t>
  </si>
  <si>
    <t>ESP</t>
  </si>
  <si>
    <t>LADO 1</t>
  </si>
  <si>
    <t>LADO 2</t>
  </si>
  <si>
    <t>LADO 3</t>
  </si>
  <si>
    <t>COMP</t>
  </si>
  <si>
    <t>LARG</t>
  </si>
  <si>
    <t>ATHENAS ENCOSTO</t>
  </si>
  <si>
    <t>DS</t>
  </si>
  <si>
    <t xml:space="preserve">ATHENAS ASSENTO CAVA SOFA </t>
  </si>
  <si>
    <t>BRANCA</t>
  </si>
  <si>
    <t>LOMBAR APOIO</t>
  </si>
  <si>
    <t>x</t>
  </si>
  <si>
    <t>ENCOSTO SOFA ESPERA</t>
  </si>
  <si>
    <t>ATHENAS ASSENTO</t>
  </si>
  <si>
    <t>ATHENAS TESTA</t>
  </si>
  <si>
    <t>ATHENAS BRAÇOS SOFA</t>
  </si>
  <si>
    <t>BARBEIRO ENCOSTO</t>
  </si>
  <si>
    <t>CIRANDIA ENCOSTO</t>
  </si>
  <si>
    <t xml:space="preserve">ATHENAS ENCOSTO CAVA SOFA </t>
  </si>
  <si>
    <t>ELITE DESCANSO LAVATÓRIO</t>
  </si>
  <si>
    <t>ATHENAS FAIXA BRAÇO SOFA</t>
  </si>
  <si>
    <t>ELITE ENCOSTO LAVATÓRIO</t>
  </si>
  <si>
    <t>TOTAL M3:</t>
  </si>
  <si>
    <t>FERRARI ASSENTO</t>
  </si>
  <si>
    <t>ELITE ASSENTO SOFA</t>
  </si>
  <si>
    <t>FERRARI CABEÇOTE</t>
  </si>
  <si>
    <t>DESCONTOS PRATICADOS:</t>
  </si>
  <si>
    <t>OBS.:</t>
  </si>
  <si>
    <t>ELITE ENCOSTO SOFA</t>
  </si>
  <si>
    <t>FERRARI ENCOSTO</t>
  </si>
  <si>
    <t>RODRIGO</t>
  </si>
  <si>
    <t>FABIO</t>
  </si>
  <si>
    <t xml:space="preserve">GOBBI ASSENTO </t>
  </si>
  <si>
    <t>GOBBI ENCOSTO</t>
  </si>
  <si>
    <t>REPRESENTANTE</t>
  </si>
  <si>
    <t>ESPERA ASSENTO</t>
  </si>
  <si>
    <t>IRON PESEIRA</t>
  </si>
  <si>
    <t>ESPERA ENCOSTO</t>
  </si>
  <si>
    <t>IRON ASSENTO</t>
  </si>
  <si>
    <t>IRON ASSENTO LAVATÓRIO</t>
  </si>
  <si>
    <t>FECHA BRAÇO SOFA</t>
  </si>
  <si>
    <t>IRON CABEÇOTE</t>
  </si>
  <si>
    <t>LADY PESEIRA</t>
  </si>
  <si>
    <t xml:space="preserve">IRON ENCOSTO  </t>
  </si>
  <si>
    <t>LAVIER 1 ASSENTO SOFA</t>
  </si>
  <si>
    <t>IRON ENCOSTO LAVATÓRIO</t>
  </si>
  <si>
    <t>MAQUIAGE PEZEIRA</t>
  </si>
  <si>
    <t>LAVIER 2 ASSENTO SOFA</t>
  </si>
  <si>
    <t>MAQUIAGEM ASSENTO</t>
  </si>
  <si>
    <t>LAVIER 2 ASSENTO LAVATÓRIO</t>
  </si>
  <si>
    <t>MAQUIAGEM CABEÇOTE</t>
  </si>
  <si>
    <t>LAVIER 2 ENCOSTO LAVATÓRIO</t>
  </si>
  <si>
    <t>MAQUIAGEM ENCOSTO</t>
  </si>
  <si>
    <t>LAVIER ASSENTO LAVATÓRIO</t>
  </si>
  <si>
    <t>MATISSE ASSENTO</t>
  </si>
  <si>
    <t>LAVIER ENCOSTO LAVATÓRIO</t>
  </si>
  <si>
    <t>MATISSE CABEÇOTE</t>
  </si>
  <si>
    <t>MATISSE ENCOSTO</t>
  </si>
  <si>
    <t>LUXO BRAÇO</t>
  </si>
  <si>
    <t>MOCHO ASSENTO SELA</t>
  </si>
  <si>
    <t>MATISSE CAVA ASSENTO</t>
  </si>
  <si>
    <t>MOCHO ENCOSTO</t>
  </si>
  <si>
    <t>MATISSE CAVA ENCOSTO</t>
  </si>
  <si>
    <t>ELITE/EVIDENCE/SPLENDOR-SOFA CABEÇOTE</t>
  </si>
  <si>
    <t>ASSENTO SOFA ESPERA</t>
  </si>
  <si>
    <t>TOPAZIO ENCOSTO</t>
  </si>
  <si>
    <t xml:space="preserve">ENCOSTO SOFA ESPERA </t>
  </si>
  <si>
    <t xml:space="preserve"> SOFA LAVIE ENCOSTO</t>
  </si>
  <si>
    <t>ENCOSTO LAVATORIO EVIDENCE</t>
  </si>
  <si>
    <t>SOFA ASSENTO LAVIE</t>
  </si>
  <si>
    <t xml:space="preserve"> SOFA ESPERA ENCOSTO</t>
  </si>
  <si>
    <t xml:space="preserve">Apoio de braço lavatorio </t>
  </si>
  <si>
    <t xml:space="preserve">SOFA LAVIE  ENCOSTO </t>
  </si>
  <si>
    <t>X</t>
  </si>
  <si>
    <t>BRAÇO  LATERAL DE SOFÁ</t>
  </si>
  <si>
    <t xml:space="preserve">* COMPRIMENTO E LARGURA É ACRESCENTADO 1 CM </t>
  </si>
  <si>
    <t xml:space="preserve">PEÇAS EMBALADA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</si>
</sst>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"/>
    <numFmt numFmtId="165" formatCode="&quot;&quot;00&quot;.&quot;000\-000"/>
    <numFmt numFmtId="166" formatCode="&quot;&quot;00&quot;/&quot;00&quot;/&quot;00"/>
    <numFmt numFmtId="167" formatCode="\(00\)\ 00000\ 0000"/>
    <numFmt numFmtId="168" formatCode="&quot;&quot;00&quot;.&quot;000&quot;.&quot;000&quot;/&quot;0000\-00"/>
    <numFmt numFmtId="169" formatCode="&quot;&quot;000&quot;.&quot;000&quot;.&quot;000&quot;.&quot;000&quot;-&quot;00"/>
    <numFmt numFmtId="170" formatCode="0.0000"/>
    <numFmt numFmtId="171" formatCode="&quot;R$&quot;\ #,##0.00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/>
    <font>
      <b/>
      <sz val="9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0"/>
      <name val="Calibri"/>
    </font>
    <font>
      <sz val="10.0"/>
      <color rgb="FF000000"/>
      <name val="Calibri"/>
    </font>
    <font>
      <b/>
      <sz val="12.0"/>
      <color theme="1"/>
      <name val="Calibri"/>
    </font>
    <font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</fills>
  <borders count="3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3" numFmtId="0" xfId="0" applyBorder="1" applyFont="1"/>
    <xf borderId="2" fillId="2" fontId="1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ill="1" applyFont="1">
      <alignment horizontal="left" vertical="center"/>
    </xf>
    <xf borderId="6" fillId="0" fontId="3" numFmtId="0" xfId="0" applyBorder="1" applyFont="1"/>
    <xf borderId="7" fillId="2" fontId="1" numFmtId="0" xfId="0" applyAlignment="1" applyBorder="1" applyFill="1" applyFont="1">
      <alignment horizontal="left" vertical="center"/>
    </xf>
    <xf borderId="8" fillId="2" fontId="1" numFmtId="0" xfId="0" applyAlignment="1" applyBorder="1" applyFill="1" applyFont="1">
      <alignment horizontal="left" vertical="center"/>
    </xf>
    <xf borderId="9" fillId="0" fontId="3" numFmtId="0" xfId="0" applyBorder="1" applyFont="1"/>
    <xf borderId="10" fillId="0" fontId="3" numFmtId="0" xfId="0" applyBorder="1" applyFont="1"/>
    <xf borderId="11" fillId="2" fontId="1" numFmtId="164" xfId="0" applyAlignment="1" applyBorder="1" applyFill="1" applyFont="1" applyNumberFormat="1">
      <alignment horizontal="center" vertical="center"/>
    </xf>
    <xf borderId="11" fillId="2" fontId="1" numFmtId="0" xfId="0" applyAlignment="1" applyBorder="1" applyFill="1" applyFont="1">
      <alignment horizontal="left" vertical="center"/>
    </xf>
    <xf borderId="11" fillId="2" fontId="1" numFmtId="0" xfId="0" applyAlignment="1" applyBorder="1" applyFill="1" applyFont="1">
      <alignment horizontal="center" vertical="center"/>
    </xf>
    <xf borderId="8" fillId="2" fontId="1" numFmtId="0" xfId="0" applyAlignment="1" applyBorder="1" applyFill="1" applyFont="1">
      <alignment horizontal="center" vertical="center"/>
    </xf>
    <xf borderId="12" fillId="0" fontId="3" numFmtId="0" xfId="0" applyBorder="1" applyFont="1"/>
    <xf borderId="7" fillId="2" fontId="1" numFmtId="164" xfId="0" applyAlignment="1" applyBorder="1" applyFill="1" applyFont="1" applyNumberFormat="1">
      <alignment horizontal="center" vertical="center"/>
    </xf>
    <xf borderId="7" fillId="2" fontId="1" numFmtId="0" xfId="0" applyAlignment="1" applyBorder="1" applyFill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7" fillId="2" fontId="1" numFmtId="165" xfId="0" applyAlignment="1" applyBorder="1" applyFill="1" applyFont="1" applyNumberFormat="1">
      <alignment horizontal="center" vertical="center"/>
    </xf>
    <xf borderId="5" fillId="2" fontId="1" numFmtId="165" xfId="0" applyAlignment="1" applyBorder="1" applyFill="1" applyFont="1" applyNumberFormat="1">
      <alignment horizontal="left" vertical="center"/>
    </xf>
    <xf borderId="5" fillId="2" fontId="1" numFmtId="166" xfId="0" applyAlignment="1" applyBorder="1" applyFill="1" applyFont="1" applyNumberFormat="1">
      <alignment horizontal="left" vertical="center"/>
    </xf>
    <xf borderId="5" fillId="2" fontId="1" numFmtId="166" xfId="0" applyAlignment="1" applyBorder="1" applyFill="1" applyFont="1" applyNumberFormat="1">
      <alignment horizontal="center" vertical="center"/>
    </xf>
    <xf borderId="7" fillId="2" fontId="1" numFmtId="166" xfId="0" applyAlignment="1" applyBorder="1" applyFill="1" applyFont="1" applyNumberFormat="1">
      <alignment horizontal="left" vertical="center"/>
    </xf>
    <xf borderId="7" fillId="2" fontId="1" numFmtId="167" xfId="0" applyAlignment="1" applyBorder="1" applyFill="1" applyFont="1" applyNumberFormat="1">
      <alignment horizontal="center" vertical="center"/>
    </xf>
    <xf borderId="5" fillId="2" fontId="1" numFmtId="167" xfId="0" applyAlignment="1" applyBorder="1" applyFill="1" applyFont="1" applyNumberFormat="1">
      <alignment horizontal="left" vertical="center"/>
    </xf>
    <xf borderId="5" fillId="2" fontId="1" numFmtId="168" xfId="0" applyAlignment="1" applyBorder="1" applyFill="1" applyFont="1" applyNumberFormat="1">
      <alignment horizontal="left" vertical="center"/>
    </xf>
    <xf borderId="7" fillId="2" fontId="1" numFmtId="169" xfId="0" applyAlignment="1" applyBorder="1" applyFill="1" applyFont="1" applyNumberFormat="1">
      <alignment horizontal="center" vertical="center"/>
    </xf>
    <xf borderId="11" fillId="2" fontId="1" numFmtId="169" xfId="0" applyAlignment="1" applyBorder="1" applyFill="1" applyFont="1" applyNumberFormat="1">
      <alignment horizontal="center" vertical="center"/>
    </xf>
    <xf borderId="5" fillId="2" fontId="1" numFmtId="169" xfId="0" applyAlignment="1" applyBorder="1" applyFill="1" applyFont="1" applyNumberFormat="1">
      <alignment horizontal="left" vertical="center"/>
    </xf>
    <xf borderId="14" fillId="2" fontId="1" numFmtId="0" xfId="0" applyAlignment="1" applyBorder="1" applyFill="1" applyFont="1">
      <alignment vertical="center"/>
    </xf>
    <xf borderId="7" fillId="2" fontId="1" numFmtId="0" xfId="0" applyAlignment="1" applyBorder="1" applyFill="1" applyFont="1">
      <alignment vertical="center"/>
    </xf>
    <xf borderId="5" fillId="2" fontId="1" numFmtId="14" xfId="0" applyAlignment="1" applyBorder="1" applyFill="1" applyFont="1" applyNumberFormat="1">
      <alignment horizontal="left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1" numFmtId="14" xfId="0" applyAlignment="1" applyFont="1" applyNumberFormat="1">
      <alignment horizontal="center" vertical="center"/>
    </xf>
    <xf borderId="14" fillId="2" fontId="1" numFmtId="0" xfId="0" applyAlignment="1" applyBorder="1" applyFill="1" applyFont="1">
      <alignment horizontal="center" vertical="center"/>
    </xf>
    <xf borderId="6" fillId="0" fontId="1" numFmtId="14" xfId="0" applyAlignment="1" applyBorder="1" applyFont="1" applyNumberFormat="1">
      <alignment horizontal="left" vertical="center"/>
    </xf>
    <xf borderId="0" fillId="0" fontId="5" numFmtId="0" xfId="0" applyAlignment="1" applyFont="1">
      <alignment horizontal="center" vertical="center"/>
    </xf>
    <xf borderId="15" fillId="2" fontId="1" numFmtId="14" xfId="0" applyAlignment="1" applyBorder="1" applyFill="1" applyFont="1" applyNumberForma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8" fillId="0" fontId="1" numFmtId="14" xfId="0" applyAlignment="1" applyBorder="1" applyFont="1" applyNumberFormat="1">
      <alignment horizontal="center" vertical="center"/>
    </xf>
    <xf borderId="19" fillId="3" fontId="1" numFmtId="0" xfId="0" applyAlignment="1" applyBorder="1" applyFill="1" applyFont="1">
      <alignment horizontal="center" vertical="center"/>
    </xf>
    <xf borderId="20" fillId="2" fontId="1" numFmtId="14" xfId="0" applyAlignment="1" applyBorder="1" applyFill="1" applyFont="1" applyNumberFormat="1">
      <alignment horizontal="center" vertical="center"/>
    </xf>
    <xf borderId="21" fillId="3" fontId="1" numFmtId="0" xfId="0" applyAlignment="1" applyBorder="1" applyFill="1" applyFont="1">
      <alignment horizontal="center" vertical="center"/>
    </xf>
    <xf borderId="22" fillId="0" fontId="3" numFmtId="0" xfId="0" applyBorder="1" applyFont="1"/>
    <xf borderId="23" fillId="3" fontId="1" numFmtId="0" xfId="0" applyAlignment="1" applyBorder="1" applyFill="1" applyFont="1">
      <alignment horizontal="center" vertical="center"/>
    </xf>
    <xf borderId="24" fillId="3" fontId="1" numFmtId="0" xfId="0" applyAlignment="1" applyBorder="1" applyFill="1" applyFont="1">
      <alignment horizontal="center" vertical="center"/>
    </xf>
    <xf borderId="25" fillId="3" fontId="1" numFmtId="0" xfId="0" applyAlignment="1" applyBorder="1" applyFill="1" applyFont="1">
      <alignment horizontal="center" shrinkToFit="0" vertical="center" wrapText="1"/>
    </xf>
    <xf borderId="26" fillId="0" fontId="3" numFmtId="0" xfId="0" applyBorder="1" applyFont="1"/>
    <xf borderId="27" fillId="0" fontId="3" numFmtId="0" xfId="0" applyBorder="1" applyFont="1"/>
    <xf borderId="19" fillId="3" fontId="1" numFmtId="0" xfId="0" applyAlignment="1" applyBorder="1" applyFill="1" applyFont="1">
      <alignment horizontal="center" shrinkToFit="0" vertical="center" wrapText="1"/>
    </xf>
    <xf borderId="28" fillId="3" fontId="1" numFmtId="0" xfId="0" applyAlignment="1" applyBorder="1" applyFill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20" fillId="3" fontId="1" numFmtId="164" xfId="0" applyAlignment="1" applyBorder="1" applyFill="1" applyFont="1" applyNumberFormat="1">
      <alignment horizontal="center" shrinkToFit="0" vertical="center" wrapText="1"/>
    </xf>
    <xf borderId="11" fillId="3" fontId="1" numFmtId="0" xfId="0" applyAlignment="1" applyBorder="1" applyFill="1" applyFont="1">
      <alignment horizontal="center" shrinkToFit="0" vertical="center" wrapText="1"/>
    </xf>
    <xf borderId="11" fillId="3" fontId="1" numFmtId="164" xfId="0" applyAlignment="1" applyBorder="1" applyFill="1" applyFont="1" applyNumberFormat="1">
      <alignment horizontal="center" shrinkToFit="0" vertical="center" wrapText="1"/>
    </xf>
    <xf borderId="20" fillId="3" fontId="1" numFmtId="0" xfId="0" applyAlignment="1" applyBorder="1" applyFill="1" applyFont="1">
      <alignment horizontal="center" vertical="center"/>
    </xf>
    <xf borderId="33" fillId="3" fontId="1" numFmtId="0" xfId="0" applyAlignment="1" applyBorder="1" applyFill="1" applyFont="1">
      <alignment horizontal="center" shrinkToFit="0" vertical="center" wrapText="1"/>
    </xf>
    <xf borderId="3" fillId="0" fontId="1" numFmtId="2" xfId="0" applyAlignment="1" applyBorder="1" applyFont="1" applyNumberFormat="1">
      <alignment horizontal="center" vertical="center"/>
    </xf>
    <xf borderId="20" fillId="3" fontId="1" numFmtId="0" xfId="0" applyAlignment="1" applyBorder="1" applyFill="1" applyFont="1">
      <alignment horizontal="center" shrinkToFit="0" vertical="center" wrapText="1"/>
    </xf>
    <xf borderId="3" fillId="0" fontId="6" numFmtId="164" xfId="0" applyAlignment="1" applyBorder="1" applyFont="1" applyNumberFormat="1">
      <alignment horizontal="center" shrinkToFit="1" vertical="center" wrapText="0"/>
    </xf>
    <xf borderId="18" fillId="0" fontId="1" numFmtId="0" xfId="0" applyAlignment="1" applyBorder="1" applyFont="1">
      <alignment horizontal="center" shrinkToFit="0" vertical="center" wrapText="1"/>
    </xf>
    <xf borderId="0" fillId="0" fontId="1" numFmtId="2" xfId="0" applyAlignment="1" applyFont="1" applyNumberFormat="1">
      <alignment horizontal="center" vertical="center"/>
    </xf>
    <xf borderId="22" fillId="0" fontId="1" numFmtId="0" xfId="0" applyAlignment="1" applyBorder="1" applyFont="1">
      <alignment horizontal="center" shrinkToFit="0" vertical="center" wrapText="1"/>
    </xf>
    <xf borderId="0" fillId="0" fontId="7" numFmtId="2" xfId="0" applyAlignment="1" applyFont="1" applyNumberFormat="1">
      <alignment horizontal="center" vertical="center"/>
    </xf>
    <xf borderId="34" fillId="0" fontId="2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left" shrinkToFit="0" vertical="center" wrapText="1"/>
    </xf>
    <xf borderId="1" fillId="0" fontId="6" numFmtId="164" xfId="0" applyAlignment="1" applyBorder="1" applyFont="1" applyNumberFormat="1">
      <alignment horizontal="center" shrinkToFit="1" vertical="center" wrapText="0"/>
    </xf>
    <xf borderId="6" fillId="0" fontId="1" numFmtId="170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34" fillId="0" fontId="8" numFmtId="1" xfId="0" applyAlignment="1" applyBorder="1" applyFont="1" applyNumberFormat="1">
      <alignment horizontal="center" shrinkToFit="1" vertical="center" wrapText="0"/>
    </xf>
    <xf borderId="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1" vertical="center" wrapText="0"/>
    </xf>
    <xf borderId="3" fillId="0" fontId="1" numFmtId="164" xfId="0" applyAlignment="1" applyBorder="1" applyFont="1" applyNumberFormat="1">
      <alignment horizontal="center" shrinkToFit="0" vertical="center" wrapText="1"/>
    </xf>
    <xf borderId="18" fillId="0" fontId="1" numFmtId="164" xfId="0" applyAlignment="1" applyBorder="1" applyFont="1" applyNumberFormat="1">
      <alignment horizontal="center" shrinkToFit="0" vertical="center" wrapText="1"/>
    </xf>
    <xf borderId="34" fillId="0" fontId="1" numFmtId="170" xfId="0" applyAlignment="1" applyBorder="1" applyFont="1" applyNumberFormat="1">
      <alignment horizontal="center" vertical="center"/>
    </xf>
    <xf borderId="34" fillId="0" fontId="1" numFmtId="171" xfId="0" applyAlignment="1" applyBorder="1" applyFont="1" applyNumberFormat="1">
      <alignment horizontal="center" vertical="center"/>
    </xf>
    <xf borderId="22" fillId="0" fontId="1" numFmtId="164" xfId="0" applyAlignment="1" applyBorder="1" applyFont="1" applyNumberFormat="1">
      <alignment horizontal="center" shrinkToFit="0" vertical="center" wrapText="1"/>
    </xf>
    <xf borderId="34" fillId="4" fontId="1" numFmtId="171" xfId="0" applyAlignment="1" applyBorder="1" applyFill="1" applyFont="1" applyNumberFormat="1">
      <alignment horizontal="center" vertical="center"/>
    </xf>
    <xf borderId="34" fillId="2" fontId="1" numFmtId="171" xfId="0" applyAlignment="1" applyBorder="1" applyFill="1" applyFont="1" applyNumberFormat="1">
      <alignment horizontal="center" vertical="center"/>
    </xf>
    <xf borderId="34" fillId="5" fontId="8" numFmtId="1" xfId="0" applyAlignment="1" applyBorder="1" applyFill="1" applyFont="1" applyNumberFormat="1">
      <alignment horizontal="center" shrinkToFit="1" vertical="center" wrapText="0"/>
    </xf>
    <xf borderId="34" fillId="5" fontId="1" numFmtId="0" xfId="0" applyAlignment="1" applyBorder="1" applyFill="1" applyFont="1">
      <alignment horizontal="left" shrinkToFit="0" vertical="center" wrapText="1"/>
    </xf>
    <xf borderId="14" fillId="5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5" fontId="1" numFmtId="0" xfId="0" applyAlignment="1" applyBorder="1" applyFill="1" applyFont="1">
      <alignment horizontal="center" vertical="center"/>
    </xf>
    <xf borderId="34" fillId="5" fontId="1" numFmtId="0" xfId="0" applyAlignment="1" applyBorder="1" applyFill="1" applyFont="1">
      <alignment horizontal="center" vertical="center"/>
    </xf>
    <xf borderId="14" fillId="5" fontId="6" numFmtId="164" xfId="0" applyAlignment="1" applyBorder="1" applyFill="1" applyFont="1" applyNumberFormat="1">
      <alignment horizontal="center" shrinkToFit="1" vertical="center" wrapText="0"/>
    </xf>
    <xf borderId="7" fillId="5" fontId="6" numFmtId="164" xfId="0" applyAlignment="1" applyBorder="1" applyFill="1" applyFont="1" applyNumberFormat="1">
      <alignment horizontal="center" shrinkToFit="1" vertical="center" wrapText="0"/>
    </xf>
    <xf borderId="7" fillId="5" fontId="1" numFmtId="2" xfId="0" applyAlignment="1" applyBorder="1" applyFill="1" applyFont="1" applyNumberFormat="1">
      <alignment horizontal="center" vertical="center"/>
    </xf>
    <xf borderId="7" fillId="5" fontId="1" numFmtId="164" xfId="0" applyAlignment="1" applyBorder="1" applyFill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4" fillId="5" fontId="1" numFmtId="170" xfId="0" applyAlignment="1" applyBorder="1" applyFill="1" applyFont="1" applyNumberFormat="1">
      <alignment horizontal="center" vertical="center"/>
    </xf>
    <xf borderId="34" fillId="5" fontId="1" numFmtId="171" xfId="0" applyAlignment="1" applyBorder="1" applyFill="1" applyFont="1" applyNumberForma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vertical="center"/>
    </xf>
    <xf borderId="35" fillId="0" fontId="1" numFmtId="0" xfId="0" applyAlignment="1" applyBorder="1" applyFont="1">
      <alignment horizontal="center" shrinkToFit="0" vertical="center" wrapText="1"/>
    </xf>
    <xf borderId="1" fillId="0" fontId="1" numFmtId="2" xfId="0" applyAlignment="1" applyBorder="1" applyFont="1" applyNumberFormat="1">
      <alignment horizontal="center" vertical="center"/>
    </xf>
    <xf borderId="34" fillId="0" fontId="1" numFmtId="3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left" vertical="center"/>
    </xf>
    <xf borderId="34" fillId="0" fontId="1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0" fillId="0" fontId="5" numFmtId="170" xfId="0" applyAlignment="1" applyFont="1" applyNumberFormat="1">
      <alignment horizontal="center" vertical="center"/>
    </xf>
    <xf borderId="0" fillId="0" fontId="9" numFmtId="171" xfId="0" applyAlignment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center" shrinkToFit="0" vertical="center" wrapText="1"/>
    </xf>
    <xf borderId="18" fillId="0" fontId="1" numFmtId="0" xfId="0" applyAlignment="1" applyBorder="1" applyFont="1">
      <alignment horizontal="center" vertical="center"/>
    </xf>
    <xf borderId="18" fillId="0" fontId="3" numFmtId="0" xfId="0" applyBorder="1" applyFont="1"/>
    <xf borderId="13" fillId="0" fontId="1" numFmtId="164" xfId="0" applyAlignment="1" applyBorder="1" applyFont="1" applyNumberFormat="1">
      <alignment horizontal="center" shrinkToFit="0" vertical="center" wrapText="1"/>
    </xf>
    <xf borderId="6" fillId="0" fontId="1" numFmtId="164" xfId="0" applyAlignment="1" applyBorder="1" applyFont="1" applyNumberFormat="1">
      <alignment horizontal="center" shrinkToFit="0" vertical="center" wrapText="1"/>
    </xf>
    <xf borderId="34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8" fillId="0" fontId="1" numFmtId="164" xfId="0" applyAlignment="1" applyBorder="1" applyFont="1" applyNumberFormat="1">
      <alignment horizontal="center" readingOrder="0" shrinkToFit="0" vertical="center" wrapText="1"/>
    </xf>
    <xf borderId="22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vertical="center"/>
    </xf>
    <xf borderId="0" fillId="0" fontId="10" numFmtId="0" xfId="0" applyAlignment="1" applyFont="1">
      <alignment horizontal="center" vertical="center"/>
    </xf>
    <xf borderId="34" fillId="0" fontId="1" numFmtId="0" xfId="0" applyAlignment="1" applyBorder="1" applyFont="1">
      <alignment horizontal="left" readingOrder="0" vertical="center"/>
    </xf>
    <xf borderId="31" fillId="0" fontId="1" numFmtId="164" xfId="0" applyAlignment="1" applyBorder="1" applyFont="1" applyNumberForma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6" fillId="0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0</xdr:row>
      <xdr:rowOff>57150</xdr:rowOff>
    </xdr:from>
    <xdr:ext cx="1495425" cy="7715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0</xdr:row>
      <xdr:rowOff>57150</xdr:rowOff>
    </xdr:from>
    <xdr:ext cx="1495425" cy="7715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0</xdr:row>
      <xdr:rowOff>57150</xdr:rowOff>
    </xdr:from>
    <xdr:ext cx="1495425" cy="7715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hidden="1" min="2" max="3" width="8.71"/>
    <col customWidth="1" hidden="1" min="4" max="4" width="1.43"/>
    <col customWidth="1" min="5" max="5" width="8.71"/>
    <col customWidth="1" min="6" max="6" width="25.29"/>
    <col customWidth="1" min="7" max="7" width="5.0"/>
    <col customWidth="1" min="8" max="8" width="5.86"/>
    <col customWidth="1" min="9" max="9" width="13.14"/>
    <col customWidth="1" min="10" max="10" width="6.86"/>
    <col customWidth="1" min="11" max="11" width="1.43"/>
    <col customWidth="1" min="12" max="12" width="11.57"/>
    <col customWidth="1" min="13" max="13" width="9.14"/>
    <col customWidth="1" min="14" max="14" width="11.29"/>
    <col customWidth="1" min="15" max="15" width="12.14"/>
    <col customWidth="1" min="16" max="16" width="19.43"/>
    <col customWidth="1" min="17" max="17" width="14.71"/>
    <col customWidth="1" min="18" max="26" width="8.71"/>
  </cols>
  <sheetData>
    <row r="1">
      <c r="A1" s="1"/>
      <c r="B1" s="1"/>
      <c r="C1" s="1"/>
      <c r="D1" s="1"/>
      <c r="E1" s="1"/>
      <c r="F1" s="2"/>
      <c r="G1" s="1"/>
      <c r="H1" s="1"/>
      <c r="I1" s="1"/>
      <c r="J1" s="3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2"/>
      <c r="G2" s="1"/>
      <c r="H2" s="1"/>
      <c r="I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/>
      <c r="B3" s="4"/>
      <c r="C3" s="4"/>
      <c r="D3" s="4"/>
      <c r="E3" s="1"/>
      <c r="F3" s="2"/>
      <c r="G3" s="1"/>
      <c r="H3" s="1" t="s">
        <v>0</v>
      </c>
      <c r="N3" s="4"/>
      <c r="O3" s="4"/>
      <c r="P3" s="1"/>
      <c r="Q3" s="1"/>
      <c r="R3" s="1"/>
      <c r="S3" s="1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1"/>
      <c r="F4" s="2"/>
      <c r="G4" s="1" t="s">
        <v>1</v>
      </c>
      <c r="N4" s="4"/>
      <c r="O4" s="4"/>
      <c r="P4" s="1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1"/>
      <c r="F5" s="2"/>
      <c r="G5" s="5" t="s">
        <v>2</v>
      </c>
      <c r="H5" s="6"/>
      <c r="I5" s="6"/>
      <c r="J5" s="6"/>
      <c r="K5" s="6"/>
      <c r="L5" s="6"/>
      <c r="M5" s="6"/>
      <c r="N5" s="4"/>
      <c r="O5" s="4"/>
      <c r="P5" s="1"/>
      <c r="Q5" s="1"/>
      <c r="R5" s="4"/>
      <c r="S5" s="4"/>
      <c r="T5" s="4"/>
      <c r="U5" s="4"/>
      <c r="V5" s="4"/>
      <c r="W5" s="4"/>
      <c r="X5" s="4"/>
      <c r="Y5" s="4"/>
      <c r="Z5" s="4"/>
    </row>
    <row r="6">
      <c r="A6" s="1"/>
      <c r="B6" s="1"/>
      <c r="C6" s="1"/>
      <c r="D6" s="1"/>
      <c r="E6" s="7" t="s">
        <v>3</v>
      </c>
      <c r="F6" s="8"/>
      <c r="G6" s="9"/>
      <c r="H6" s="10" t="s">
        <v>4</v>
      </c>
      <c r="I6" s="8"/>
      <c r="J6" s="8"/>
      <c r="K6" s="8"/>
      <c r="L6" s="8"/>
      <c r="M6" s="8"/>
      <c r="N6" s="8"/>
      <c r="O6" s="8"/>
      <c r="P6" s="1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7" t="s">
        <v>5</v>
      </c>
      <c r="F7" s="9"/>
      <c r="G7" s="12"/>
      <c r="H7" s="13" t="s">
        <v>6</v>
      </c>
      <c r="I7" s="14"/>
      <c r="J7" s="14"/>
      <c r="K7" s="15"/>
      <c r="L7" s="16"/>
      <c r="M7" s="17"/>
      <c r="N7" s="18"/>
      <c r="O7" s="19"/>
      <c r="P7" s="20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7" t="s">
        <v>8</v>
      </c>
      <c r="F8" s="8"/>
      <c r="G8" s="9"/>
      <c r="H8" s="10"/>
      <c r="I8" s="8"/>
      <c r="J8" s="8"/>
      <c r="K8" s="9"/>
      <c r="L8" s="21"/>
      <c r="M8" s="12"/>
      <c r="N8" s="22"/>
      <c r="O8" s="10"/>
      <c r="P8" s="11"/>
      <c r="Q8" s="23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7" t="s">
        <v>11</v>
      </c>
      <c r="F9" s="8"/>
      <c r="G9" s="9"/>
      <c r="H9" s="10"/>
      <c r="I9" s="8"/>
      <c r="J9" s="8"/>
      <c r="K9" s="9"/>
      <c r="L9" s="21"/>
      <c r="M9" s="12"/>
      <c r="N9" s="24"/>
      <c r="O9" s="25"/>
      <c r="P9" s="1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7" t="s">
        <v>14</v>
      </c>
      <c r="F10" s="8"/>
      <c r="G10" s="9"/>
      <c r="H10" s="10"/>
      <c r="I10" s="8"/>
      <c r="J10" s="8"/>
      <c r="K10" s="9"/>
      <c r="L10" s="21"/>
      <c r="M10" s="12"/>
      <c r="N10" s="22"/>
      <c r="O10" s="10"/>
      <c r="P10" s="1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7" t="s">
        <v>16</v>
      </c>
      <c r="F11" s="8"/>
      <c r="G11" s="9"/>
      <c r="H11" s="26"/>
      <c r="I11" s="9"/>
      <c r="J11" s="26"/>
      <c r="K11" s="9"/>
      <c r="L11" s="21"/>
      <c r="M11" s="12"/>
      <c r="N11" s="29"/>
      <c r="O11" s="30"/>
      <c r="P11" s="1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7" t="s">
        <v>18</v>
      </c>
      <c r="F12" s="8"/>
      <c r="G12" s="9"/>
      <c r="H12" s="31"/>
      <c r="I12" s="8"/>
      <c r="J12" s="8"/>
      <c r="K12" s="9"/>
      <c r="L12" s="21"/>
      <c r="M12" s="12" t="s">
        <v>19</v>
      </c>
      <c r="N12" s="32"/>
      <c r="O12" s="34"/>
      <c r="P12" s="1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7" t="s">
        <v>20</v>
      </c>
      <c r="F13" s="8"/>
      <c r="G13" s="9"/>
      <c r="H13" s="10"/>
      <c r="I13" s="8"/>
      <c r="J13" s="8"/>
      <c r="K13" s="9"/>
      <c r="L13" s="21"/>
      <c r="M13" s="10"/>
      <c r="N13" s="9"/>
      <c r="O13" s="37"/>
      <c r="P13" s="1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/>
      <c r="B14" s="4"/>
      <c r="C14" s="4"/>
      <c r="D14" s="4"/>
      <c r="E14" s="38"/>
      <c r="F14" s="39"/>
      <c r="G14" s="4"/>
      <c r="H14" s="4"/>
      <c r="I14" s="40"/>
      <c r="L14" s="3"/>
      <c r="M14" s="1"/>
      <c r="N14" s="1"/>
      <c r="O14" s="1"/>
      <c r="P14" s="38"/>
      <c r="Q14" s="38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1" t="s">
        <v>22</v>
      </c>
      <c r="F15" s="42"/>
      <c r="G15" s="40"/>
      <c r="H15" s="43" t="s">
        <v>24</v>
      </c>
      <c r="M15" s="44"/>
      <c r="N15" s="45"/>
      <c r="O15" s="45"/>
      <c r="P15" s="46"/>
      <c r="Q15" s="38"/>
      <c r="R15" s="4"/>
      <c r="S15" s="4"/>
      <c r="T15" s="4"/>
      <c r="U15" s="4"/>
      <c r="V15" s="4"/>
      <c r="W15" s="4"/>
      <c r="X15" s="4"/>
      <c r="Y15" s="4"/>
      <c r="Z15" s="4"/>
    </row>
    <row r="16">
      <c r="A16" s="1"/>
      <c r="B16" s="1"/>
      <c r="C16" s="1"/>
      <c r="D16" s="1"/>
      <c r="E16" s="1"/>
      <c r="F16" s="2"/>
      <c r="G16" s="1"/>
      <c r="H16" s="1"/>
      <c r="I16" s="1"/>
      <c r="J16" s="3"/>
      <c r="K16" s="1"/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"/>
      <c r="D17" s="1"/>
      <c r="E17" s="48" t="s">
        <v>26</v>
      </c>
      <c r="F17" s="48" t="s">
        <v>27</v>
      </c>
      <c r="G17" s="50" t="s">
        <v>28</v>
      </c>
      <c r="H17" s="51"/>
      <c r="I17" s="52" t="s">
        <v>29</v>
      </c>
      <c r="J17" s="54"/>
      <c r="K17" s="55"/>
      <c r="L17" s="56"/>
      <c r="M17" s="48" t="s">
        <v>30</v>
      </c>
      <c r="N17" s="57" t="s">
        <v>31</v>
      </c>
      <c r="O17" s="57" t="s">
        <v>32</v>
      </c>
      <c r="P17" s="48" t="s">
        <v>34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59"/>
      <c r="F18" s="59"/>
      <c r="G18" s="60"/>
      <c r="H18" s="61"/>
      <c r="I18" s="62"/>
      <c r="J18" s="63" t="s">
        <v>35</v>
      </c>
      <c r="K18" s="64"/>
      <c r="L18" s="65" t="s">
        <v>36</v>
      </c>
      <c r="M18" s="59"/>
      <c r="N18" s="59"/>
      <c r="O18" s="59"/>
      <c r="P18" s="59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8">
        <v>0.02</v>
      </c>
      <c r="C19" s="70">
        <v>0.48</v>
      </c>
      <c r="D19" s="74" t="str">
        <f>SUM(#REF!*C19*#REF!)</f>
        <v>#REF!</v>
      </c>
      <c r="E19" s="75"/>
      <c r="F19" s="76" t="s">
        <v>42</v>
      </c>
      <c r="G19" s="79" t="s">
        <v>43</v>
      </c>
      <c r="H19" s="81">
        <v>3503.0</v>
      </c>
      <c r="I19" s="82" t="s">
        <v>45</v>
      </c>
      <c r="J19" s="70">
        <f t="shared" ref="J19:J50" si="1">SUM(C19+B19)</f>
        <v>0.5</v>
      </c>
      <c r="K19" s="68" t="s">
        <v>47</v>
      </c>
      <c r="L19" s="85">
        <v>0.06</v>
      </c>
      <c r="M19" s="87">
        <f t="shared" ref="M19:M50" si="2">SUM(J19*L19)</f>
        <v>0.03</v>
      </c>
      <c r="N19" s="88">
        <v>865.0</v>
      </c>
      <c r="O19" s="90">
        <f t="shared" ref="O19:O50" si="3">SUM(M19*N19)</f>
        <v>25.95</v>
      </c>
      <c r="P19" s="91">
        <f t="shared" ref="P19:P50" si="4">SUM(E19*O19)</f>
        <v>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8">
        <v>0.02</v>
      </c>
      <c r="C20" s="70">
        <v>0.465</v>
      </c>
      <c r="D20" s="74"/>
      <c r="E20" s="75"/>
      <c r="F20" s="76" t="s">
        <v>49</v>
      </c>
      <c r="G20" s="79" t="s">
        <v>43</v>
      </c>
      <c r="H20" s="81">
        <v>3503.0</v>
      </c>
      <c r="I20" s="82" t="s">
        <v>45</v>
      </c>
      <c r="J20" s="70">
        <f t="shared" si="1"/>
        <v>0.485</v>
      </c>
      <c r="K20" s="68" t="s">
        <v>47</v>
      </c>
      <c r="L20" s="85">
        <v>0.06</v>
      </c>
      <c r="M20" s="87">
        <f t="shared" si="2"/>
        <v>0.0291</v>
      </c>
      <c r="N20" s="88">
        <v>865.0</v>
      </c>
      <c r="O20" s="90">
        <f t="shared" si="3"/>
        <v>25.1715</v>
      </c>
      <c r="P20" s="91">
        <f t="shared" si="4"/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68">
        <v>0.02</v>
      </c>
      <c r="C21" s="70">
        <v>0.5</v>
      </c>
      <c r="D21" s="74"/>
      <c r="E21" s="75"/>
      <c r="F21" s="76" t="s">
        <v>50</v>
      </c>
      <c r="G21" s="79" t="s">
        <v>43</v>
      </c>
      <c r="H21" s="81">
        <v>3503.0</v>
      </c>
      <c r="I21" s="82" t="s">
        <v>45</v>
      </c>
      <c r="J21" s="70">
        <f t="shared" si="1"/>
        <v>0.52</v>
      </c>
      <c r="K21" s="68" t="s">
        <v>47</v>
      </c>
      <c r="L21" s="85">
        <v>0.027</v>
      </c>
      <c r="M21" s="87">
        <f t="shared" si="2"/>
        <v>0.01404</v>
      </c>
      <c r="N21" s="88">
        <v>865.0</v>
      </c>
      <c r="O21" s="90">
        <f t="shared" si="3"/>
        <v>12.1446</v>
      </c>
      <c r="P21" s="91">
        <f t="shared" si="4"/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68">
        <v>0.02</v>
      </c>
      <c r="C22" s="70">
        <v>0.46</v>
      </c>
      <c r="D22" s="74" t="str">
        <f t="shared" ref="D22:D26" si="5">SUM(#REF!*C22*#REF!)</f>
        <v>#REF!</v>
      </c>
      <c r="E22" s="75"/>
      <c r="F22" s="76" t="s">
        <v>52</v>
      </c>
      <c r="G22" s="79" t="s">
        <v>43</v>
      </c>
      <c r="H22" s="81">
        <v>3503.0</v>
      </c>
      <c r="I22" s="82" t="s">
        <v>45</v>
      </c>
      <c r="J22" s="70">
        <f t="shared" si="1"/>
        <v>0.48</v>
      </c>
      <c r="K22" s="68" t="s">
        <v>47</v>
      </c>
      <c r="L22" s="85">
        <v>0.06</v>
      </c>
      <c r="M22" s="87">
        <f t="shared" si="2"/>
        <v>0.0288</v>
      </c>
      <c r="N22" s="88">
        <v>865.0</v>
      </c>
      <c r="O22" s="90">
        <f t="shared" si="3"/>
        <v>24.912</v>
      </c>
      <c r="P22" s="91">
        <f t="shared" si="4"/>
        <v>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68">
        <v>0.02</v>
      </c>
      <c r="C23" s="70">
        <v>0.4</v>
      </c>
      <c r="D23" s="74" t="str">
        <f t="shared" si="5"/>
        <v>#REF!</v>
      </c>
      <c r="E23" s="80"/>
      <c r="F23" s="76" t="s">
        <v>53</v>
      </c>
      <c r="G23" s="79" t="s">
        <v>43</v>
      </c>
      <c r="H23" s="81">
        <v>3503.0</v>
      </c>
      <c r="I23" s="82" t="s">
        <v>45</v>
      </c>
      <c r="J23" s="70">
        <f t="shared" si="1"/>
        <v>0.42</v>
      </c>
      <c r="K23" s="68" t="s">
        <v>47</v>
      </c>
      <c r="L23" s="85">
        <v>0.01</v>
      </c>
      <c r="M23" s="87">
        <f t="shared" si="2"/>
        <v>0.0042</v>
      </c>
      <c r="N23" s="88">
        <v>865.0</v>
      </c>
      <c r="O23" s="90">
        <f t="shared" si="3"/>
        <v>3.633</v>
      </c>
      <c r="P23" s="91">
        <f t="shared" si="4"/>
        <v>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68">
        <v>0.02</v>
      </c>
      <c r="C24" s="70">
        <v>0.46</v>
      </c>
      <c r="D24" s="74" t="str">
        <f t="shared" si="5"/>
        <v>#REF!</v>
      </c>
      <c r="E24" s="80"/>
      <c r="F24" s="76" t="s">
        <v>55</v>
      </c>
      <c r="G24" s="79" t="s">
        <v>43</v>
      </c>
      <c r="H24" s="81">
        <v>3503.0</v>
      </c>
      <c r="I24" s="82" t="s">
        <v>45</v>
      </c>
      <c r="J24" s="70">
        <f t="shared" si="1"/>
        <v>0.48</v>
      </c>
      <c r="K24" s="68" t="s">
        <v>47</v>
      </c>
      <c r="L24" s="85">
        <v>0.05</v>
      </c>
      <c r="M24" s="87">
        <f t="shared" si="2"/>
        <v>0.024</v>
      </c>
      <c r="N24" s="88">
        <v>865.0</v>
      </c>
      <c r="O24" s="90">
        <f t="shared" si="3"/>
        <v>20.76</v>
      </c>
      <c r="P24" s="91">
        <f t="shared" si="4"/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68">
        <v>0.02</v>
      </c>
      <c r="C25" s="70">
        <v>0.495</v>
      </c>
      <c r="D25" s="74" t="str">
        <f t="shared" si="5"/>
        <v>#REF!</v>
      </c>
      <c r="E25" s="80"/>
      <c r="F25" s="76" t="s">
        <v>57</v>
      </c>
      <c r="G25" s="79" t="s">
        <v>43</v>
      </c>
      <c r="H25" s="81">
        <v>3503.0</v>
      </c>
      <c r="I25" s="82" t="s">
        <v>45</v>
      </c>
      <c r="J25" s="70">
        <f t="shared" si="1"/>
        <v>0.515</v>
      </c>
      <c r="K25" s="68" t="s">
        <v>47</v>
      </c>
      <c r="L25" s="85">
        <v>0.05</v>
      </c>
      <c r="M25" s="87">
        <f t="shared" si="2"/>
        <v>0.02575</v>
      </c>
      <c r="N25" s="88">
        <v>865.0</v>
      </c>
      <c r="O25" s="90">
        <f t="shared" si="3"/>
        <v>22.27375</v>
      </c>
      <c r="P25" s="91">
        <f t="shared" si="4"/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68">
        <v>0.02</v>
      </c>
      <c r="C26" s="70">
        <v>0.485</v>
      </c>
      <c r="D26" s="74" t="str">
        <f t="shared" si="5"/>
        <v>#REF!</v>
      </c>
      <c r="E26" s="80"/>
      <c r="F26" s="76" t="s">
        <v>59</v>
      </c>
      <c r="G26" s="79" t="s">
        <v>43</v>
      </c>
      <c r="H26" s="81">
        <v>3503.0</v>
      </c>
      <c r="I26" s="82" t="s">
        <v>45</v>
      </c>
      <c r="J26" s="70">
        <f t="shared" si="1"/>
        <v>0.505</v>
      </c>
      <c r="K26" s="68" t="s">
        <v>47</v>
      </c>
      <c r="L26" s="85">
        <v>0.5</v>
      </c>
      <c r="M26" s="87">
        <f t="shared" si="2"/>
        <v>0.2525</v>
      </c>
      <c r="N26" s="88">
        <v>865.0</v>
      </c>
      <c r="O26" s="90">
        <f t="shared" si="3"/>
        <v>218.4125</v>
      </c>
      <c r="P26" s="91">
        <f t="shared" si="4"/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68">
        <v>0.02</v>
      </c>
      <c r="C27" s="70">
        <v>0.175</v>
      </c>
      <c r="D27" s="74"/>
      <c r="E27" s="80"/>
      <c r="F27" s="76" t="s">
        <v>61</v>
      </c>
      <c r="G27" s="79" t="s">
        <v>43</v>
      </c>
      <c r="H27" s="81">
        <v>3503.0</v>
      </c>
      <c r="I27" s="82" t="s">
        <v>45</v>
      </c>
      <c r="J27" s="70">
        <f t="shared" si="1"/>
        <v>0.195</v>
      </c>
      <c r="K27" s="68" t="s">
        <v>47</v>
      </c>
      <c r="L27" s="85">
        <v>0.06</v>
      </c>
      <c r="M27" s="87">
        <f t="shared" si="2"/>
        <v>0.0117</v>
      </c>
      <c r="N27" s="88">
        <v>865.0</v>
      </c>
      <c r="O27" s="90">
        <f t="shared" si="3"/>
        <v>10.1205</v>
      </c>
      <c r="P27" s="91">
        <f t="shared" si="4"/>
        <v>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68">
        <v>0.02</v>
      </c>
      <c r="C28" s="70">
        <v>0.53</v>
      </c>
      <c r="D28" s="74" t="str">
        <f t="shared" ref="D28:D30" si="6">SUM(#REF!*C28*#REF!)</f>
        <v>#REF!</v>
      </c>
      <c r="E28" s="80"/>
      <c r="F28" s="76" t="s">
        <v>65</v>
      </c>
      <c r="G28" s="79" t="s">
        <v>43</v>
      </c>
      <c r="H28" s="81">
        <v>3503.0</v>
      </c>
      <c r="I28" s="82" t="s">
        <v>45</v>
      </c>
      <c r="J28" s="70">
        <f t="shared" si="1"/>
        <v>0.55</v>
      </c>
      <c r="K28" s="68" t="s">
        <v>47</v>
      </c>
      <c r="L28" s="85">
        <v>0.06</v>
      </c>
      <c r="M28" s="87">
        <f t="shared" si="2"/>
        <v>0.033</v>
      </c>
      <c r="N28" s="88">
        <v>865.0</v>
      </c>
      <c r="O28" s="90">
        <f t="shared" si="3"/>
        <v>28.545</v>
      </c>
      <c r="P28" s="91">
        <f t="shared" si="4"/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68">
        <v>0.02</v>
      </c>
      <c r="C29" s="85">
        <v>0.49</v>
      </c>
      <c r="D29" s="74" t="str">
        <f t="shared" si="6"/>
        <v>#REF!</v>
      </c>
      <c r="E29" s="80"/>
      <c r="F29" s="76" t="s">
        <v>68</v>
      </c>
      <c r="G29" s="79" t="s">
        <v>43</v>
      </c>
      <c r="H29" s="81">
        <v>3503.0</v>
      </c>
      <c r="I29" s="82" t="s">
        <v>45</v>
      </c>
      <c r="J29" s="70">
        <f t="shared" si="1"/>
        <v>0.51</v>
      </c>
      <c r="K29" s="68" t="s">
        <v>47</v>
      </c>
      <c r="L29" s="85">
        <v>0.07</v>
      </c>
      <c r="M29" s="87">
        <f t="shared" si="2"/>
        <v>0.0357</v>
      </c>
      <c r="N29" s="88">
        <v>865.0</v>
      </c>
      <c r="O29" s="90">
        <f t="shared" si="3"/>
        <v>30.8805</v>
      </c>
      <c r="P29" s="91">
        <f t="shared" si="4"/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68">
        <v>0.02</v>
      </c>
      <c r="C30" s="70">
        <v>0.51</v>
      </c>
      <c r="D30" s="74" t="str">
        <f t="shared" si="6"/>
        <v>#REF!</v>
      </c>
      <c r="E30" s="80"/>
      <c r="F30" s="76" t="s">
        <v>69</v>
      </c>
      <c r="G30" s="79" t="s">
        <v>43</v>
      </c>
      <c r="H30" s="81">
        <v>3503.0</v>
      </c>
      <c r="I30" s="82" t="s">
        <v>45</v>
      </c>
      <c r="J30" s="70">
        <f t="shared" si="1"/>
        <v>0.53</v>
      </c>
      <c r="K30" s="68" t="s">
        <v>47</v>
      </c>
      <c r="L30" s="85">
        <v>0.06</v>
      </c>
      <c r="M30" s="87">
        <f t="shared" si="2"/>
        <v>0.0318</v>
      </c>
      <c r="N30" s="88">
        <v>865.0</v>
      </c>
      <c r="O30" s="90">
        <f t="shared" si="3"/>
        <v>27.507</v>
      </c>
      <c r="P30" s="91">
        <f t="shared" si="4"/>
        <v>0</v>
      </c>
      <c r="Q30" s="23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68">
        <v>0.02</v>
      </c>
      <c r="C31" s="70">
        <v>0.43</v>
      </c>
      <c r="D31" s="74"/>
      <c r="E31" s="80"/>
      <c r="F31" s="76" t="s">
        <v>72</v>
      </c>
      <c r="G31" s="79" t="s">
        <v>43</v>
      </c>
      <c r="H31" s="81">
        <v>3503.0</v>
      </c>
      <c r="I31" s="82" t="s">
        <v>45</v>
      </c>
      <c r="J31" s="70">
        <f t="shared" si="1"/>
        <v>0.45</v>
      </c>
      <c r="K31" s="68" t="s">
        <v>47</v>
      </c>
      <c r="L31" s="85">
        <v>0.05</v>
      </c>
      <c r="M31" s="87">
        <f t="shared" si="2"/>
        <v>0.0225</v>
      </c>
      <c r="N31" s="88">
        <v>865.0</v>
      </c>
      <c r="O31" s="90">
        <f t="shared" si="3"/>
        <v>19.4625</v>
      </c>
      <c r="P31" s="91">
        <f t="shared" si="4"/>
        <v>0</v>
      </c>
      <c r="Q31" s="23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68">
        <v>0.02</v>
      </c>
      <c r="C32" s="70">
        <v>0.45</v>
      </c>
      <c r="D32" s="74" t="str">
        <f t="shared" ref="D32:D50" si="7">SUM(#REF!*C32*#REF!)</f>
        <v>#REF!</v>
      </c>
      <c r="E32" s="80"/>
      <c r="F32" s="76" t="s">
        <v>74</v>
      </c>
      <c r="G32" s="79" t="s">
        <v>43</v>
      </c>
      <c r="H32" s="81">
        <v>3503.0</v>
      </c>
      <c r="I32" s="82" t="s">
        <v>45</v>
      </c>
      <c r="J32" s="70">
        <f t="shared" si="1"/>
        <v>0.47</v>
      </c>
      <c r="K32" s="68" t="s">
        <v>47</v>
      </c>
      <c r="L32" s="85">
        <v>0.06</v>
      </c>
      <c r="M32" s="87">
        <f t="shared" si="2"/>
        <v>0.0282</v>
      </c>
      <c r="N32" s="88">
        <v>865.0</v>
      </c>
      <c r="O32" s="90">
        <f t="shared" si="3"/>
        <v>24.393</v>
      </c>
      <c r="P32" s="91">
        <f t="shared" si="4"/>
        <v>0</v>
      </c>
      <c r="Q32" s="23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68">
        <v>0.02</v>
      </c>
      <c r="C33" s="70">
        <v>0.45</v>
      </c>
      <c r="D33" s="74" t="str">
        <f t="shared" si="7"/>
        <v>#REF!</v>
      </c>
      <c r="E33" s="80"/>
      <c r="F33" s="76" t="s">
        <v>75</v>
      </c>
      <c r="G33" s="79" t="s">
        <v>43</v>
      </c>
      <c r="H33" s="81">
        <v>3503.0</v>
      </c>
      <c r="I33" s="82" t="s">
        <v>45</v>
      </c>
      <c r="J33" s="70">
        <f t="shared" si="1"/>
        <v>0.47</v>
      </c>
      <c r="K33" s="68" t="s">
        <v>47</v>
      </c>
      <c r="L33" s="85">
        <v>0.06</v>
      </c>
      <c r="M33" s="87">
        <f t="shared" si="2"/>
        <v>0.0282</v>
      </c>
      <c r="N33" s="88">
        <v>865.0</v>
      </c>
      <c r="O33" s="90">
        <f t="shared" si="3"/>
        <v>24.393</v>
      </c>
      <c r="P33" s="91">
        <f t="shared" si="4"/>
        <v>0</v>
      </c>
      <c r="Q33" s="23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68">
        <v>0.02</v>
      </c>
      <c r="C34" s="70">
        <v>0.205</v>
      </c>
      <c r="D34" s="74" t="str">
        <f t="shared" si="7"/>
        <v>#REF!</v>
      </c>
      <c r="E34" s="80"/>
      <c r="F34" s="76" t="s">
        <v>77</v>
      </c>
      <c r="G34" s="79" t="s">
        <v>43</v>
      </c>
      <c r="H34" s="81">
        <v>3503.0</v>
      </c>
      <c r="I34" s="82" t="s">
        <v>45</v>
      </c>
      <c r="J34" s="70">
        <f t="shared" si="1"/>
        <v>0.225</v>
      </c>
      <c r="K34" s="68" t="s">
        <v>47</v>
      </c>
      <c r="L34" s="85">
        <v>0.06</v>
      </c>
      <c r="M34" s="87">
        <f t="shared" si="2"/>
        <v>0.0135</v>
      </c>
      <c r="N34" s="88">
        <v>865.0</v>
      </c>
      <c r="O34" s="90">
        <f t="shared" si="3"/>
        <v>11.6775</v>
      </c>
      <c r="P34" s="91">
        <f t="shared" si="4"/>
        <v>0</v>
      </c>
      <c r="Q34" s="23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68">
        <v>0.02</v>
      </c>
      <c r="C35" s="70">
        <v>0.48</v>
      </c>
      <c r="D35" s="74" t="str">
        <f t="shared" si="7"/>
        <v>#REF!</v>
      </c>
      <c r="E35" s="80"/>
      <c r="F35" s="76" t="s">
        <v>79</v>
      </c>
      <c r="G35" s="79" t="s">
        <v>43</v>
      </c>
      <c r="H35" s="81">
        <v>3503.0</v>
      </c>
      <c r="I35" s="82" t="s">
        <v>45</v>
      </c>
      <c r="J35" s="70">
        <f t="shared" si="1"/>
        <v>0.5</v>
      </c>
      <c r="K35" s="68" t="s">
        <v>47</v>
      </c>
      <c r="L35" s="85">
        <v>0.05</v>
      </c>
      <c r="M35" s="87">
        <f t="shared" si="2"/>
        <v>0.025</v>
      </c>
      <c r="N35" s="88">
        <v>865.0</v>
      </c>
      <c r="O35" s="90">
        <f t="shared" si="3"/>
        <v>21.625</v>
      </c>
      <c r="P35" s="91">
        <f t="shared" si="4"/>
        <v>0</v>
      </c>
      <c r="Q35" s="23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68">
        <v>0.02</v>
      </c>
      <c r="C36" s="70">
        <v>0.48</v>
      </c>
      <c r="D36" s="74" t="str">
        <f t="shared" si="7"/>
        <v>#REF!</v>
      </c>
      <c r="E36" s="80"/>
      <c r="F36" s="76" t="s">
        <v>81</v>
      </c>
      <c r="G36" s="79" t="s">
        <v>43</v>
      </c>
      <c r="H36" s="81">
        <v>3503.0</v>
      </c>
      <c r="I36" s="82" t="s">
        <v>45</v>
      </c>
      <c r="J36" s="70">
        <f t="shared" si="1"/>
        <v>0.5</v>
      </c>
      <c r="K36" s="68" t="s">
        <v>47</v>
      </c>
      <c r="L36" s="85">
        <v>0.05</v>
      </c>
      <c r="M36" s="87">
        <f t="shared" si="2"/>
        <v>0.025</v>
      </c>
      <c r="N36" s="88">
        <v>865.0</v>
      </c>
      <c r="O36" s="90">
        <f t="shared" si="3"/>
        <v>21.625</v>
      </c>
      <c r="P36" s="91">
        <f t="shared" si="4"/>
        <v>0</v>
      </c>
      <c r="Q36" s="23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68">
        <v>0.02</v>
      </c>
      <c r="C37" s="70">
        <v>0.46</v>
      </c>
      <c r="D37" s="74" t="str">
        <f t="shared" si="7"/>
        <v>#REF!</v>
      </c>
      <c r="E37" s="75"/>
      <c r="F37" s="76" t="s">
        <v>82</v>
      </c>
      <c r="G37" s="79" t="s">
        <v>43</v>
      </c>
      <c r="H37" s="81">
        <v>3503.0</v>
      </c>
      <c r="I37" s="82" t="s">
        <v>45</v>
      </c>
      <c r="J37" s="70">
        <f t="shared" si="1"/>
        <v>0.48</v>
      </c>
      <c r="K37" s="68" t="s">
        <v>47</v>
      </c>
      <c r="L37" s="85">
        <v>0.06</v>
      </c>
      <c r="M37" s="87">
        <f t="shared" si="2"/>
        <v>0.0288</v>
      </c>
      <c r="N37" s="88">
        <v>865.0</v>
      </c>
      <c r="O37" s="90">
        <f t="shared" si="3"/>
        <v>24.912</v>
      </c>
      <c r="P37" s="91">
        <f t="shared" si="4"/>
        <v>0</v>
      </c>
      <c r="Q37" s="23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68">
        <v>0.02</v>
      </c>
      <c r="C38" s="70">
        <v>0.52</v>
      </c>
      <c r="D38" s="74" t="str">
        <f t="shared" si="7"/>
        <v>#REF!</v>
      </c>
      <c r="E38" s="80"/>
      <c r="F38" s="76" t="s">
        <v>84</v>
      </c>
      <c r="G38" s="79" t="s">
        <v>43</v>
      </c>
      <c r="H38" s="81">
        <v>3503.0</v>
      </c>
      <c r="I38" s="82" t="s">
        <v>45</v>
      </c>
      <c r="J38" s="70">
        <f t="shared" si="1"/>
        <v>0.54</v>
      </c>
      <c r="K38" s="68" t="s">
        <v>47</v>
      </c>
      <c r="L38" s="85">
        <v>0.065</v>
      </c>
      <c r="M38" s="87">
        <f t="shared" si="2"/>
        <v>0.0351</v>
      </c>
      <c r="N38" s="88">
        <v>865.0</v>
      </c>
      <c r="O38" s="90">
        <f t="shared" si="3"/>
        <v>30.3615</v>
      </c>
      <c r="P38" s="91">
        <f t="shared" si="4"/>
        <v>0</v>
      </c>
      <c r="Q38" s="23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68">
        <v>0.02</v>
      </c>
      <c r="C39" s="70">
        <v>0.22</v>
      </c>
      <c r="D39" s="74" t="str">
        <f t="shared" si="7"/>
        <v>#REF!</v>
      </c>
      <c r="E39" s="80"/>
      <c r="F39" s="76" t="s">
        <v>86</v>
      </c>
      <c r="G39" s="79" t="s">
        <v>43</v>
      </c>
      <c r="H39" s="81">
        <v>3503.0</v>
      </c>
      <c r="I39" s="82" t="s">
        <v>45</v>
      </c>
      <c r="J39" s="70">
        <f t="shared" si="1"/>
        <v>0.24</v>
      </c>
      <c r="K39" s="68" t="s">
        <v>47</v>
      </c>
      <c r="L39" s="85">
        <v>0.06</v>
      </c>
      <c r="M39" s="87">
        <f t="shared" si="2"/>
        <v>0.0144</v>
      </c>
      <c r="N39" s="88">
        <v>865.0</v>
      </c>
      <c r="O39" s="90">
        <f t="shared" si="3"/>
        <v>12.456</v>
      </c>
      <c r="P39" s="91">
        <f t="shared" si="4"/>
        <v>0</v>
      </c>
      <c r="Q39" s="23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68">
        <v>0.02</v>
      </c>
      <c r="C40" s="70">
        <v>0.51</v>
      </c>
      <c r="D40" s="74" t="str">
        <f t="shared" si="7"/>
        <v>#REF!</v>
      </c>
      <c r="E40" s="80"/>
      <c r="F40" s="76" t="s">
        <v>88</v>
      </c>
      <c r="G40" s="79" t="s">
        <v>43</v>
      </c>
      <c r="H40" s="81">
        <v>3503.0</v>
      </c>
      <c r="I40" s="82" t="s">
        <v>45</v>
      </c>
      <c r="J40" s="70">
        <f t="shared" si="1"/>
        <v>0.53</v>
      </c>
      <c r="K40" s="68" t="s">
        <v>47</v>
      </c>
      <c r="L40" s="85">
        <v>0.05</v>
      </c>
      <c r="M40" s="87">
        <f t="shared" si="2"/>
        <v>0.0265</v>
      </c>
      <c r="N40" s="88">
        <v>865.0</v>
      </c>
      <c r="O40" s="90">
        <f t="shared" si="3"/>
        <v>22.9225</v>
      </c>
      <c r="P40" s="91">
        <f t="shared" si="4"/>
        <v>0</v>
      </c>
      <c r="Q40" s="23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68">
        <v>0.02</v>
      </c>
      <c r="C41" s="70">
        <v>0.54</v>
      </c>
      <c r="D41" s="74" t="str">
        <f t="shared" si="7"/>
        <v>#REF!</v>
      </c>
      <c r="E41" s="80"/>
      <c r="F41" s="76" t="s">
        <v>90</v>
      </c>
      <c r="G41" s="79" t="s">
        <v>43</v>
      </c>
      <c r="H41" s="81">
        <v>3503.0</v>
      </c>
      <c r="I41" s="82" t="s">
        <v>45</v>
      </c>
      <c r="J41" s="70">
        <f t="shared" si="1"/>
        <v>0.56</v>
      </c>
      <c r="K41" s="68" t="s">
        <v>47</v>
      </c>
      <c r="L41" s="85">
        <v>0.06</v>
      </c>
      <c r="M41" s="87">
        <f t="shared" si="2"/>
        <v>0.0336</v>
      </c>
      <c r="N41" s="88">
        <v>865.0</v>
      </c>
      <c r="O41" s="90">
        <f t="shared" si="3"/>
        <v>29.064</v>
      </c>
      <c r="P41" s="91">
        <f t="shared" si="4"/>
        <v>0</v>
      </c>
      <c r="Q41" s="23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68">
        <v>0.02</v>
      </c>
      <c r="C42" s="70">
        <v>0.22</v>
      </c>
      <c r="D42" s="74" t="str">
        <f t="shared" si="7"/>
        <v>#REF!</v>
      </c>
      <c r="E42" s="80"/>
      <c r="F42" s="76" t="s">
        <v>92</v>
      </c>
      <c r="G42" s="79" t="s">
        <v>43</v>
      </c>
      <c r="H42" s="81">
        <v>3503.0</v>
      </c>
      <c r="I42" s="82" t="s">
        <v>45</v>
      </c>
      <c r="J42" s="70">
        <f t="shared" si="1"/>
        <v>0.24</v>
      </c>
      <c r="K42" s="68" t="s">
        <v>47</v>
      </c>
      <c r="L42" s="85">
        <v>0.06</v>
      </c>
      <c r="M42" s="87">
        <f t="shared" si="2"/>
        <v>0.0144</v>
      </c>
      <c r="N42" s="88">
        <v>865.0</v>
      </c>
      <c r="O42" s="90">
        <f t="shared" si="3"/>
        <v>12.456</v>
      </c>
      <c r="P42" s="91">
        <f t="shared" si="4"/>
        <v>0</v>
      </c>
      <c r="Q42" s="23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68">
        <v>0.02</v>
      </c>
      <c r="C43" s="70">
        <v>0.49</v>
      </c>
      <c r="D43" s="74" t="str">
        <f t="shared" si="7"/>
        <v>#REF!</v>
      </c>
      <c r="E43" s="80"/>
      <c r="F43" s="76" t="s">
        <v>93</v>
      </c>
      <c r="G43" s="79" t="s">
        <v>43</v>
      </c>
      <c r="H43" s="81">
        <v>3503.0</v>
      </c>
      <c r="I43" s="82" t="s">
        <v>45</v>
      </c>
      <c r="J43" s="70">
        <f t="shared" si="1"/>
        <v>0.51</v>
      </c>
      <c r="K43" s="68" t="s">
        <v>47</v>
      </c>
      <c r="L43" s="85">
        <v>0.06</v>
      </c>
      <c r="M43" s="87">
        <f t="shared" si="2"/>
        <v>0.0306</v>
      </c>
      <c r="N43" s="88">
        <v>865.0</v>
      </c>
      <c r="O43" s="90">
        <f t="shared" si="3"/>
        <v>26.469</v>
      </c>
      <c r="P43" s="91">
        <f t="shared" si="4"/>
        <v>0</v>
      </c>
      <c r="Q43" s="23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68">
        <v>0.02</v>
      </c>
      <c r="C44" s="70">
        <v>0.43</v>
      </c>
      <c r="D44" s="74" t="str">
        <f t="shared" si="7"/>
        <v>#REF!</v>
      </c>
      <c r="E44" s="80">
        <v>25.0</v>
      </c>
      <c r="F44" s="76" t="s">
        <v>95</v>
      </c>
      <c r="G44" s="79" t="s">
        <v>43</v>
      </c>
      <c r="H44" s="81">
        <v>3503.0</v>
      </c>
      <c r="I44" s="82" t="s">
        <v>45</v>
      </c>
      <c r="J44" s="70">
        <f t="shared" si="1"/>
        <v>0.45</v>
      </c>
      <c r="K44" s="68" t="s">
        <v>47</v>
      </c>
      <c r="L44" s="85">
        <v>0.01</v>
      </c>
      <c r="M44" s="87">
        <f t="shared" si="2"/>
        <v>0.0045</v>
      </c>
      <c r="N44" s="88">
        <v>865.0</v>
      </c>
      <c r="O44" s="90">
        <f t="shared" si="3"/>
        <v>3.8925</v>
      </c>
      <c r="P44" s="91">
        <f t="shared" si="4"/>
        <v>97.3125</v>
      </c>
      <c r="Q44" s="23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68">
        <v>0.02</v>
      </c>
      <c r="C45" s="70">
        <v>0.43</v>
      </c>
      <c r="D45" s="74" t="str">
        <f t="shared" si="7"/>
        <v>#REF!</v>
      </c>
      <c r="E45" s="80">
        <v>15.0</v>
      </c>
      <c r="F45" s="76" t="s">
        <v>97</v>
      </c>
      <c r="G45" s="79" t="s">
        <v>43</v>
      </c>
      <c r="H45" s="81">
        <v>3503.0</v>
      </c>
      <c r="I45" s="82" t="s">
        <v>45</v>
      </c>
      <c r="J45" s="70">
        <f t="shared" si="1"/>
        <v>0.45</v>
      </c>
      <c r="K45" s="68" t="s">
        <v>47</v>
      </c>
      <c r="L45" s="85">
        <v>0.05</v>
      </c>
      <c r="M45" s="87">
        <f t="shared" si="2"/>
        <v>0.0225</v>
      </c>
      <c r="N45" s="88">
        <v>865.0</v>
      </c>
      <c r="O45" s="90">
        <f t="shared" si="3"/>
        <v>19.4625</v>
      </c>
      <c r="P45" s="91">
        <f t="shared" si="4"/>
        <v>291.9375</v>
      </c>
      <c r="Q45" s="23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68">
        <v>0.02</v>
      </c>
      <c r="C46" s="70">
        <v>0.245</v>
      </c>
      <c r="D46" s="74" t="str">
        <f t="shared" si="7"/>
        <v>#REF!</v>
      </c>
      <c r="E46" s="80"/>
      <c r="F46" s="76" t="s">
        <v>99</v>
      </c>
      <c r="G46" s="79" t="s">
        <v>43</v>
      </c>
      <c r="H46" s="81">
        <v>3503.0</v>
      </c>
      <c r="I46" s="82" t="s">
        <v>45</v>
      </c>
      <c r="J46" s="70">
        <f t="shared" si="1"/>
        <v>0.265</v>
      </c>
      <c r="K46" s="68" t="s">
        <v>47</v>
      </c>
      <c r="L46" s="85">
        <v>0.06</v>
      </c>
      <c r="M46" s="87">
        <f t="shared" si="2"/>
        <v>0.0159</v>
      </c>
      <c r="N46" s="88">
        <v>865.0</v>
      </c>
      <c r="O46" s="90">
        <f t="shared" si="3"/>
        <v>13.7535</v>
      </c>
      <c r="P46" s="91">
        <f t="shared" si="4"/>
        <v>0</v>
      </c>
      <c r="Q46" s="23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68">
        <v>0.02</v>
      </c>
      <c r="C47" s="77">
        <v>0.48</v>
      </c>
      <c r="D47" s="74" t="str">
        <f t="shared" si="7"/>
        <v>#REF!</v>
      </c>
      <c r="E47" s="80"/>
      <c r="F47" s="76" t="s">
        <v>101</v>
      </c>
      <c r="G47" s="79" t="s">
        <v>43</v>
      </c>
      <c r="H47" s="81">
        <v>3503.0</v>
      </c>
      <c r="I47" s="82" t="s">
        <v>45</v>
      </c>
      <c r="J47" s="70">
        <f t="shared" si="1"/>
        <v>0.5</v>
      </c>
      <c r="K47" s="68" t="s">
        <v>47</v>
      </c>
      <c r="L47" s="85">
        <v>0.05</v>
      </c>
      <c r="M47" s="87">
        <f t="shared" si="2"/>
        <v>0.025</v>
      </c>
      <c r="N47" s="88">
        <v>865.0</v>
      </c>
      <c r="O47" s="90">
        <f t="shared" si="3"/>
        <v>21.625</v>
      </c>
      <c r="P47" s="91">
        <f t="shared" si="4"/>
        <v>0</v>
      </c>
      <c r="Q47" s="23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68">
        <v>0.02</v>
      </c>
      <c r="C48" s="77">
        <v>0.43</v>
      </c>
      <c r="D48" s="74" t="str">
        <f t="shared" si="7"/>
        <v>#REF!</v>
      </c>
      <c r="E48" s="80"/>
      <c r="F48" s="112" t="s">
        <v>103</v>
      </c>
      <c r="G48" s="79" t="s">
        <v>43</v>
      </c>
      <c r="H48" s="81">
        <v>3503.0</v>
      </c>
      <c r="I48" s="82" t="s">
        <v>45</v>
      </c>
      <c r="J48" s="70">
        <f t="shared" si="1"/>
        <v>0.45</v>
      </c>
      <c r="K48" s="68" t="s">
        <v>47</v>
      </c>
      <c r="L48" s="85">
        <v>0.1</v>
      </c>
      <c r="M48" s="87">
        <f t="shared" si="2"/>
        <v>0.045</v>
      </c>
      <c r="N48" s="88">
        <v>865.0</v>
      </c>
      <c r="O48" s="90">
        <f t="shared" si="3"/>
        <v>38.925</v>
      </c>
      <c r="P48" s="91">
        <f t="shared" si="4"/>
        <v>0</v>
      </c>
      <c r="Q48" s="23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68">
        <v>0.02</v>
      </c>
      <c r="C49" s="77">
        <v>0.48</v>
      </c>
      <c r="D49" s="74" t="str">
        <f t="shared" si="7"/>
        <v>#REF!</v>
      </c>
      <c r="E49" s="80"/>
      <c r="F49" s="112" t="s">
        <v>106</v>
      </c>
      <c r="G49" s="79" t="s">
        <v>43</v>
      </c>
      <c r="H49" s="81">
        <v>3503.0</v>
      </c>
      <c r="I49" s="82" t="s">
        <v>45</v>
      </c>
      <c r="J49" s="70">
        <f t="shared" si="1"/>
        <v>0.5</v>
      </c>
      <c r="K49" s="68" t="s">
        <v>47</v>
      </c>
      <c r="L49" s="85">
        <v>0.05</v>
      </c>
      <c r="M49" s="87">
        <f t="shared" si="2"/>
        <v>0.025</v>
      </c>
      <c r="N49" s="88">
        <v>865.0</v>
      </c>
      <c r="O49" s="90">
        <f t="shared" si="3"/>
        <v>21.625</v>
      </c>
      <c r="P49" s="91">
        <f t="shared" si="4"/>
        <v>0</v>
      </c>
      <c r="Q49" s="23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68">
        <v>0.02</v>
      </c>
      <c r="C50" s="77">
        <v>0.48</v>
      </c>
      <c r="D50" s="74" t="str">
        <f t="shared" si="7"/>
        <v>#REF!</v>
      </c>
      <c r="E50" s="111"/>
      <c r="F50" s="112" t="s">
        <v>108</v>
      </c>
      <c r="G50" s="79" t="s">
        <v>43</v>
      </c>
      <c r="H50" s="81">
        <v>3503.0</v>
      </c>
      <c r="I50" s="82" t="s">
        <v>45</v>
      </c>
      <c r="J50" s="70">
        <f t="shared" si="1"/>
        <v>0.5</v>
      </c>
      <c r="K50" s="68" t="s">
        <v>47</v>
      </c>
      <c r="L50" s="85">
        <v>0.05</v>
      </c>
      <c r="M50" s="87">
        <f t="shared" si="2"/>
        <v>0.025</v>
      </c>
      <c r="N50" s="88">
        <v>865.0</v>
      </c>
      <c r="O50" s="90">
        <f t="shared" si="3"/>
        <v>21.625</v>
      </c>
      <c r="P50" s="91">
        <f t="shared" si="4"/>
        <v>0</v>
      </c>
      <c r="Q50" s="23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"/>
      <c r="C51" s="108"/>
      <c r="D51" s="74"/>
      <c r="E51" s="111"/>
      <c r="F51" s="112"/>
      <c r="G51" s="79"/>
      <c r="H51" s="81"/>
      <c r="I51" s="82"/>
      <c r="J51" s="130"/>
      <c r="K51" s="110"/>
      <c r="L51" s="85"/>
      <c r="M51" s="87"/>
      <c r="N51" s="88"/>
      <c r="O51" s="88"/>
      <c r="P51" s="88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.5" customHeight="1">
      <c r="A52" s="1"/>
      <c r="B52" s="1"/>
      <c r="C52" s="1"/>
      <c r="D52" s="1"/>
      <c r="E52" s="1"/>
      <c r="F52" s="2"/>
      <c r="G52" s="1"/>
      <c r="H52" s="1"/>
      <c r="I52" s="1"/>
      <c r="J52" s="3"/>
      <c r="K52" s="1"/>
      <c r="L52" s="3"/>
      <c r="M52" s="3"/>
      <c r="N52" s="1"/>
      <c r="O52" s="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"/>
      <c r="C53" s="1"/>
      <c r="D53" s="1"/>
      <c r="E53" s="1"/>
      <c r="F53" s="2"/>
      <c r="G53" s="131"/>
      <c r="H53" s="1"/>
      <c r="I53" s="1"/>
      <c r="J53" s="114" t="s">
        <v>58</v>
      </c>
      <c r="K53" s="6"/>
      <c r="L53" s="6"/>
      <c r="M53" s="115">
        <f>SUM(M19:M51)</f>
        <v>1.00929</v>
      </c>
      <c r="N53" s="1"/>
      <c r="O53" s="115"/>
      <c r="P53" s="116">
        <f>SUM(P22:P47)</f>
        <v>389.25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5" t="s">
        <v>62</v>
      </c>
      <c r="F54" s="6"/>
      <c r="G54" s="6"/>
      <c r="H54" s="6"/>
      <c r="I54" s="1" t="s">
        <v>63</v>
      </c>
      <c r="J54" s="117"/>
      <c r="K54" s="8"/>
      <c r="L54" s="8"/>
      <c r="M54" s="8"/>
      <c r="N54" s="8"/>
      <c r="O54" s="8"/>
      <c r="P54" s="1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79" t="s">
        <v>66</v>
      </c>
      <c r="F55" s="8"/>
      <c r="G55" s="8"/>
      <c r="H55" s="11"/>
      <c r="I55" s="1"/>
      <c r="J55" s="117"/>
      <c r="K55" s="8"/>
      <c r="L55" s="8"/>
      <c r="M55" s="8"/>
      <c r="N55" s="8"/>
      <c r="O55" s="8"/>
      <c r="P55" s="1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5" t="s">
        <v>67</v>
      </c>
      <c r="F56" s="6"/>
      <c r="G56" s="6"/>
      <c r="H56" s="6"/>
      <c r="I56" s="1"/>
      <c r="J56" s="117"/>
      <c r="K56" s="8"/>
      <c r="L56" s="8"/>
      <c r="M56" s="8"/>
      <c r="N56" s="8"/>
      <c r="O56" s="8"/>
      <c r="P56" s="1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19" t="s">
        <v>70</v>
      </c>
      <c r="F57" s="120"/>
      <c r="G57" s="120"/>
      <c r="H57" s="120"/>
      <c r="I57" s="1"/>
      <c r="J57" s="117"/>
      <c r="K57" s="8"/>
      <c r="L57" s="8"/>
      <c r="M57" s="8"/>
      <c r="N57" s="8"/>
      <c r="O57" s="8"/>
      <c r="P57" s="1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2"/>
      <c r="G58" s="1"/>
      <c r="H58" s="1"/>
      <c r="I58" s="1"/>
      <c r="J58" s="3"/>
      <c r="K58" s="1"/>
      <c r="L58" s="3"/>
      <c r="M58" s="1"/>
      <c r="N58" s="1"/>
      <c r="O58" s="1"/>
      <c r="P58" s="1"/>
      <c r="Q58" s="1"/>
      <c r="R58" s="1"/>
      <c r="S58" s="1" t="str">
        <f>[1]Planilha1!A18</f>
        <v>#ERROR!</v>
      </c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2"/>
      <c r="G59" s="1"/>
      <c r="H59" s="1"/>
      <c r="I59" s="1"/>
      <c r="J59" s="3"/>
      <c r="K59" s="1"/>
      <c r="L59" s="3"/>
      <c r="M59" s="1"/>
      <c r="N59" s="1"/>
      <c r="O59" s="1"/>
      <c r="P59" s="1"/>
      <c r="Q59" s="1"/>
      <c r="R59" s="1"/>
      <c r="S59" s="1" t="str">
        <f>[1]Planilha1!A19</f>
        <v>#ERROR!</v>
      </c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2"/>
      <c r="G60" s="1"/>
      <c r="H60" s="1"/>
      <c r="I60" s="1"/>
      <c r="J60" s="3"/>
      <c r="K60" s="1"/>
      <c r="L60" s="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2"/>
      <c r="G61" s="1"/>
      <c r="H61" s="1"/>
      <c r="I61" s="1"/>
      <c r="J61" s="3"/>
      <c r="K61" s="1"/>
      <c r="L61" s="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2"/>
      <c r="G62" s="1"/>
      <c r="H62" s="1"/>
      <c r="I62" s="1"/>
      <c r="J62" s="3"/>
      <c r="K62" s="1"/>
      <c r="L62" s="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2"/>
      <c r="G63" s="1"/>
      <c r="H63" s="1"/>
      <c r="I63" s="1"/>
      <c r="J63" s="3"/>
      <c r="K63" s="1"/>
      <c r="L63" s="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2"/>
      <c r="G64" s="1"/>
      <c r="H64" s="1"/>
      <c r="I64" s="1"/>
      <c r="J64" s="3"/>
      <c r="K64" s="1"/>
      <c r="L64" s="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2"/>
      <c r="G65" s="1"/>
      <c r="H65" s="1"/>
      <c r="I65" s="1"/>
      <c r="J65" s="3"/>
      <c r="K65" s="1"/>
      <c r="L65" s="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2"/>
      <c r="G66" s="1"/>
      <c r="H66" s="1"/>
      <c r="I66" s="1"/>
      <c r="J66" s="3"/>
      <c r="K66" s="1"/>
      <c r="L66" s="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2"/>
      <c r="G67" s="1"/>
      <c r="H67" s="1"/>
      <c r="I67" s="1"/>
      <c r="J67" s="3"/>
      <c r="K67" s="1"/>
      <c r="L67" s="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2"/>
      <c r="G68" s="1"/>
      <c r="H68" s="1"/>
      <c r="I68" s="1"/>
      <c r="J68" s="3"/>
      <c r="K68" s="1"/>
      <c r="L68" s="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2"/>
      <c r="G69" s="1"/>
      <c r="H69" s="1"/>
      <c r="I69" s="1"/>
      <c r="J69" s="3"/>
      <c r="K69" s="1"/>
      <c r="L69" s="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2"/>
      <c r="G70" s="1"/>
      <c r="H70" s="1"/>
      <c r="I70" s="1"/>
      <c r="J70" s="3"/>
      <c r="K70" s="1"/>
      <c r="L70" s="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2"/>
      <c r="G71" s="1"/>
      <c r="H71" s="1"/>
      <c r="I71" s="1"/>
      <c r="J71" s="3"/>
      <c r="K71" s="1"/>
      <c r="L71" s="3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2"/>
      <c r="G72" s="1"/>
      <c r="H72" s="1"/>
      <c r="I72" s="1"/>
      <c r="J72" s="3"/>
      <c r="K72" s="1"/>
      <c r="L72" s="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2"/>
      <c r="G73" s="1"/>
      <c r="H73" s="1"/>
      <c r="I73" s="1"/>
      <c r="J73" s="3"/>
      <c r="K73" s="1"/>
      <c r="L73" s="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2"/>
      <c r="G74" s="1"/>
      <c r="H74" s="1"/>
      <c r="I74" s="1"/>
      <c r="J74" s="3"/>
      <c r="K74" s="1"/>
      <c r="L74" s="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2"/>
      <c r="G75" s="1"/>
      <c r="H75" s="1"/>
      <c r="I75" s="1"/>
      <c r="J75" s="3"/>
      <c r="K75" s="1"/>
      <c r="L75" s="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2"/>
      <c r="G76" s="1"/>
      <c r="H76" s="1"/>
      <c r="I76" s="1"/>
      <c r="J76" s="3"/>
      <c r="K76" s="1"/>
      <c r="L76" s="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2"/>
      <c r="G77" s="1"/>
      <c r="H77" s="1"/>
      <c r="I77" s="1"/>
      <c r="J77" s="3"/>
      <c r="K77" s="1"/>
      <c r="L77" s="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2"/>
      <c r="G78" s="1"/>
      <c r="H78" s="1"/>
      <c r="I78" s="1"/>
      <c r="J78" s="3"/>
      <c r="K78" s="1"/>
      <c r="L78" s="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2"/>
      <c r="G79" s="1"/>
      <c r="H79" s="1"/>
      <c r="I79" s="1"/>
      <c r="J79" s="3"/>
      <c r="K79" s="1"/>
      <c r="L79" s="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2"/>
      <c r="G80" s="1"/>
      <c r="H80" s="1"/>
      <c r="I80" s="1"/>
      <c r="J80" s="3"/>
      <c r="K80" s="1"/>
      <c r="L80" s="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2"/>
      <c r="G81" s="1"/>
      <c r="H81" s="1"/>
      <c r="I81" s="1"/>
      <c r="J81" s="3"/>
      <c r="K81" s="1"/>
      <c r="L81" s="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2"/>
      <c r="G82" s="1"/>
      <c r="H82" s="1"/>
      <c r="I82" s="1"/>
      <c r="J82" s="3"/>
      <c r="K82" s="1"/>
      <c r="L82" s="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2"/>
      <c r="G83" s="1"/>
      <c r="H83" s="1"/>
      <c r="I83" s="1"/>
      <c r="J83" s="3"/>
      <c r="K83" s="1"/>
      <c r="L83" s="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2"/>
      <c r="G84" s="1"/>
      <c r="H84" s="1"/>
      <c r="I84" s="1"/>
      <c r="J84" s="3"/>
      <c r="K84" s="1"/>
      <c r="L84" s="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2"/>
      <c r="G85" s="1"/>
      <c r="H85" s="1"/>
      <c r="I85" s="1"/>
      <c r="J85" s="3"/>
      <c r="K85" s="1"/>
      <c r="L85" s="3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2"/>
      <c r="G86" s="1"/>
      <c r="H86" s="1"/>
      <c r="I86" s="1"/>
      <c r="J86" s="3"/>
      <c r="K86" s="1"/>
      <c r="L86" s="3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2"/>
      <c r="G87" s="1"/>
      <c r="H87" s="1"/>
      <c r="I87" s="1"/>
      <c r="J87" s="3"/>
      <c r="K87" s="1"/>
      <c r="L87" s="3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2"/>
      <c r="G88" s="1"/>
      <c r="H88" s="1"/>
      <c r="I88" s="1"/>
      <c r="J88" s="3"/>
      <c r="K88" s="1"/>
      <c r="L88" s="3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2"/>
      <c r="G89" s="1"/>
      <c r="H89" s="1"/>
      <c r="I89" s="1"/>
      <c r="J89" s="3"/>
      <c r="K89" s="1"/>
      <c r="L89" s="3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2"/>
      <c r="G90" s="1"/>
      <c r="H90" s="1"/>
      <c r="I90" s="1"/>
      <c r="J90" s="3"/>
      <c r="K90" s="1"/>
      <c r="L90" s="3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2"/>
      <c r="G91" s="1"/>
      <c r="H91" s="1"/>
      <c r="I91" s="1"/>
      <c r="J91" s="3"/>
      <c r="K91" s="1"/>
      <c r="L91" s="3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2"/>
      <c r="G92" s="1"/>
      <c r="H92" s="1"/>
      <c r="I92" s="1"/>
      <c r="J92" s="3"/>
      <c r="K92" s="1"/>
      <c r="L92" s="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2"/>
      <c r="G93" s="1"/>
      <c r="H93" s="1"/>
      <c r="I93" s="1"/>
      <c r="J93" s="3"/>
      <c r="K93" s="1"/>
      <c r="L93" s="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2"/>
      <c r="G94" s="1"/>
      <c r="H94" s="1"/>
      <c r="I94" s="1"/>
      <c r="J94" s="3"/>
      <c r="K94" s="1"/>
      <c r="L94" s="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2"/>
      <c r="G95" s="1"/>
      <c r="H95" s="1"/>
      <c r="I95" s="1"/>
      <c r="J95" s="3"/>
      <c r="K95" s="1"/>
      <c r="L95" s="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2"/>
      <c r="G96" s="1"/>
      <c r="H96" s="1"/>
      <c r="I96" s="1"/>
      <c r="J96" s="3"/>
      <c r="K96" s="1"/>
      <c r="L96" s="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2"/>
      <c r="G97" s="1"/>
      <c r="H97" s="1"/>
      <c r="I97" s="1"/>
      <c r="J97" s="3"/>
      <c r="K97" s="1"/>
      <c r="L97" s="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2"/>
      <c r="G98" s="1"/>
      <c r="H98" s="1"/>
      <c r="I98" s="1"/>
      <c r="J98" s="3"/>
      <c r="K98" s="1"/>
      <c r="L98" s="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2"/>
      <c r="G99" s="1"/>
      <c r="H99" s="1"/>
      <c r="I99" s="1"/>
      <c r="J99" s="3"/>
      <c r="K99" s="1"/>
      <c r="L99" s="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2"/>
      <c r="G100" s="1"/>
      <c r="H100" s="1"/>
      <c r="I100" s="1"/>
      <c r="J100" s="3"/>
      <c r="K100" s="1"/>
      <c r="L100" s="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2"/>
      <c r="G101" s="1"/>
      <c r="H101" s="1"/>
      <c r="I101" s="1"/>
      <c r="J101" s="3"/>
      <c r="K101" s="1"/>
      <c r="L101" s="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2"/>
      <c r="G102" s="1"/>
      <c r="H102" s="1"/>
      <c r="I102" s="1"/>
      <c r="J102" s="3"/>
      <c r="K102" s="1"/>
      <c r="L102" s="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2"/>
      <c r="G103" s="1"/>
      <c r="H103" s="1"/>
      <c r="I103" s="1"/>
      <c r="J103" s="3"/>
      <c r="K103" s="1"/>
      <c r="L103" s="3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2"/>
      <c r="G104" s="1"/>
      <c r="H104" s="1"/>
      <c r="I104" s="1"/>
      <c r="J104" s="3"/>
      <c r="K104" s="1"/>
      <c r="L104" s="3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2"/>
      <c r="G105" s="1"/>
      <c r="H105" s="1"/>
      <c r="I105" s="1"/>
      <c r="J105" s="3"/>
      <c r="K105" s="1"/>
      <c r="L105" s="3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2"/>
      <c r="G106" s="1"/>
      <c r="H106" s="1"/>
      <c r="I106" s="1"/>
      <c r="J106" s="3"/>
      <c r="K106" s="1"/>
      <c r="L106" s="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2"/>
      <c r="G107" s="1"/>
      <c r="H107" s="1"/>
      <c r="I107" s="1"/>
      <c r="J107" s="3"/>
      <c r="K107" s="1"/>
      <c r="L107" s="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2"/>
      <c r="G108" s="1"/>
      <c r="H108" s="1"/>
      <c r="I108" s="1"/>
      <c r="J108" s="3"/>
      <c r="K108" s="1"/>
      <c r="L108" s="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2"/>
      <c r="G109" s="1"/>
      <c r="H109" s="1"/>
      <c r="I109" s="1"/>
      <c r="J109" s="3"/>
      <c r="K109" s="1"/>
      <c r="L109" s="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2"/>
      <c r="G110" s="1"/>
      <c r="H110" s="1"/>
      <c r="I110" s="1"/>
      <c r="J110" s="3"/>
      <c r="K110" s="1"/>
      <c r="L110" s="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2"/>
      <c r="G111" s="1"/>
      <c r="H111" s="1"/>
      <c r="I111" s="1"/>
      <c r="J111" s="3"/>
      <c r="K111" s="1"/>
      <c r="L111" s="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2"/>
      <c r="G112" s="1"/>
      <c r="H112" s="1"/>
      <c r="I112" s="1"/>
      <c r="J112" s="3"/>
      <c r="K112" s="1"/>
      <c r="L112" s="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2"/>
      <c r="G113" s="1"/>
      <c r="H113" s="1"/>
      <c r="I113" s="1"/>
      <c r="J113" s="3"/>
      <c r="K113" s="1"/>
      <c r="L113" s="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2"/>
      <c r="G114" s="1"/>
      <c r="H114" s="1"/>
      <c r="I114" s="1"/>
      <c r="J114" s="3"/>
      <c r="K114" s="1"/>
      <c r="L114" s="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2"/>
      <c r="G115" s="1"/>
      <c r="H115" s="1"/>
      <c r="I115" s="1"/>
      <c r="J115" s="3"/>
      <c r="K115" s="1"/>
      <c r="L115" s="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2"/>
      <c r="G116" s="1"/>
      <c r="H116" s="1"/>
      <c r="I116" s="1"/>
      <c r="J116" s="3"/>
      <c r="K116" s="1"/>
      <c r="L116" s="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2"/>
      <c r="G117" s="1"/>
      <c r="H117" s="1"/>
      <c r="I117" s="1"/>
      <c r="J117" s="3"/>
      <c r="K117" s="1"/>
      <c r="L117" s="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2"/>
      <c r="G118" s="1"/>
      <c r="H118" s="1"/>
      <c r="I118" s="1"/>
      <c r="J118" s="3"/>
      <c r="K118" s="1"/>
      <c r="L118" s="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2"/>
      <c r="G119" s="1"/>
      <c r="H119" s="1"/>
      <c r="I119" s="1"/>
      <c r="J119" s="3"/>
      <c r="K119" s="1"/>
      <c r="L119" s="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2"/>
      <c r="G120" s="1"/>
      <c r="H120" s="1"/>
      <c r="I120" s="1"/>
      <c r="J120" s="3"/>
      <c r="K120" s="1"/>
      <c r="L120" s="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2"/>
      <c r="G121" s="1"/>
      <c r="H121" s="1"/>
      <c r="I121" s="1"/>
      <c r="J121" s="3"/>
      <c r="K121" s="1"/>
      <c r="L121" s="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2"/>
      <c r="G122" s="1"/>
      <c r="H122" s="1"/>
      <c r="I122" s="1"/>
      <c r="J122" s="3"/>
      <c r="K122" s="1"/>
      <c r="L122" s="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2"/>
      <c r="G123" s="1"/>
      <c r="H123" s="1"/>
      <c r="I123" s="1"/>
      <c r="J123" s="3"/>
      <c r="K123" s="1"/>
      <c r="L123" s="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2"/>
      <c r="G124" s="1"/>
      <c r="H124" s="1"/>
      <c r="I124" s="1"/>
      <c r="J124" s="3"/>
      <c r="K124" s="1"/>
      <c r="L124" s="3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2"/>
      <c r="G125" s="1"/>
      <c r="H125" s="1"/>
      <c r="I125" s="1"/>
      <c r="J125" s="3"/>
      <c r="K125" s="1"/>
      <c r="L125" s="3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2"/>
      <c r="G126" s="1"/>
      <c r="H126" s="1"/>
      <c r="I126" s="1"/>
      <c r="J126" s="3"/>
      <c r="K126" s="1"/>
      <c r="L126" s="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2"/>
      <c r="G127" s="1"/>
      <c r="H127" s="1"/>
      <c r="I127" s="1"/>
      <c r="J127" s="3"/>
      <c r="K127" s="1"/>
      <c r="L127" s="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2"/>
      <c r="G128" s="1"/>
      <c r="H128" s="1"/>
      <c r="I128" s="1"/>
      <c r="J128" s="3"/>
      <c r="K128" s="1"/>
      <c r="L128" s="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2"/>
      <c r="G129" s="1"/>
      <c r="H129" s="1"/>
      <c r="I129" s="1"/>
      <c r="J129" s="3"/>
      <c r="K129" s="1"/>
      <c r="L129" s="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2"/>
      <c r="G130" s="1"/>
      <c r="H130" s="1"/>
      <c r="I130" s="1"/>
      <c r="J130" s="3"/>
      <c r="K130" s="1"/>
      <c r="L130" s="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2"/>
      <c r="G131" s="1"/>
      <c r="H131" s="1"/>
      <c r="I131" s="1"/>
      <c r="J131" s="3"/>
      <c r="K131" s="1"/>
      <c r="L131" s="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2"/>
      <c r="G132" s="1"/>
      <c r="H132" s="1"/>
      <c r="I132" s="1"/>
      <c r="J132" s="3"/>
      <c r="K132" s="1"/>
      <c r="L132" s="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2"/>
      <c r="G133" s="1"/>
      <c r="H133" s="1"/>
      <c r="I133" s="1"/>
      <c r="J133" s="3"/>
      <c r="K133" s="1"/>
      <c r="L133" s="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2"/>
      <c r="G134" s="1"/>
      <c r="H134" s="1"/>
      <c r="I134" s="1"/>
      <c r="J134" s="3"/>
      <c r="K134" s="1"/>
      <c r="L134" s="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2"/>
      <c r="G135" s="1"/>
      <c r="H135" s="1"/>
      <c r="I135" s="1"/>
      <c r="J135" s="3"/>
      <c r="K135" s="1"/>
      <c r="L135" s="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2"/>
      <c r="G136" s="1"/>
      <c r="H136" s="1"/>
      <c r="I136" s="1"/>
      <c r="J136" s="3"/>
      <c r="K136" s="1"/>
      <c r="L136" s="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2"/>
      <c r="G137" s="1"/>
      <c r="H137" s="1"/>
      <c r="I137" s="1"/>
      <c r="J137" s="3"/>
      <c r="K137" s="1"/>
      <c r="L137" s="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2"/>
      <c r="G138" s="1"/>
      <c r="H138" s="1"/>
      <c r="I138" s="1"/>
      <c r="J138" s="3"/>
      <c r="K138" s="1"/>
      <c r="L138" s="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2"/>
      <c r="G139" s="1"/>
      <c r="H139" s="1"/>
      <c r="I139" s="1"/>
      <c r="J139" s="3"/>
      <c r="K139" s="1"/>
      <c r="L139" s="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2"/>
      <c r="G140" s="1"/>
      <c r="H140" s="1"/>
      <c r="I140" s="1"/>
      <c r="J140" s="3"/>
      <c r="K140" s="1"/>
      <c r="L140" s="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2"/>
      <c r="G141" s="1"/>
      <c r="H141" s="1"/>
      <c r="I141" s="1"/>
      <c r="J141" s="3"/>
      <c r="K141" s="1"/>
      <c r="L141" s="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2"/>
      <c r="G142" s="1"/>
      <c r="H142" s="1"/>
      <c r="I142" s="1"/>
      <c r="J142" s="3"/>
      <c r="K142" s="1"/>
      <c r="L142" s="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2"/>
      <c r="G143" s="1"/>
      <c r="H143" s="1"/>
      <c r="I143" s="1"/>
      <c r="J143" s="3"/>
      <c r="K143" s="1"/>
      <c r="L143" s="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2"/>
      <c r="G144" s="1"/>
      <c r="H144" s="1"/>
      <c r="I144" s="1"/>
      <c r="J144" s="3"/>
      <c r="K144" s="1"/>
      <c r="L144" s="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2"/>
      <c r="G145" s="1"/>
      <c r="H145" s="1"/>
      <c r="I145" s="1"/>
      <c r="J145" s="3"/>
      <c r="K145" s="1"/>
      <c r="L145" s="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2"/>
      <c r="G146" s="1"/>
      <c r="H146" s="1"/>
      <c r="I146" s="1"/>
      <c r="J146" s="3"/>
      <c r="K146" s="1"/>
      <c r="L146" s="3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2"/>
      <c r="G147" s="1"/>
      <c r="H147" s="1"/>
      <c r="I147" s="1"/>
      <c r="J147" s="3"/>
      <c r="K147" s="1"/>
      <c r="L147" s="3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2"/>
      <c r="G148" s="1"/>
      <c r="H148" s="1"/>
      <c r="I148" s="1"/>
      <c r="J148" s="3"/>
      <c r="K148" s="1"/>
      <c r="L148" s="3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2"/>
      <c r="G149" s="1"/>
      <c r="H149" s="1"/>
      <c r="I149" s="1"/>
      <c r="J149" s="3"/>
      <c r="K149" s="1"/>
      <c r="L149" s="3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2"/>
      <c r="G150" s="1"/>
      <c r="H150" s="1"/>
      <c r="I150" s="1"/>
      <c r="J150" s="3"/>
      <c r="K150" s="1"/>
      <c r="L150" s="3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2"/>
      <c r="G151" s="1"/>
      <c r="H151" s="1"/>
      <c r="I151" s="1"/>
      <c r="J151" s="3"/>
      <c r="K151" s="1"/>
      <c r="L151" s="3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2"/>
      <c r="G152" s="1"/>
      <c r="H152" s="1"/>
      <c r="I152" s="1"/>
      <c r="J152" s="3"/>
      <c r="K152" s="1"/>
      <c r="L152" s="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2"/>
      <c r="G153" s="1"/>
      <c r="H153" s="1"/>
      <c r="I153" s="1"/>
      <c r="J153" s="3"/>
      <c r="K153" s="1"/>
      <c r="L153" s="3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2"/>
      <c r="G154" s="1"/>
      <c r="H154" s="1"/>
      <c r="I154" s="1"/>
      <c r="J154" s="3"/>
      <c r="K154" s="1"/>
      <c r="L154" s="3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2"/>
      <c r="G155" s="1"/>
      <c r="H155" s="1"/>
      <c r="I155" s="1"/>
      <c r="J155" s="3"/>
      <c r="K155" s="1"/>
      <c r="L155" s="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2"/>
      <c r="G156" s="1"/>
      <c r="H156" s="1"/>
      <c r="I156" s="1"/>
      <c r="J156" s="3"/>
      <c r="K156" s="1"/>
      <c r="L156" s="3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2"/>
      <c r="G157" s="1"/>
      <c r="H157" s="1"/>
      <c r="I157" s="1"/>
      <c r="J157" s="3"/>
      <c r="K157" s="1"/>
      <c r="L157" s="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2"/>
      <c r="G158" s="1"/>
      <c r="H158" s="1"/>
      <c r="I158" s="1"/>
      <c r="J158" s="3"/>
      <c r="K158" s="1"/>
      <c r="L158" s="3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2"/>
      <c r="G159" s="1"/>
      <c r="H159" s="1"/>
      <c r="I159" s="1"/>
      <c r="J159" s="3"/>
      <c r="K159" s="1"/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2"/>
      <c r="G160" s="1"/>
      <c r="H160" s="1"/>
      <c r="I160" s="1"/>
      <c r="J160" s="3"/>
      <c r="K160" s="1"/>
      <c r="L160" s="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2"/>
      <c r="G161" s="1"/>
      <c r="H161" s="1"/>
      <c r="I161" s="1"/>
      <c r="J161" s="3"/>
      <c r="K161" s="1"/>
      <c r="L161" s="3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2"/>
      <c r="G162" s="1"/>
      <c r="H162" s="1"/>
      <c r="I162" s="1"/>
      <c r="J162" s="3"/>
      <c r="K162" s="1"/>
      <c r="L162" s="3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2"/>
      <c r="G163" s="1"/>
      <c r="H163" s="1"/>
      <c r="I163" s="1"/>
      <c r="J163" s="3"/>
      <c r="K163" s="1"/>
      <c r="L163" s="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2"/>
      <c r="G164" s="1"/>
      <c r="H164" s="1"/>
      <c r="I164" s="1"/>
      <c r="J164" s="3"/>
      <c r="K164" s="1"/>
      <c r="L164" s="3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2"/>
      <c r="G165" s="1"/>
      <c r="H165" s="1"/>
      <c r="I165" s="1"/>
      <c r="J165" s="3"/>
      <c r="K165" s="1"/>
      <c r="L165" s="3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2"/>
      <c r="G166" s="1"/>
      <c r="H166" s="1"/>
      <c r="I166" s="1"/>
      <c r="J166" s="3"/>
      <c r="K166" s="1"/>
      <c r="L166" s="3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2"/>
      <c r="G167" s="1"/>
      <c r="H167" s="1"/>
      <c r="I167" s="1"/>
      <c r="J167" s="3"/>
      <c r="K167" s="1"/>
      <c r="L167" s="3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2"/>
      <c r="G168" s="1"/>
      <c r="H168" s="1"/>
      <c r="I168" s="1"/>
      <c r="J168" s="3"/>
      <c r="K168" s="1"/>
      <c r="L168" s="3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2"/>
      <c r="G169" s="1"/>
      <c r="H169" s="1"/>
      <c r="I169" s="1"/>
      <c r="J169" s="3"/>
      <c r="K169" s="1"/>
      <c r="L169" s="3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2"/>
      <c r="G170" s="1"/>
      <c r="H170" s="1"/>
      <c r="I170" s="1"/>
      <c r="J170" s="3"/>
      <c r="K170" s="1"/>
      <c r="L170" s="3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2"/>
      <c r="G171" s="1"/>
      <c r="H171" s="1"/>
      <c r="I171" s="1"/>
      <c r="J171" s="3"/>
      <c r="K171" s="1"/>
      <c r="L171" s="3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2"/>
      <c r="G172" s="1"/>
      <c r="H172" s="1"/>
      <c r="I172" s="1"/>
      <c r="J172" s="3"/>
      <c r="K172" s="1"/>
      <c r="L172" s="3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2"/>
      <c r="G173" s="1"/>
      <c r="H173" s="1"/>
      <c r="I173" s="1"/>
      <c r="J173" s="3"/>
      <c r="K173" s="1"/>
      <c r="L173" s="3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2"/>
      <c r="G174" s="1"/>
      <c r="H174" s="1"/>
      <c r="I174" s="1"/>
      <c r="J174" s="3"/>
      <c r="K174" s="1"/>
      <c r="L174" s="3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2"/>
      <c r="G175" s="1"/>
      <c r="H175" s="1"/>
      <c r="I175" s="1"/>
      <c r="J175" s="3"/>
      <c r="K175" s="1"/>
      <c r="L175" s="3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2"/>
      <c r="G176" s="1"/>
      <c r="H176" s="1"/>
      <c r="I176" s="1"/>
      <c r="J176" s="3"/>
      <c r="K176" s="1"/>
      <c r="L176" s="3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2"/>
      <c r="G177" s="1"/>
      <c r="H177" s="1"/>
      <c r="I177" s="1"/>
      <c r="J177" s="3"/>
      <c r="K177" s="1"/>
      <c r="L177" s="3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2"/>
      <c r="G178" s="1"/>
      <c r="H178" s="1"/>
      <c r="I178" s="1"/>
      <c r="J178" s="3"/>
      <c r="K178" s="1"/>
      <c r="L178" s="3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2"/>
      <c r="G179" s="1"/>
      <c r="H179" s="1"/>
      <c r="I179" s="1"/>
      <c r="J179" s="3"/>
      <c r="K179" s="1"/>
      <c r="L179" s="3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2"/>
      <c r="G180" s="1"/>
      <c r="H180" s="1"/>
      <c r="I180" s="1"/>
      <c r="J180" s="3"/>
      <c r="K180" s="1"/>
      <c r="L180" s="3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2"/>
      <c r="G181" s="1"/>
      <c r="H181" s="1"/>
      <c r="I181" s="1"/>
      <c r="J181" s="3"/>
      <c r="K181" s="1"/>
      <c r="L181" s="3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2"/>
      <c r="G182" s="1"/>
      <c r="H182" s="1"/>
      <c r="I182" s="1"/>
      <c r="J182" s="3"/>
      <c r="K182" s="1"/>
      <c r="L182" s="3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2"/>
      <c r="G183" s="1"/>
      <c r="H183" s="1"/>
      <c r="I183" s="1"/>
      <c r="J183" s="3"/>
      <c r="K183" s="1"/>
      <c r="L183" s="3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2"/>
      <c r="G184" s="1"/>
      <c r="H184" s="1"/>
      <c r="I184" s="1"/>
      <c r="J184" s="3"/>
      <c r="K184" s="1"/>
      <c r="L184" s="3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2"/>
      <c r="G185" s="1"/>
      <c r="H185" s="1"/>
      <c r="I185" s="1"/>
      <c r="J185" s="3"/>
      <c r="K185" s="1"/>
      <c r="L185" s="3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2"/>
      <c r="G186" s="1"/>
      <c r="H186" s="1"/>
      <c r="I186" s="1"/>
      <c r="J186" s="3"/>
      <c r="K186" s="1"/>
      <c r="L186" s="3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2"/>
      <c r="G187" s="1"/>
      <c r="H187" s="1"/>
      <c r="I187" s="1"/>
      <c r="J187" s="3"/>
      <c r="K187" s="1"/>
      <c r="L187" s="3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2"/>
      <c r="G188" s="1"/>
      <c r="H188" s="1"/>
      <c r="I188" s="1"/>
      <c r="J188" s="3"/>
      <c r="K188" s="1"/>
      <c r="L188" s="3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2"/>
      <c r="G189" s="1"/>
      <c r="H189" s="1"/>
      <c r="I189" s="1"/>
      <c r="J189" s="3"/>
      <c r="K189" s="1"/>
      <c r="L189" s="3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2"/>
      <c r="G190" s="1"/>
      <c r="H190" s="1"/>
      <c r="I190" s="1"/>
      <c r="J190" s="3"/>
      <c r="K190" s="1"/>
      <c r="L190" s="3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2"/>
      <c r="G191" s="1"/>
      <c r="H191" s="1"/>
      <c r="I191" s="1"/>
      <c r="J191" s="3"/>
      <c r="K191" s="1"/>
      <c r="L191" s="3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2"/>
      <c r="G192" s="1"/>
      <c r="H192" s="1"/>
      <c r="I192" s="1"/>
      <c r="J192" s="3"/>
      <c r="K192" s="1"/>
      <c r="L192" s="3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2"/>
      <c r="G193" s="1"/>
      <c r="H193" s="1"/>
      <c r="I193" s="1"/>
      <c r="J193" s="3"/>
      <c r="K193" s="1"/>
      <c r="L193" s="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2"/>
      <c r="G194" s="1"/>
      <c r="H194" s="1"/>
      <c r="I194" s="1"/>
      <c r="J194" s="3"/>
      <c r="K194" s="1"/>
      <c r="L194" s="3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2"/>
      <c r="G195" s="1"/>
      <c r="H195" s="1"/>
      <c r="I195" s="1"/>
      <c r="J195" s="3"/>
      <c r="K195" s="1"/>
      <c r="L195" s="3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2"/>
      <c r="G196" s="1"/>
      <c r="H196" s="1"/>
      <c r="I196" s="1"/>
      <c r="J196" s="3"/>
      <c r="K196" s="1"/>
      <c r="L196" s="3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2"/>
      <c r="G197" s="1"/>
      <c r="H197" s="1"/>
      <c r="I197" s="1"/>
      <c r="J197" s="3"/>
      <c r="K197" s="1"/>
      <c r="L197" s="3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2"/>
      <c r="G198" s="1"/>
      <c r="H198" s="1"/>
      <c r="I198" s="1"/>
      <c r="J198" s="3"/>
      <c r="K198" s="1"/>
      <c r="L198" s="3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2"/>
      <c r="G199" s="1"/>
      <c r="H199" s="1"/>
      <c r="I199" s="1"/>
      <c r="J199" s="3"/>
      <c r="K199" s="1"/>
      <c r="L199" s="3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2"/>
      <c r="G200" s="1"/>
      <c r="H200" s="1"/>
      <c r="I200" s="1"/>
      <c r="J200" s="3"/>
      <c r="K200" s="1"/>
      <c r="L200" s="3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2"/>
      <c r="G201" s="1"/>
      <c r="H201" s="1"/>
      <c r="I201" s="1"/>
      <c r="J201" s="3"/>
      <c r="K201" s="1"/>
      <c r="L201" s="3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2"/>
      <c r="G202" s="1"/>
      <c r="H202" s="1"/>
      <c r="I202" s="1"/>
      <c r="J202" s="3"/>
      <c r="K202" s="1"/>
      <c r="L202" s="3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2"/>
      <c r="G203" s="1"/>
      <c r="H203" s="1"/>
      <c r="I203" s="1"/>
      <c r="J203" s="3"/>
      <c r="K203" s="1"/>
      <c r="L203" s="3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2"/>
      <c r="G204" s="1"/>
      <c r="H204" s="1"/>
      <c r="I204" s="1"/>
      <c r="J204" s="3"/>
      <c r="K204" s="1"/>
      <c r="L204" s="3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2"/>
      <c r="G205" s="1"/>
      <c r="H205" s="1"/>
      <c r="I205" s="1"/>
      <c r="J205" s="3"/>
      <c r="K205" s="1"/>
      <c r="L205" s="3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2"/>
      <c r="G206" s="1"/>
      <c r="H206" s="1"/>
      <c r="I206" s="1"/>
      <c r="J206" s="3"/>
      <c r="K206" s="1"/>
      <c r="L206" s="3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2"/>
      <c r="G207" s="1"/>
      <c r="H207" s="1"/>
      <c r="I207" s="1"/>
      <c r="J207" s="3"/>
      <c r="K207" s="1"/>
      <c r="L207" s="3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2"/>
      <c r="G208" s="1"/>
      <c r="H208" s="1"/>
      <c r="I208" s="1"/>
      <c r="J208" s="3"/>
      <c r="K208" s="1"/>
      <c r="L208" s="3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2"/>
      <c r="G209" s="1"/>
      <c r="H209" s="1"/>
      <c r="I209" s="1"/>
      <c r="J209" s="3"/>
      <c r="K209" s="1"/>
      <c r="L209" s="3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2"/>
      <c r="G210" s="1"/>
      <c r="H210" s="1"/>
      <c r="I210" s="1"/>
      <c r="J210" s="3"/>
      <c r="K210" s="1"/>
      <c r="L210" s="3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2"/>
      <c r="G211" s="1"/>
      <c r="H211" s="1"/>
      <c r="I211" s="1"/>
      <c r="J211" s="3"/>
      <c r="K211" s="1"/>
      <c r="L211" s="3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2"/>
      <c r="G212" s="1"/>
      <c r="H212" s="1"/>
      <c r="I212" s="1"/>
      <c r="J212" s="3"/>
      <c r="K212" s="1"/>
      <c r="L212" s="3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2"/>
      <c r="G213" s="1"/>
      <c r="H213" s="1"/>
      <c r="I213" s="1"/>
      <c r="J213" s="3"/>
      <c r="K213" s="1"/>
      <c r="L213" s="3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2"/>
      <c r="G214" s="1"/>
      <c r="H214" s="1"/>
      <c r="I214" s="1"/>
      <c r="J214" s="3"/>
      <c r="K214" s="1"/>
      <c r="L214" s="3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2"/>
      <c r="G215" s="1"/>
      <c r="H215" s="1"/>
      <c r="I215" s="1"/>
      <c r="J215" s="3"/>
      <c r="K215" s="1"/>
      <c r="L215" s="3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2"/>
      <c r="G216" s="1"/>
      <c r="H216" s="1"/>
      <c r="I216" s="1"/>
      <c r="J216" s="3"/>
      <c r="K216" s="1"/>
      <c r="L216" s="3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2"/>
      <c r="G217" s="1"/>
      <c r="H217" s="1"/>
      <c r="I217" s="1"/>
      <c r="J217" s="3"/>
      <c r="K217" s="1"/>
      <c r="L217" s="3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2"/>
      <c r="G218" s="1"/>
      <c r="H218" s="1"/>
      <c r="I218" s="1"/>
      <c r="J218" s="3"/>
      <c r="K218" s="1"/>
      <c r="L218" s="3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2"/>
      <c r="G219" s="1"/>
      <c r="H219" s="1"/>
      <c r="I219" s="1"/>
      <c r="J219" s="3"/>
      <c r="K219" s="1"/>
      <c r="L219" s="3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2"/>
      <c r="G220" s="1"/>
      <c r="H220" s="1"/>
      <c r="I220" s="1"/>
      <c r="J220" s="3"/>
      <c r="K220" s="1"/>
      <c r="L220" s="3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2"/>
      <c r="G221" s="1"/>
      <c r="H221" s="1"/>
      <c r="I221" s="1"/>
      <c r="J221" s="3"/>
      <c r="K221" s="1"/>
      <c r="L221" s="3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2"/>
      <c r="G222" s="1"/>
      <c r="H222" s="1"/>
      <c r="I222" s="1"/>
      <c r="J222" s="3"/>
      <c r="K222" s="1"/>
      <c r="L222" s="3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2"/>
      <c r="G223" s="1"/>
      <c r="H223" s="1"/>
      <c r="I223" s="1"/>
      <c r="J223" s="3"/>
      <c r="K223" s="1"/>
      <c r="L223" s="3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2"/>
      <c r="G224" s="1"/>
      <c r="H224" s="1"/>
      <c r="I224" s="1"/>
      <c r="J224" s="3"/>
      <c r="K224" s="1"/>
      <c r="L224" s="3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2"/>
      <c r="G225" s="1"/>
      <c r="H225" s="1"/>
      <c r="I225" s="1"/>
      <c r="J225" s="3"/>
      <c r="K225" s="1"/>
      <c r="L225" s="3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2"/>
      <c r="G226" s="1"/>
      <c r="H226" s="1"/>
      <c r="I226" s="1"/>
      <c r="J226" s="3"/>
      <c r="K226" s="1"/>
      <c r="L226" s="3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2"/>
      <c r="G227" s="1"/>
      <c r="H227" s="1"/>
      <c r="I227" s="1"/>
      <c r="J227" s="3"/>
      <c r="K227" s="1"/>
      <c r="L227" s="3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2"/>
      <c r="G228" s="1"/>
      <c r="H228" s="1"/>
      <c r="I228" s="1"/>
      <c r="J228" s="3"/>
      <c r="K228" s="1"/>
      <c r="L228" s="3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2"/>
      <c r="G229" s="1"/>
      <c r="H229" s="1"/>
      <c r="I229" s="1"/>
      <c r="J229" s="3"/>
      <c r="K229" s="1"/>
      <c r="L229" s="3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2"/>
      <c r="G230" s="1"/>
      <c r="H230" s="1"/>
      <c r="I230" s="1"/>
      <c r="J230" s="3"/>
      <c r="K230" s="1"/>
      <c r="L230" s="3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2"/>
      <c r="G231" s="1"/>
      <c r="H231" s="1"/>
      <c r="I231" s="1"/>
      <c r="J231" s="3"/>
      <c r="K231" s="1"/>
      <c r="L231" s="3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2"/>
      <c r="G232" s="1"/>
      <c r="H232" s="1"/>
      <c r="I232" s="1"/>
      <c r="J232" s="3"/>
      <c r="K232" s="1"/>
      <c r="L232" s="3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2"/>
      <c r="G233" s="1"/>
      <c r="H233" s="1"/>
      <c r="I233" s="1"/>
      <c r="J233" s="3"/>
      <c r="K233" s="1"/>
      <c r="L233" s="3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2"/>
      <c r="G234" s="1"/>
      <c r="H234" s="1"/>
      <c r="I234" s="1"/>
      <c r="J234" s="3"/>
      <c r="K234" s="1"/>
      <c r="L234" s="3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2"/>
      <c r="G235" s="1"/>
      <c r="H235" s="1"/>
      <c r="I235" s="1"/>
      <c r="J235" s="3"/>
      <c r="K235" s="1"/>
      <c r="L235" s="3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2"/>
      <c r="G236" s="1"/>
      <c r="H236" s="1"/>
      <c r="I236" s="1"/>
      <c r="J236" s="3"/>
      <c r="K236" s="1"/>
      <c r="L236" s="3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2"/>
      <c r="G237" s="1"/>
      <c r="H237" s="1"/>
      <c r="I237" s="1"/>
      <c r="J237" s="3"/>
      <c r="K237" s="1"/>
      <c r="L237" s="3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2"/>
      <c r="G238" s="1"/>
      <c r="H238" s="1"/>
      <c r="I238" s="1"/>
      <c r="J238" s="3"/>
      <c r="K238" s="1"/>
      <c r="L238" s="3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2"/>
      <c r="G239" s="1"/>
      <c r="H239" s="1"/>
      <c r="I239" s="1"/>
      <c r="J239" s="3"/>
      <c r="K239" s="1"/>
      <c r="L239" s="3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2"/>
      <c r="G240" s="1"/>
      <c r="H240" s="1"/>
      <c r="I240" s="1"/>
      <c r="J240" s="3"/>
      <c r="K240" s="1"/>
      <c r="L240" s="3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2"/>
      <c r="G241" s="1"/>
      <c r="H241" s="1"/>
      <c r="I241" s="1"/>
      <c r="J241" s="3"/>
      <c r="K241" s="1"/>
      <c r="L241" s="3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2"/>
      <c r="G242" s="1"/>
      <c r="H242" s="1"/>
      <c r="I242" s="1"/>
      <c r="J242" s="3"/>
      <c r="K242" s="1"/>
      <c r="L242" s="3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2"/>
      <c r="G243" s="1"/>
      <c r="H243" s="1"/>
      <c r="I243" s="1"/>
      <c r="J243" s="3"/>
      <c r="K243" s="1"/>
      <c r="L243" s="3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2"/>
      <c r="G244" s="1"/>
      <c r="H244" s="1"/>
      <c r="I244" s="1"/>
      <c r="J244" s="3"/>
      <c r="K244" s="1"/>
      <c r="L244" s="3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2"/>
      <c r="G245" s="1"/>
      <c r="H245" s="1"/>
      <c r="I245" s="1"/>
      <c r="J245" s="3"/>
      <c r="K245" s="1"/>
      <c r="L245" s="3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2"/>
      <c r="G246" s="1"/>
      <c r="H246" s="1"/>
      <c r="I246" s="1"/>
      <c r="J246" s="3"/>
      <c r="K246" s="1"/>
      <c r="L246" s="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2"/>
      <c r="G247" s="1"/>
      <c r="H247" s="1"/>
      <c r="I247" s="1"/>
      <c r="J247" s="3"/>
      <c r="K247" s="1"/>
      <c r="L247" s="3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2"/>
      <c r="G248" s="1"/>
      <c r="H248" s="1"/>
      <c r="I248" s="1"/>
      <c r="J248" s="3"/>
      <c r="K248" s="1"/>
      <c r="L248" s="3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2"/>
      <c r="G249" s="1"/>
      <c r="H249" s="1"/>
      <c r="I249" s="1"/>
      <c r="J249" s="3"/>
      <c r="K249" s="1"/>
      <c r="L249" s="3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2"/>
      <c r="G250" s="1"/>
      <c r="H250" s="1"/>
      <c r="I250" s="1"/>
      <c r="J250" s="3"/>
      <c r="K250" s="1"/>
      <c r="L250" s="3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2"/>
      <c r="G251" s="1"/>
      <c r="H251" s="1"/>
      <c r="I251" s="1"/>
      <c r="J251" s="3"/>
      <c r="K251" s="1"/>
      <c r="L251" s="3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2"/>
      <c r="G252" s="1"/>
      <c r="H252" s="1"/>
      <c r="I252" s="1"/>
      <c r="J252" s="3"/>
      <c r="K252" s="1"/>
      <c r="L252" s="3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2"/>
      <c r="G253" s="1"/>
      <c r="H253" s="1"/>
      <c r="I253" s="1"/>
      <c r="J253" s="3"/>
      <c r="K253" s="1"/>
      <c r="L253" s="3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2"/>
      <c r="G254" s="1"/>
      <c r="H254" s="1"/>
      <c r="I254" s="1"/>
      <c r="J254" s="3"/>
      <c r="K254" s="1"/>
      <c r="L254" s="3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2"/>
      <c r="G255" s="1"/>
      <c r="H255" s="1"/>
      <c r="I255" s="1"/>
      <c r="J255" s="3"/>
      <c r="K255" s="1"/>
      <c r="L255" s="3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2"/>
      <c r="G256" s="1"/>
      <c r="H256" s="1"/>
      <c r="I256" s="1"/>
      <c r="J256" s="3"/>
      <c r="K256" s="1"/>
      <c r="L256" s="3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2"/>
      <c r="G257" s="1"/>
      <c r="H257" s="1"/>
      <c r="I257" s="1"/>
      <c r="J257" s="3"/>
      <c r="K257" s="1"/>
      <c r="L257" s="3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2"/>
      <c r="G258" s="1"/>
      <c r="H258" s="1"/>
      <c r="I258" s="1"/>
      <c r="J258" s="3"/>
      <c r="K258" s="1"/>
      <c r="L258" s="3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2"/>
      <c r="G259" s="1"/>
      <c r="H259" s="1"/>
      <c r="I259" s="1"/>
      <c r="J259" s="3"/>
      <c r="K259" s="1"/>
      <c r="L259" s="3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2"/>
      <c r="G260" s="1"/>
      <c r="H260" s="1"/>
      <c r="I260" s="1"/>
      <c r="J260" s="3"/>
      <c r="K260" s="1"/>
      <c r="L260" s="3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2"/>
      <c r="G261" s="1"/>
      <c r="H261" s="1"/>
      <c r="I261" s="1"/>
      <c r="J261" s="3"/>
      <c r="K261" s="1"/>
      <c r="L261" s="3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2"/>
      <c r="G262" s="1"/>
      <c r="H262" s="1"/>
      <c r="I262" s="1"/>
      <c r="J262" s="3"/>
      <c r="K262" s="1"/>
      <c r="L262" s="3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2"/>
      <c r="G263" s="1"/>
      <c r="H263" s="1"/>
      <c r="I263" s="1"/>
      <c r="J263" s="3"/>
      <c r="K263" s="1"/>
      <c r="L263" s="3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2"/>
      <c r="G264" s="1"/>
      <c r="H264" s="1"/>
      <c r="I264" s="1"/>
      <c r="J264" s="3"/>
      <c r="K264" s="1"/>
      <c r="L264" s="3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2"/>
      <c r="G265" s="1"/>
      <c r="H265" s="1"/>
      <c r="I265" s="1"/>
      <c r="J265" s="3"/>
      <c r="K265" s="1"/>
      <c r="L265" s="3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2"/>
      <c r="G266" s="1"/>
      <c r="H266" s="1"/>
      <c r="I266" s="1"/>
      <c r="J266" s="3"/>
      <c r="K266" s="1"/>
      <c r="L266" s="3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2"/>
      <c r="G267" s="1"/>
      <c r="H267" s="1"/>
      <c r="I267" s="1"/>
      <c r="J267" s="3"/>
      <c r="K267" s="1"/>
      <c r="L267" s="3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2"/>
      <c r="G268" s="1"/>
      <c r="H268" s="1"/>
      <c r="I268" s="1"/>
      <c r="J268" s="3"/>
      <c r="K268" s="1"/>
      <c r="L268" s="3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2"/>
      <c r="G269" s="1"/>
      <c r="H269" s="1"/>
      <c r="I269" s="1"/>
      <c r="J269" s="3"/>
      <c r="K269" s="1"/>
      <c r="L269" s="3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2"/>
      <c r="G270" s="1"/>
      <c r="H270" s="1"/>
      <c r="I270" s="1"/>
      <c r="J270" s="3"/>
      <c r="K270" s="1"/>
      <c r="L270" s="3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2"/>
      <c r="G271" s="1"/>
      <c r="H271" s="1"/>
      <c r="I271" s="1"/>
      <c r="J271" s="3"/>
      <c r="K271" s="1"/>
      <c r="L271" s="3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2"/>
      <c r="G272" s="1"/>
      <c r="H272" s="1"/>
      <c r="I272" s="1"/>
      <c r="J272" s="3"/>
      <c r="K272" s="1"/>
      <c r="L272" s="3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2"/>
      <c r="G273" s="1"/>
      <c r="H273" s="1"/>
      <c r="I273" s="1"/>
      <c r="J273" s="3"/>
      <c r="K273" s="1"/>
      <c r="L273" s="3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2"/>
      <c r="G274" s="1"/>
      <c r="H274" s="1"/>
      <c r="I274" s="1"/>
      <c r="J274" s="3"/>
      <c r="K274" s="1"/>
      <c r="L274" s="3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2"/>
      <c r="G275" s="1"/>
      <c r="H275" s="1"/>
      <c r="I275" s="1"/>
      <c r="J275" s="3"/>
      <c r="K275" s="1"/>
      <c r="L275" s="3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2"/>
      <c r="G276" s="1"/>
      <c r="H276" s="1"/>
      <c r="I276" s="1"/>
      <c r="J276" s="3"/>
      <c r="K276" s="1"/>
      <c r="L276" s="3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2"/>
      <c r="G277" s="1"/>
      <c r="H277" s="1"/>
      <c r="I277" s="1"/>
      <c r="J277" s="3"/>
      <c r="K277" s="1"/>
      <c r="L277" s="3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2"/>
      <c r="G278" s="1"/>
      <c r="H278" s="1"/>
      <c r="I278" s="1"/>
      <c r="J278" s="3"/>
      <c r="K278" s="1"/>
      <c r="L278" s="3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2"/>
      <c r="G279" s="1"/>
      <c r="H279" s="1"/>
      <c r="I279" s="1"/>
      <c r="J279" s="3"/>
      <c r="K279" s="1"/>
      <c r="L279" s="3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2"/>
      <c r="G280" s="1"/>
      <c r="H280" s="1"/>
      <c r="I280" s="1"/>
      <c r="J280" s="3"/>
      <c r="K280" s="1"/>
      <c r="L280" s="3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2"/>
      <c r="G281" s="1"/>
      <c r="H281" s="1"/>
      <c r="I281" s="1"/>
      <c r="J281" s="3"/>
      <c r="K281" s="1"/>
      <c r="L281" s="3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2"/>
      <c r="G282" s="1"/>
      <c r="H282" s="1"/>
      <c r="I282" s="1"/>
      <c r="J282" s="3"/>
      <c r="K282" s="1"/>
      <c r="L282" s="3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2"/>
      <c r="G283" s="1"/>
      <c r="H283" s="1"/>
      <c r="I283" s="1"/>
      <c r="J283" s="3"/>
      <c r="K283" s="1"/>
      <c r="L283" s="3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2"/>
      <c r="G284" s="1"/>
      <c r="H284" s="1"/>
      <c r="I284" s="1"/>
      <c r="J284" s="3"/>
      <c r="K284" s="1"/>
      <c r="L284" s="3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2"/>
      <c r="G285" s="1"/>
      <c r="H285" s="1"/>
      <c r="I285" s="1"/>
      <c r="J285" s="3"/>
      <c r="K285" s="1"/>
      <c r="L285" s="3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2"/>
      <c r="G286" s="1"/>
      <c r="H286" s="1"/>
      <c r="I286" s="1"/>
      <c r="J286" s="3"/>
      <c r="K286" s="1"/>
      <c r="L286" s="3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2"/>
      <c r="G287" s="1"/>
      <c r="H287" s="1"/>
      <c r="I287" s="1"/>
      <c r="J287" s="3"/>
      <c r="K287" s="1"/>
      <c r="L287" s="3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2"/>
      <c r="G288" s="1"/>
      <c r="H288" s="1"/>
      <c r="I288" s="1"/>
      <c r="J288" s="3"/>
      <c r="K288" s="1"/>
      <c r="L288" s="3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2"/>
      <c r="G289" s="1"/>
      <c r="H289" s="1"/>
      <c r="I289" s="1"/>
      <c r="J289" s="3"/>
      <c r="K289" s="1"/>
      <c r="L289" s="3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2"/>
      <c r="G290" s="1"/>
      <c r="H290" s="1"/>
      <c r="I290" s="1"/>
      <c r="J290" s="3"/>
      <c r="K290" s="1"/>
      <c r="L290" s="3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2"/>
      <c r="G291" s="1"/>
      <c r="H291" s="1"/>
      <c r="I291" s="1"/>
      <c r="J291" s="3"/>
      <c r="K291" s="1"/>
      <c r="L291" s="3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2"/>
      <c r="G292" s="1"/>
      <c r="H292" s="1"/>
      <c r="I292" s="1"/>
      <c r="J292" s="3"/>
      <c r="K292" s="1"/>
      <c r="L292" s="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2"/>
      <c r="G293" s="1"/>
      <c r="H293" s="1"/>
      <c r="I293" s="1"/>
      <c r="J293" s="3"/>
      <c r="K293" s="1"/>
      <c r="L293" s="3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2"/>
      <c r="G294" s="1"/>
      <c r="H294" s="1"/>
      <c r="I294" s="1"/>
      <c r="J294" s="3"/>
      <c r="K294" s="1"/>
      <c r="L294" s="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2"/>
      <c r="G295" s="1"/>
      <c r="H295" s="1"/>
      <c r="I295" s="1"/>
      <c r="J295" s="3"/>
      <c r="K295" s="1"/>
      <c r="L295" s="3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2"/>
      <c r="G296" s="1"/>
      <c r="H296" s="1"/>
      <c r="I296" s="1"/>
      <c r="J296" s="3"/>
      <c r="K296" s="1"/>
      <c r="L296" s="3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2"/>
      <c r="G297" s="1"/>
      <c r="H297" s="1"/>
      <c r="I297" s="1"/>
      <c r="J297" s="3"/>
      <c r="K297" s="1"/>
      <c r="L297" s="3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2"/>
      <c r="G298" s="1"/>
      <c r="H298" s="1"/>
      <c r="I298" s="1"/>
      <c r="J298" s="3"/>
      <c r="K298" s="1"/>
      <c r="L298" s="3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2"/>
      <c r="G299" s="1"/>
      <c r="H299" s="1"/>
      <c r="I299" s="1"/>
      <c r="J299" s="3"/>
      <c r="K299" s="1"/>
      <c r="L299" s="3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2"/>
      <c r="G300" s="1"/>
      <c r="H300" s="1"/>
      <c r="I300" s="1"/>
      <c r="J300" s="3"/>
      <c r="K300" s="1"/>
      <c r="L300" s="3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2"/>
      <c r="G301" s="1"/>
      <c r="H301" s="1"/>
      <c r="I301" s="1"/>
      <c r="J301" s="3"/>
      <c r="K301" s="1"/>
      <c r="L301" s="3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2"/>
      <c r="G302" s="1"/>
      <c r="H302" s="1"/>
      <c r="I302" s="1"/>
      <c r="J302" s="3"/>
      <c r="K302" s="1"/>
      <c r="L302" s="3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2"/>
      <c r="G303" s="1"/>
      <c r="H303" s="1"/>
      <c r="I303" s="1"/>
      <c r="J303" s="3"/>
      <c r="K303" s="1"/>
      <c r="L303" s="3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2"/>
      <c r="G304" s="1"/>
      <c r="H304" s="1"/>
      <c r="I304" s="1"/>
      <c r="J304" s="3"/>
      <c r="K304" s="1"/>
      <c r="L304" s="3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2"/>
      <c r="G305" s="1"/>
      <c r="H305" s="1"/>
      <c r="I305" s="1"/>
      <c r="J305" s="3"/>
      <c r="K305" s="1"/>
      <c r="L305" s="3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2"/>
      <c r="G306" s="1"/>
      <c r="H306" s="1"/>
      <c r="I306" s="1"/>
      <c r="J306" s="3"/>
      <c r="K306" s="1"/>
      <c r="L306" s="3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2"/>
      <c r="G307" s="1"/>
      <c r="H307" s="1"/>
      <c r="I307" s="1"/>
      <c r="J307" s="3"/>
      <c r="K307" s="1"/>
      <c r="L307" s="3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2"/>
      <c r="G308" s="1"/>
      <c r="H308" s="1"/>
      <c r="I308" s="1"/>
      <c r="J308" s="3"/>
      <c r="K308" s="1"/>
      <c r="L308" s="3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2"/>
      <c r="G309" s="1"/>
      <c r="H309" s="1"/>
      <c r="I309" s="1"/>
      <c r="J309" s="3"/>
      <c r="K309" s="1"/>
      <c r="L309" s="3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2"/>
      <c r="G310" s="1"/>
      <c r="H310" s="1"/>
      <c r="I310" s="1"/>
      <c r="J310" s="3"/>
      <c r="K310" s="1"/>
      <c r="L310" s="3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2"/>
      <c r="G311" s="1"/>
      <c r="H311" s="1"/>
      <c r="I311" s="1"/>
      <c r="J311" s="3"/>
      <c r="K311" s="1"/>
      <c r="L311" s="3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2"/>
      <c r="G312" s="1"/>
      <c r="H312" s="1"/>
      <c r="I312" s="1"/>
      <c r="J312" s="3"/>
      <c r="K312" s="1"/>
      <c r="L312" s="3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2"/>
      <c r="G313" s="1"/>
      <c r="H313" s="1"/>
      <c r="I313" s="1"/>
      <c r="J313" s="3"/>
      <c r="K313" s="1"/>
      <c r="L313" s="3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2"/>
      <c r="G314" s="1"/>
      <c r="H314" s="1"/>
      <c r="I314" s="1"/>
      <c r="J314" s="3"/>
      <c r="K314" s="1"/>
      <c r="L314" s="3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2"/>
      <c r="G315" s="1"/>
      <c r="H315" s="1"/>
      <c r="I315" s="1"/>
      <c r="J315" s="3"/>
      <c r="K315" s="1"/>
      <c r="L315" s="3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2"/>
      <c r="G316" s="1"/>
      <c r="H316" s="1"/>
      <c r="I316" s="1"/>
      <c r="J316" s="3"/>
      <c r="K316" s="1"/>
      <c r="L316" s="3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2"/>
      <c r="G317" s="1"/>
      <c r="H317" s="1"/>
      <c r="I317" s="1"/>
      <c r="J317" s="3"/>
      <c r="K317" s="1"/>
      <c r="L317" s="3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2"/>
      <c r="G318" s="1"/>
      <c r="H318" s="1"/>
      <c r="I318" s="1"/>
      <c r="J318" s="3"/>
      <c r="K318" s="1"/>
      <c r="L318" s="3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2"/>
      <c r="G319" s="1"/>
      <c r="H319" s="1"/>
      <c r="I319" s="1"/>
      <c r="J319" s="3"/>
      <c r="K319" s="1"/>
      <c r="L319" s="3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2"/>
      <c r="G320" s="1"/>
      <c r="H320" s="1"/>
      <c r="I320" s="1"/>
      <c r="J320" s="3"/>
      <c r="K320" s="1"/>
      <c r="L320" s="3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2"/>
      <c r="G321" s="1"/>
      <c r="H321" s="1"/>
      <c r="I321" s="1"/>
      <c r="J321" s="3"/>
      <c r="K321" s="1"/>
      <c r="L321" s="3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2"/>
      <c r="G322" s="1"/>
      <c r="H322" s="1"/>
      <c r="I322" s="1"/>
      <c r="J322" s="3"/>
      <c r="K322" s="1"/>
      <c r="L322" s="3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2"/>
      <c r="G323" s="1"/>
      <c r="H323" s="1"/>
      <c r="I323" s="1"/>
      <c r="J323" s="3"/>
      <c r="K323" s="1"/>
      <c r="L323" s="3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2"/>
      <c r="G324" s="1"/>
      <c r="H324" s="1"/>
      <c r="I324" s="1"/>
      <c r="J324" s="3"/>
      <c r="K324" s="1"/>
      <c r="L324" s="3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2"/>
      <c r="G325" s="1"/>
      <c r="H325" s="1"/>
      <c r="I325" s="1"/>
      <c r="J325" s="3"/>
      <c r="K325" s="1"/>
      <c r="L325" s="3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2"/>
      <c r="G326" s="1"/>
      <c r="H326" s="1"/>
      <c r="I326" s="1"/>
      <c r="J326" s="3"/>
      <c r="K326" s="1"/>
      <c r="L326" s="3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2"/>
      <c r="G327" s="1"/>
      <c r="H327" s="1"/>
      <c r="I327" s="1"/>
      <c r="J327" s="3"/>
      <c r="K327" s="1"/>
      <c r="L327" s="3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2"/>
      <c r="G328" s="1"/>
      <c r="H328" s="1"/>
      <c r="I328" s="1"/>
      <c r="J328" s="3"/>
      <c r="K328" s="1"/>
      <c r="L328" s="3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2"/>
      <c r="G329" s="1"/>
      <c r="H329" s="1"/>
      <c r="I329" s="1"/>
      <c r="J329" s="3"/>
      <c r="K329" s="1"/>
      <c r="L329" s="3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2"/>
      <c r="G330" s="1"/>
      <c r="H330" s="1"/>
      <c r="I330" s="1"/>
      <c r="J330" s="3"/>
      <c r="K330" s="1"/>
      <c r="L330" s="3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2"/>
      <c r="G331" s="1"/>
      <c r="H331" s="1"/>
      <c r="I331" s="1"/>
      <c r="J331" s="3"/>
      <c r="K331" s="1"/>
      <c r="L331" s="3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2"/>
      <c r="G332" s="1"/>
      <c r="H332" s="1"/>
      <c r="I332" s="1"/>
      <c r="J332" s="3"/>
      <c r="K332" s="1"/>
      <c r="L332" s="3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2"/>
      <c r="G333" s="1"/>
      <c r="H333" s="1"/>
      <c r="I333" s="1"/>
      <c r="J333" s="3"/>
      <c r="K333" s="1"/>
      <c r="L333" s="3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2"/>
      <c r="G334" s="1"/>
      <c r="H334" s="1"/>
      <c r="I334" s="1"/>
      <c r="J334" s="3"/>
      <c r="K334" s="1"/>
      <c r="L334" s="3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2"/>
      <c r="G335" s="1"/>
      <c r="H335" s="1"/>
      <c r="I335" s="1"/>
      <c r="J335" s="3"/>
      <c r="K335" s="1"/>
      <c r="L335" s="3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2"/>
      <c r="G336" s="1"/>
      <c r="H336" s="1"/>
      <c r="I336" s="1"/>
      <c r="J336" s="3"/>
      <c r="K336" s="1"/>
      <c r="L336" s="3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2"/>
      <c r="G337" s="1"/>
      <c r="H337" s="1"/>
      <c r="I337" s="1"/>
      <c r="J337" s="3"/>
      <c r="K337" s="1"/>
      <c r="L337" s="3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2"/>
      <c r="G338" s="1"/>
      <c r="H338" s="1"/>
      <c r="I338" s="1"/>
      <c r="J338" s="3"/>
      <c r="K338" s="1"/>
      <c r="L338" s="3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2"/>
      <c r="G339" s="1"/>
      <c r="H339" s="1"/>
      <c r="I339" s="1"/>
      <c r="J339" s="3"/>
      <c r="K339" s="1"/>
      <c r="L339" s="3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2"/>
      <c r="G340" s="1"/>
      <c r="H340" s="1"/>
      <c r="I340" s="1"/>
      <c r="J340" s="3"/>
      <c r="K340" s="1"/>
      <c r="L340" s="3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2"/>
      <c r="G341" s="1"/>
      <c r="H341" s="1"/>
      <c r="I341" s="1"/>
      <c r="J341" s="3"/>
      <c r="K341" s="1"/>
      <c r="L341" s="3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2"/>
      <c r="G342" s="1"/>
      <c r="H342" s="1"/>
      <c r="I342" s="1"/>
      <c r="J342" s="3"/>
      <c r="K342" s="1"/>
      <c r="L342" s="3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2"/>
      <c r="G343" s="1"/>
      <c r="H343" s="1"/>
      <c r="I343" s="1"/>
      <c r="J343" s="3"/>
      <c r="K343" s="1"/>
      <c r="L343" s="3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2"/>
      <c r="G344" s="1"/>
      <c r="H344" s="1"/>
      <c r="I344" s="1"/>
      <c r="J344" s="3"/>
      <c r="K344" s="1"/>
      <c r="L344" s="3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2"/>
      <c r="G345" s="1"/>
      <c r="H345" s="1"/>
      <c r="I345" s="1"/>
      <c r="J345" s="3"/>
      <c r="K345" s="1"/>
      <c r="L345" s="3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2"/>
      <c r="G346" s="1"/>
      <c r="H346" s="1"/>
      <c r="I346" s="1"/>
      <c r="J346" s="3"/>
      <c r="K346" s="1"/>
      <c r="L346" s="3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2"/>
      <c r="G347" s="1"/>
      <c r="H347" s="1"/>
      <c r="I347" s="1"/>
      <c r="J347" s="3"/>
      <c r="K347" s="1"/>
      <c r="L347" s="3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2"/>
      <c r="G348" s="1"/>
      <c r="H348" s="1"/>
      <c r="I348" s="1"/>
      <c r="J348" s="3"/>
      <c r="K348" s="1"/>
      <c r="L348" s="3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2"/>
      <c r="G349" s="1"/>
      <c r="H349" s="1"/>
      <c r="I349" s="1"/>
      <c r="J349" s="3"/>
      <c r="K349" s="1"/>
      <c r="L349" s="3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2"/>
      <c r="G350" s="1"/>
      <c r="H350" s="1"/>
      <c r="I350" s="1"/>
      <c r="J350" s="3"/>
      <c r="K350" s="1"/>
      <c r="L350" s="3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2"/>
      <c r="G351" s="1"/>
      <c r="H351" s="1"/>
      <c r="I351" s="1"/>
      <c r="J351" s="3"/>
      <c r="K351" s="1"/>
      <c r="L351" s="3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2"/>
      <c r="G352" s="1"/>
      <c r="H352" s="1"/>
      <c r="I352" s="1"/>
      <c r="J352" s="3"/>
      <c r="K352" s="1"/>
      <c r="L352" s="3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2"/>
      <c r="G353" s="1"/>
      <c r="H353" s="1"/>
      <c r="I353" s="1"/>
      <c r="J353" s="3"/>
      <c r="K353" s="1"/>
      <c r="L353" s="3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2"/>
      <c r="G354" s="1"/>
      <c r="H354" s="1"/>
      <c r="I354" s="1"/>
      <c r="J354" s="3"/>
      <c r="K354" s="1"/>
      <c r="L354" s="3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2"/>
      <c r="G355" s="1"/>
      <c r="H355" s="1"/>
      <c r="I355" s="1"/>
      <c r="J355" s="3"/>
      <c r="K355" s="1"/>
      <c r="L355" s="3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2"/>
      <c r="G356" s="1"/>
      <c r="H356" s="1"/>
      <c r="I356" s="1"/>
      <c r="J356" s="3"/>
      <c r="K356" s="1"/>
      <c r="L356" s="3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2"/>
      <c r="G357" s="1"/>
      <c r="H357" s="1"/>
      <c r="I357" s="1"/>
      <c r="J357" s="3"/>
      <c r="K357" s="1"/>
      <c r="L357" s="3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2"/>
      <c r="G358" s="1"/>
      <c r="H358" s="1"/>
      <c r="I358" s="1"/>
      <c r="J358" s="3"/>
      <c r="K358" s="1"/>
      <c r="L358" s="3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2"/>
      <c r="G359" s="1"/>
      <c r="H359" s="1"/>
      <c r="I359" s="1"/>
      <c r="J359" s="3"/>
      <c r="K359" s="1"/>
      <c r="L359" s="3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2"/>
      <c r="G360" s="1"/>
      <c r="H360" s="1"/>
      <c r="I360" s="1"/>
      <c r="J360" s="3"/>
      <c r="K360" s="1"/>
      <c r="L360" s="3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2"/>
      <c r="G361" s="1"/>
      <c r="H361" s="1"/>
      <c r="I361" s="1"/>
      <c r="J361" s="3"/>
      <c r="K361" s="1"/>
      <c r="L361" s="3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2"/>
      <c r="G362" s="1"/>
      <c r="H362" s="1"/>
      <c r="I362" s="1"/>
      <c r="J362" s="3"/>
      <c r="K362" s="1"/>
      <c r="L362" s="3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2"/>
      <c r="G363" s="1"/>
      <c r="H363" s="1"/>
      <c r="I363" s="1"/>
      <c r="J363" s="3"/>
      <c r="K363" s="1"/>
      <c r="L363" s="3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2"/>
      <c r="G364" s="1"/>
      <c r="H364" s="1"/>
      <c r="I364" s="1"/>
      <c r="J364" s="3"/>
      <c r="K364" s="1"/>
      <c r="L364" s="3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2"/>
      <c r="G365" s="1"/>
      <c r="H365" s="1"/>
      <c r="I365" s="1"/>
      <c r="J365" s="3"/>
      <c r="K365" s="1"/>
      <c r="L365" s="3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2"/>
      <c r="G366" s="1"/>
      <c r="H366" s="1"/>
      <c r="I366" s="1"/>
      <c r="J366" s="3"/>
      <c r="K366" s="1"/>
      <c r="L366" s="3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2"/>
      <c r="G367" s="1"/>
      <c r="H367" s="1"/>
      <c r="I367" s="1"/>
      <c r="J367" s="3"/>
      <c r="K367" s="1"/>
      <c r="L367" s="3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2"/>
      <c r="G368" s="1"/>
      <c r="H368" s="1"/>
      <c r="I368" s="1"/>
      <c r="J368" s="3"/>
      <c r="K368" s="1"/>
      <c r="L368" s="3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2"/>
      <c r="G369" s="1"/>
      <c r="H369" s="1"/>
      <c r="I369" s="1"/>
      <c r="J369" s="3"/>
      <c r="K369" s="1"/>
      <c r="L369" s="3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2"/>
      <c r="G370" s="1"/>
      <c r="H370" s="1"/>
      <c r="I370" s="1"/>
      <c r="J370" s="3"/>
      <c r="K370" s="1"/>
      <c r="L370" s="3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2"/>
      <c r="G371" s="1"/>
      <c r="H371" s="1"/>
      <c r="I371" s="1"/>
      <c r="J371" s="3"/>
      <c r="K371" s="1"/>
      <c r="L371" s="3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2"/>
      <c r="G372" s="1"/>
      <c r="H372" s="1"/>
      <c r="I372" s="1"/>
      <c r="J372" s="3"/>
      <c r="K372" s="1"/>
      <c r="L372" s="3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2"/>
      <c r="G373" s="1"/>
      <c r="H373" s="1"/>
      <c r="I373" s="1"/>
      <c r="J373" s="3"/>
      <c r="K373" s="1"/>
      <c r="L373" s="3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2"/>
      <c r="G374" s="1"/>
      <c r="H374" s="1"/>
      <c r="I374" s="1"/>
      <c r="J374" s="3"/>
      <c r="K374" s="1"/>
      <c r="L374" s="3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2"/>
      <c r="G375" s="1"/>
      <c r="H375" s="1"/>
      <c r="I375" s="1"/>
      <c r="J375" s="3"/>
      <c r="K375" s="1"/>
      <c r="L375" s="3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2"/>
      <c r="G376" s="1"/>
      <c r="H376" s="1"/>
      <c r="I376" s="1"/>
      <c r="J376" s="3"/>
      <c r="K376" s="1"/>
      <c r="L376" s="3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2"/>
      <c r="G377" s="1"/>
      <c r="H377" s="1"/>
      <c r="I377" s="1"/>
      <c r="J377" s="3"/>
      <c r="K377" s="1"/>
      <c r="L377" s="3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2"/>
      <c r="G378" s="1"/>
      <c r="H378" s="1"/>
      <c r="I378" s="1"/>
      <c r="J378" s="3"/>
      <c r="K378" s="1"/>
      <c r="L378" s="3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2"/>
      <c r="G379" s="1"/>
      <c r="H379" s="1"/>
      <c r="I379" s="1"/>
      <c r="J379" s="3"/>
      <c r="K379" s="1"/>
      <c r="L379" s="3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2"/>
      <c r="G380" s="1"/>
      <c r="H380" s="1"/>
      <c r="I380" s="1"/>
      <c r="J380" s="3"/>
      <c r="K380" s="1"/>
      <c r="L380" s="3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2"/>
      <c r="G381" s="1"/>
      <c r="H381" s="1"/>
      <c r="I381" s="1"/>
      <c r="J381" s="3"/>
      <c r="K381" s="1"/>
      <c r="L381" s="3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2"/>
      <c r="G382" s="1"/>
      <c r="H382" s="1"/>
      <c r="I382" s="1"/>
      <c r="J382" s="3"/>
      <c r="K382" s="1"/>
      <c r="L382" s="3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2"/>
      <c r="G383" s="1"/>
      <c r="H383" s="1"/>
      <c r="I383" s="1"/>
      <c r="J383" s="3"/>
      <c r="K383" s="1"/>
      <c r="L383" s="3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2"/>
      <c r="G384" s="1"/>
      <c r="H384" s="1"/>
      <c r="I384" s="1"/>
      <c r="J384" s="3"/>
      <c r="K384" s="1"/>
      <c r="L384" s="3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2"/>
      <c r="G385" s="1"/>
      <c r="H385" s="1"/>
      <c r="I385" s="1"/>
      <c r="J385" s="3"/>
      <c r="K385" s="1"/>
      <c r="L385" s="3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2"/>
      <c r="G386" s="1"/>
      <c r="H386" s="1"/>
      <c r="I386" s="1"/>
      <c r="J386" s="3"/>
      <c r="K386" s="1"/>
      <c r="L386" s="3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2"/>
      <c r="G387" s="1"/>
      <c r="H387" s="1"/>
      <c r="I387" s="1"/>
      <c r="J387" s="3"/>
      <c r="K387" s="1"/>
      <c r="L387" s="3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2"/>
      <c r="G388" s="1"/>
      <c r="H388" s="1"/>
      <c r="I388" s="1"/>
      <c r="J388" s="3"/>
      <c r="K388" s="1"/>
      <c r="L388" s="3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2"/>
      <c r="G389" s="1"/>
      <c r="H389" s="1"/>
      <c r="I389" s="1"/>
      <c r="J389" s="3"/>
      <c r="K389" s="1"/>
      <c r="L389" s="3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2"/>
      <c r="G390" s="1"/>
      <c r="H390" s="1"/>
      <c r="I390" s="1"/>
      <c r="J390" s="3"/>
      <c r="K390" s="1"/>
      <c r="L390" s="3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2"/>
      <c r="G391" s="1"/>
      <c r="H391" s="1"/>
      <c r="I391" s="1"/>
      <c r="J391" s="3"/>
      <c r="K391" s="1"/>
      <c r="L391" s="3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2"/>
      <c r="G392" s="1"/>
      <c r="H392" s="1"/>
      <c r="I392" s="1"/>
      <c r="J392" s="3"/>
      <c r="K392" s="1"/>
      <c r="L392" s="3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2"/>
      <c r="G393" s="1"/>
      <c r="H393" s="1"/>
      <c r="I393" s="1"/>
      <c r="J393" s="3"/>
      <c r="K393" s="1"/>
      <c r="L393" s="3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2"/>
      <c r="G394" s="1"/>
      <c r="H394" s="1"/>
      <c r="I394" s="1"/>
      <c r="J394" s="3"/>
      <c r="K394" s="1"/>
      <c r="L394" s="3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2"/>
      <c r="G395" s="1"/>
      <c r="H395" s="1"/>
      <c r="I395" s="1"/>
      <c r="J395" s="3"/>
      <c r="K395" s="1"/>
      <c r="L395" s="3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2"/>
      <c r="G396" s="1"/>
      <c r="H396" s="1"/>
      <c r="I396" s="1"/>
      <c r="J396" s="3"/>
      <c r="K396" s="1"/>
      <c r="L396" s="3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2"/>
      <c r="G397" s="1"/>
      <c r="H397" s="1"/>
      <c r="I397" s="1"/>
      <c r="J397" s="3"/>
      <c r="K397" s="1"/>
      <c r="L397" s="3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2"/>
      <c r="G398" s="1"/>
      <c r="H398" s="1"/>
      <c r="I398" s="1"/>
      <c r="J398" s="3"/>
      <c r="K398" s="1"/>
      <c r="L398" s="3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2"/>
      <c r="G399" s="1"/>
      <c r="H399" s="1"/>
      <c r="I399" s="1"/>
      <c r="J399" s="3"/>
      <c r="K399" s="1"/>
      <c r="L399" s="3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2"/>
      <c r="G400" s="1"/>
      <c r="H400" s="1"/>
      <c r="I400" s="1"/>
      <c r="J400" s="3"/>
      <c r="K400" s="1"/>
      <c r="L400" s="3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2"/>
      <c r="G401" s="1"/>
      <c r="H401" s="1"/>
      <c r="I401" s="1"/>
      <c r="J401" s="3"/>
      <c r="K401" s="1"/>
      <c r="L401" s="3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2"/>
      <c r="G402" s="1"/>
      <c r="H402" s="1"/>
      <c r="I402" s="1"/>
      <c r="J402" s="3"/>
      <c r="K402" s="1"/>
      <c r="L402" s="3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2"/>
      <c r="G403" s="1"/>
      <c r="H403" s="1"/>
      <c r="I403" s="1"/>
      <c r="J403" s="3"/>
      <c r="K403" s="1"/>
      <c r="L403" s="3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2"/>
      <c r="G404" s="1"/>
      <c r="H404" s="1"/>
      <c r="I404" s="1"/>
      <c r="J404" s="3"/>
      <c r="K404" s="1"/>
      <c r="L404" s="3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2"/>
      <c r="G405" s="1"/>
      <c r="H405" s="1"/>
      <c r="I405" s="1"/>
      <c r="J405" s="3"/>
      <c r="K405" s="1"/>
      <c r="L405" s="3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2"/>
      <c r="G406" s="1"/>
      <c r="H406" s="1"/>
      <c r="I406" s="1"/>
      <c r="J406" s="3"/>
      <c r="K406" s="1"/>
      <c r="L406" s="3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2"/>
      <c r="G407" s="1"/>
      <c r="H407" s="1"/>
      <c r="I407" s="1"/>
      <c r="J407" s="3"/>
      <c r="K407" s="1"/>
      <c r="L407" s="3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2"/>
      <c r="G408" s="1"/>
      <c r="H408" s="1"/>
      <c r="I408" s="1"/>
      <c r="J408" s="3"/>
      <c r="K408" s="1"/>
      <c r="L408" s="3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2"/>
      <c r="G409" s="1"/>
      <c r="H409" s="1"/>
      <c r="I409" s="1"/>
      <c r="J409" s="3"/>
      <c r="K409" s="1"/>
      <c r="L409" s="3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2"/>
      <c r="G410" s="1"/>
      <c r="H410" s="1"/>
      <c r="I410" s="1"/>
      <c r="J410" s="3"/>
      <c r="K410" s="1"/>
      <c r="L410" s="3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2"/>
      <c r="G411" s="1"/>
      <c r="H411" s="1"/>
      <c r="I411" s="1"/>
      <c r="J411" s="3"/>
      <c r="K411" s="1"/>
      <c r="L411" s="3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2"/>
      <c r="G412" s="1"/>
      <c r="H412" s="1"/>
      <c r="I412" s="1"/>
      <c r="J412" s="3"/>
      <c r="K412" s="1"/>
      <c r="L412" s="3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2"/>
      <c r="G413" s="1"/>
      <c r="H413" s="1"/>
      <c r="I413" s="1"/>
      <c r="J413" s="3"/>
      <c r="K413" s="1"/>
      <c r="L413" s="3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2"/>
      <c r="G414" s="1"/>
      <c r="H414" s="1"/>
      <c r="I414" s="1"/>
      <c r="J414" s="3"/>
      <c r="K414" s="1"/>
      <c r="L414" s="3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2"/>
      <c r="G415" s="1"/>
      <c r="H415" s="1"/>
      <c r="I415" s="1"/>
      <c r="J415" s="3"/>
      <c r="K415" s="1"/>
      <c r="L415" s="3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2"/>
      <c r="G416" s="1"/>
      <c r="H416" s="1"/>
      <c r="I416" s="1"/>
      <c r="J416" s="3"/>
      <c r="K416" s="1"/>
      <c r="L416" s="3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2"/>
      <c r="G417" s="1"/>
      <c r="H417" s="1"/>
      <c r="I417" s="1"/>
      <c r="J417" s="3"/>
      <c r="K417" s="1"/>
      <c r="L417" s="3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2"/>
      <c r="G418" s="1"/>
      <c r="H418" s="1"/>
      <c r="I418" s="1"/>
      <c r="J418" s="3"/>
      <c r="K418" s="1"/>
      <c r="L418" s="3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2"/>
      <c r="G419" s="1"/>
      <c r="H419" s="1"/>
      <c r="I419" s="1"/>
      <c r="J419" s="3"/>
      <c r="K419" s="1"/>
      <c r="L419" s="3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2"/>
      <c r="G420" s="1"/>
      <c r="H420" s="1"/>
      <c r="I420" s="1"/>
      <c r="J420" s="3"/>
      <c r="K420" s="1"/>
      <c r="L420" s="3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2"/>
      <c r="G421" s="1"/>
      <c r="H421" s="1"/>
      <c r="I421" s="1"/>
      <c r="J421" s="3"/>
      <c r="K421" s="1"/>
      <c r="L421" s="3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2"/>
      <c r="G422" s="1"/>
      <c r="H422" s="1"/>
      <c r="I422" s="1"/>
      <c r="J422" s="3"/>
      <c r="K422" s="1"/>
      <c r="L422" s="3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2"/>
      <c r="G423" s="1"/>
      <c r="H423" s="1"/>
      <c r="I423" s="1"/>
      <c r="J423" s="3"/>
      <c r="K423" s="1"/>
      <c r="L423" s="3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2"/>
      <c r="G424" s="1"/>
      <c r="H424" s="1"/>
      <c r="I424" s="1"/>
      <c r="J424" s="3"/>
      <c r="K424" s="1"/>
      <c r="L424" s="3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2"/>
      <c r="G425" s="1"/>
      <c r="H425" s="1"/>
      <c r="I425" s="1"/>
      <c r="J425" s="3"/>
      <c r="K425" s="1"/>
      <c r="L425" s="3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2"/>
      <c r="G426" s="1"/>
      <c r="H426" s="1"/>
      <c r="I426" s="1"/>
      <c r="J426" s="3"/>
      <c r="K426" s="1"/>
      <c r="L426" s="3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2"/>
      <c r="G427" s="1"/>
      <c r="H427" s="1"/>
      <c r="I427" s="1"/>
      <c r="J427" s="3"/>
      <c r="K427" s="1"/>
      <c r="L427" s="3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2"/>
      <c r="G428" s="1"/>
      <c r="H428" s="1"/>
      <c r="I428" s="1"/>
      <c r="J428" s="3"/>
      <c r="K428" s="1"/>
      <c r="L428" s="3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2"/>
      <c r="G429" s="1"/>
      <c r="H429" s="1"/>
      <c r="I429" s="1"/>
      <c r="J429" s="3"/>
      <c r="K429" s="1"/>
      <c r="L429" s="3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2"/>
      <c r="G430" s="1"/>
      <c r="H430" s="1"/>
      <c r="I430" s="1"/>
      <c r="J430" s="3"/>
      <c r="K430" s="1"/>
      <c r="L430" s="3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2"/>
      <c r="G431" s="1"/>
      <c r="H431" s="1"/>
      <c r="I431" s="1"/>
      <c r="J431" s="3"/>
      <c r="K431" s="1"/>
      <c r="L431" s="3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2"/>
      <c r="G432" s="1"/>
      <c r="H432" s="1"/>
      <c r="I432" s="1"/>
      <c r="J432" s="3"/>
      <c r="K432" s="1"/>
      <c r="L432" s="3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2"/>
      <c r="G433" s="1"/>
      <c r="H433" s="1"/>
      <c r="I433" s="1"/>
      <c r="J433" s="3"/>
      <c r="K433" s="1"/>
      <c r="L433" s="3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2"/>
      <c r="G434" s="1"/>
      <c r="H434" s="1"/>
      <c r="I434" s="1"/>
      <c r="J434" s="3"/>
      <c r="K434" s="1"/>
      <c r="L434" s="3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2"/>
      <c r="G435" s="1"/>
      <c r="H435" s="1"/>
      <c r="I435" s="1"/>
      <c r="J435" s="3"/>
      <c r="K435" s="1"/>
      <c r="L435" s="3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2"/>
      <c r="G436" s="1"/>
      <c r="H436" s="1"/>
      <c r="I436" s="1"/>
      <c r="J436" s="3"/>
      <c r="K436" s="1"/>
      <c r="L436" s="3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2"/>
      <c r="G437" s="1"/>
      <c r="H437" s="1"/>
      <c r="I437" s="1"/>
      <c r="J437" s="3"/>
      <c r="K437" s="1"/>
      <c r="L437" s="3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2"/>
      <c r="G438" s="1"/>
      <c r="H438" s="1"/>
      <c r="I438" s="1"/>
      <c r="J438" s="3"/>
      <c r="K438" s="1"/>
      <c r="L438" s="3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2"/>
      <c r="G439" s="1"/>
      <c r="H439" s="1"/>
      <c r="I439" s="1"/>
      <c r="J439" s="3"/>
      <c r="K439" s="1"/>
      <c r="L439" s="3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2"/>
      <c r="G440" s="1"/>
      <c r="H440" s="1"/>
      <c r="I440" s="1"/>
      <c r="J440" s="3"/>
      <c r="K440" s="1"/>
      <c r="L440" s="3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2"/>
      <c r="G441" s="1"/>
      <c r="H441" s="1"/>
      <c r="I441" s="1"/>
      <c r="J441" s="3"/>
      <c r="K441" s="1"/>
      <c r="L441" s="3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2"/>
      <c r="G442" s="1"/>
      <c r="H442" s="1"/>
      <c r="I442" s="1"/>
      <c r="J442" s="3"/>
      <c r="K442" s="1"/>
      <c r="L442" s="3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2"/>
      <c r="G443" s="1"/>
      <c r="H443" s="1"/>
      <c r="I443" s="1"/>
      <c r="J443" s="3"/>
      <c r="K443" s="1"/>
      <c r="L443" s="3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2"/>
      <c r="G444" s="1"/>
      <c r="H444" s="1"/>
      <c r="I444" s="1"/>
      <c r="J444" s="3"/>
      <c r="K444" s="1"/>
      <c r="L444" s="3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2"/>
      <c r="G445" s="1"/>
      <c r="H445" s="1"/>
      <c r="I445" s="1"/>
      <c r="J445" s="3"/>
      <c r="K445" s="1"/>
      <c r="L445" s="3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2"/>
      <c r="G446" s="1"/>
      <c r="H446" s="1"/>
      <c r="I446" s="1"/>
      <c r="J446" s="3"/>
      <c r="K446" s="1"/>
      <c r="L446" s="3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2"/>
      <c r="G447" s="1"/>
      <c r="H447" s="1"/>
      <c r="I447" s="1"/>
      <c r="J447" s="3"/>
      <c r="K447" s="1"/>
      <c r="L447" s="3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2"/>
      <c r="G448" s="1"/>
      <c r="H448" s="1"/>
      <c r="I448" s="1"/>
      <c r="J448" s="3"/>
      <c r="K448" s="1"/>
      <c r="L448" s="3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2"/>
      <c r="G449" s="1"/>
      <c r="H449" s="1"/>
      <c r="I449" s="1"/>
      <c r="J449" s="3"/>
      <c r="K449" s="1"/>
      <c r="L449" s="3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2"/>
      <c r="G450" s="1"/>
      <c r="H450" s="1"/>
      <c r="I450" s="1"/>
      <c r="J450" s="3"/>
      <c r="K450" s="1"/>
      <c r="L450" s="3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2"/>
      <c r="G451" s="1"/>
      <c r="H451" s="1"/>
      <c r="I451" s="1"/>
      <c r="J451" s="3"/>
      <c r="K451" s="1"/>
      <c r="L451" s="3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2"/>
      <c r="G452" s="1"/>
      <c r="H452" s="1"/>
      <c r="I452" s="1"/>
      <c r="J452" s="3"/>
      <c r="K452" s="1"/>
      <c r="L452" s="3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2"/>
      <c r="G453" s="1"/>
      <c r="H453" s="1"/>
      <c r="I453" s="1"/>
      <c r="J453" s="3"/>
      <c r="K453" s="1"/>
      <c r="L453" s="3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2"/>
      <c r="G454" s="1"/>
      <c r="H454" s="1"/>
      <c r="I454" s="1"/>
      <c r="J454" s="3"/>
      <c r="K454" s="1"/>
      <c r="L454" s="3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2"/>
      <c r="G455" s="1"/>
      <c r="H455" s="1"/>
      <c r="I455" s="1"/>
      <c r="J455" s="3"/>
      <c r="K455" s="1"/>
      <c r="L455" s="3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2"/>
      <c r="G456" s="1"/>
      <c r="H456" s="1"/>
      <c r="I456" s="1"/>
      <c r="J456" s="3"/>
      <c r="K456" s="1"/>
      <c r="L456" s="3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2"/>
      <c r="G457" s="1"/>
      <c r="H457" s="1"/>
      <c r="I457" s="1"/>
      <c r="J457" s="3"/>
      <c r="K457" s="1"/>
      <c r="L457" s="3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2"/>
      <c r="G458" s="1"/>
      <c r="H458" s="1"/>
      <c r="I458" s="1"/>
      <c r="J458" s="3"/>
      <c r="K458" s="1"/>
      <c r="L458" s="3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2"/>
      <c r="G459" s="1"/>
      <c r="H459" s="1"/>
      <c r="I459" s="1"/>
      <c r="J459" s="3"/>
      <c r="K459" s="1"/>
      <c r="L459" s="3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2"/>
      <c r="G460" s="1"/>
      <c r="H460" s="1"/>
      <c r="I460" s="1"/>
      <c r="J460" s="3"/>
      <c r="K460" s="1"/>
      <c r="L460" s="3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2"/>
      <c r="G461" s="1"/>
      <c r="H461" s="1"/>
      <c r="I461" s="1"/>
      <c r="J461" s="3"/>
      <c r="K461" s="1"/>
      <c r="L461" s="3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2"/>
      <c r="G462" s="1"/>
      <c r="H462" s="1"/>
      <c r="I462" s="1"/>
      <c r="J462" s="3"/>
      <c r="K462" s="1"/>
      <c r="L462" s="3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2"/>
      <c r="G463" s="1"/>
      <c r="H463" s="1"/>
      <c r="I463" s="1"/>
      <c r="J463" s="3"/>
      <c r="K463" s="1"/>
      <c r="L463" s="3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2"/>
      <c r="G464" s="1"/>
      <c r="H464" s="1"/>
      <c r="I464" s="1"/>
      <c r="J464" s="3"/>
      <c r="K464" s="1"/>
      <c r="L464" s="3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2"/>
      <c r="G465" s="1"/>
      <c r="H465" s="1"/>
      <c r="I465" s="1"/>
      <c r="J465" s="3"/>
      <c r="K465" s="1"/>
      <c r="L465" s="3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2"/>
      <c r="G466" s="1"/>
      <c r="H466" s="1"/>
      <c r="I466" s="1"/>
      <c r="J466" s="3"/>
      <c r="K466" s="1"/>
      <c r="L466" s="3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2"/>
      <c r="G467" s="1"/>
      <c r="H467" s="1"/>
      <c r="I467" s="1"/>
      <c r="J467" s="3"/>
      <c r="K467" s="1"/>
      <c r="L467" s="3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2"/>
      <c r="G468" s="1"/>
      <c r="H468" s="1"/>
      <c r="I468" s="1"/>
      <c r="J468" s="3"/>
      <c r="K468" s="1"/>
      <c r="L468" s="3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2"/>
      <c r="G469" s="1"/>
      <c r="H469" s="1"/>
      <c r="I469" s="1"/>
      <c r="J469" s="3"/>
      <c r="K469" s="1"/>
      <c r="L469" s="3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2"/>
      <c r="G470" s="1"/>
      <c r="H470" s="1"/>
      <c r="I470" s="1"/>
      <c r="J470" s="3"/>
      <c r="K470" s="1"/>
      <c r="L470" s="3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2"/>
      <c r="G471" s="1"/>
      <c r="H471" s="1"/>
      <c r="I471" s="1"/>
      <c r="J471" s="3"/>
      <c r="K471" s="1"/>
      <c r="L471" s="3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2"/>
      <c r="G472" s="1"/>
      <c r="H472" s="1"/>
      <c r="I472" s="1"/>
      <c r="J472" s="3"/>
      <c r="K472" s="1"/>
      <c r="L472" s="3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2"/>
      <c r="G473" s="1"/>
      <c r="H473" s="1"/>
      <c r="I473" s="1"/>
      <c r="J473" s="3"/>
      <c r="K473" s="1"/>
      <c r="L473" s="3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2"/>
      <c r="G474" s="1"/>
      <c r="H474" s="1"/>
      <c r="I474" s="1"/>
      <c r="J474" s="3"/>
      <c r="K474" s="1"/>
      <c r="L474" s="3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2"/>
      <c r="G475" s="1"/>
      <c r="H475" s="1"/>
      <c r="I475" s="1"/>
      <c r="J475" s="3"/>
      <c r="K475" s="1"/>
      <c r="L475" s="3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2"/>
      <c r="G476" s="1"/>
      <c r="H476" s="1"/>
      <c r="I476" s="1"/>
      <c r="J476" s="3"/>
      <c r="K476" s="1"/>
      <c r="L476" s="3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2"/>
      <c r="G477" s="1"/>
      <c r="H477" s="1"/>
      <c r="I477" s="1"/>
      <c r="J477" s="3"/>
      <c r="K477" s="1"/>
      <c r="L477" s="3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2"/>
      <c r="G478" s="1"/>
      <c r="H478" s="1"/>
      <c r="I478" s="1"/>
      <c r="J478" s="3"/>
      <c r="K478" s="1"/>
      <c r="L478" s="3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2"/>
      <c r="G479" s="1"/>
      <c r="H479" s="1"/>
      <c r="I479" s="1"/>
      <c r="J479" s="3"/>
      <c r="K479" s="1"/>
      <c r="L479" s="3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2"/>
      <c r="G480" s="1"/>
      <c r="H480" s="1"/>
      <c r="I480" s="1"/>
      <c r="J480" s="3"/>
      <c r="K480" s="1"/>
      <c r="L480" s="3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2"/>
      <c r="G481" s="1"/>
      <c r="H481" s="1"/>
      <c r="I481" s="1"/>
      <c r="J481" s="3"/>
      <c r="K481" s="1"/>
      <c r="L481" s="3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2"/>
      <c r="G482" s="1"/>
      <c r="H482" s="1"/>
      <c r="I482" s="1"/>
      <c r="J482" s="3"/>
      <c r="K482" s="1"/>
      <c r="L482" s="3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2"/>
      <c r="G483" s="1"/>
      <c r="H483" s="1"/>
      <c r="I483" s="1"/>
      <c r="J483" s="3"/>
      <c r="K483" s="1"/>
      <c r="L483" s="3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2"/>
      <c r="G484" s="1"/>
      <c r="H484" s="1"/>
      <c r="I484" s="1"/>
      <c r="J484" s="3"/>
      <c r="K484" s="1"/>
      <c r="L484" s="3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2"/>
      <c r="G485" s="1"/>
      <c r="H485" s="1"/>
      <c r="I485" s="1"/>
      <c r="J485" s="3"/>
      <c r="K485" s="1"/>
      <c r="L485" s="3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2"/>
      <c r="G486" s="1"/>
      <c r="H486" s="1"/>
      <c r="I486" s="1"/>
      <c r="J486" s="3"/>
      <c r="K486" s="1"/>
      <c r="L486" s="3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2"/>
      <c r="G487" s="1"/>
      <c r="H487" s="1"/>
      <c r="I487" s="1"/>
      <c r="J487" s="3"/>
      <c r="K487" s="1"/>
      <c r="L487" s="3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2"/>
      <c r="G488" s="1"/>
      <c r="H488" s="1"/>
      <c r="I488" s="1"/>
      <c r="J488" s="3"/>
      <c r="K488" s="1"/>
      <c r="L488" s="3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2"/>
      <c r="G489" s="1"/>
      <c r="H489" s="1"/>
      <c r="I489" s="1"/>
      <c r="J489" s="3"/>
      <c r="K489" s="1"/>
      <c r="L489" s="3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2"/>
      <c r="G490" s="1"/>
      <c r="H490" s="1"/>
      <c r="I490" s="1"/>
      <c r="J490" s="3"/>
      <c r="K490" s="1"/>
      <c r="L490" s="3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2"/>
      <c r="G491" s="1"/>
      <c r="H491" s="1"/>
      <c r="I491" s="1"/>
      <c r="J491" s="3"/>
      <c r="K491" s="1"/>
      <c r="L491" s="3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2"/>
      <c r="G492" s="1"/>
      <c r="H492" s="1"/>
      <c r="I492" s="1"/>
      <c r="J492" s="3"/>
      <c r="K492" s="1"/>
      <c r="L492" s="3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2"/>
      <c r="G493" s="1"/>
      <c r="H493" s="1"/>
      <c r="I493" s="1"/>
      <c r="J493" s="3"/>
      <c r="K493" s="1"/>
      <c r="L493" s="3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2"/>
      <c r="G494" s="1"/>
      <c r="H494" s="1"/>
      <c r="I494" s="1"/>
      <c r="J494" s="3"/>
      <c r="K494" s="1"/>
      <c r="L494" s="3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2"/>
      <c r="G495" s="1"/>
      <c r="H495" s="1"/>
      <c r="I495" s="1"/>
      <c r="J495" s="3"/>
      <c r="K495" s="1"/>
      <c r="L495" s="3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2"/>
      <c r="G496" s="1"/>
      <c r="H496" s="1"/>
      <c r="I496" s="1"/>
      <c r="J496" s="3"/>
      <c r="K496" s="1"/>
      <c r="L496" s="3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2"/>
      <c r="G497" s="1"/>
      <c r="H497" s="1"/>
      <c r="I497" s="1"/>
      <c r="J497" s="3"/>
      <c r="K497" s="1"/>
      <c r="L497" s="3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2"/>
      <c r="G498" s="1"/>
      <c r="H498" s="1"/>
      <c r="I498" s="1"/>
      <c r="J498" s="3"/>
      <c r="K498" s="1"/>
      <c r="L498" s="3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2"/>
      <c r="G499" s="1"/>
      <c r="H499" s="1"/>
      <c r="I499" s="1"/>
      <c r="J499" s="3"/>
      <c r="K499" s="1"/>
      <c r="L499" s="3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2"/>
      <c r="G500" s="1"/>
      <c r="H500" s="1"/>
      <c r="I500" s="1"/>
      <c r="J500" s="3"/>
      <c r="K500" s="1"/>
      <c r="L500" s="3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2"/>
      <c r="G501" s="1"/>
      <c r="H501" s="1"/>
      <c r="I501" s="1"/>
      <c r="J501" s="3"/>
      <c r="K501" s="1"/>
      <c r="L501" s="3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2"/>
      <c r="G502" s="1"/>
      <c r="H502" s="1"/>
      <c r="I502" s="1"/>
      <c r="J502" s="3"/>
      <c r="K502" s="1"/>
      <c r="L502" s="3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2"/>
      <c r="G503" s="1"/>
      <c r="H503" s="1"/>
      <c r="I503" s="1"/>
      <c r="J503" s="3"/>
      <c r="K503" s="1"/>
      <c r="L503" s="3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2"/>
      <c r="G504" s="1"/>
      <c r="H504" s="1"/>
      <c r="I504" s="1"/>
      <c r="J504" s="3"/>
      <c r="K504" s="1"/>
      <c r="L504" s="3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2"/>
      <c r="G505" s="1"/>
      <c r="H505" s="1"/>
      <c r="I505" s="1"/>
      <c r="J505" s="3"/>
      <c r="K505" s="1"/>
      <c r="L505" s="3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2"/>
      <c r="G506" s="1"/>
      <c r="H506" s="1"/>
      <c r="I506" s="1"/>
      <c r="J506" s="3"/>
      <c r="K506" s="1"/>
      <c r="L506" s="3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2"/>
      <c r="G507" s="1"/>
      <c r="H507" s="1"/>
      <c r="I507" s="1"/>
      <c r="J507" s="3"/>
      <c r="K507" s="1"/>
      <c r="L507" s="3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2"/>
      <c r="G508" s="1"/>
      <c r="H508" s="1"/>
      <c r="I508" s="1"/>
      <c r="J508" s="3"/>
      <c r="K508" s="1"/>
      <c r="L508" s="3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2"/>
      <c r="G509" s="1"/>
      <c r="H509" s="1"/>
      <c r="I509" s="1"/>
      <c r="J509" s="3"/>
      <c r="K509" s="1"/>
      <c r="L509" s="3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2"/>
      <c r="G510" s="1"/>
      <c r="H510" s="1"/>
      <c r="I510" s="1"/>
      <c r="J510" s="3"/>
      <c r="K510" s="1"/>
      <c r="L510" s="3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2"/>
      <c r="G511" s="1"/>
      <c r="H511" s="1"/>
      <c r="I511" s="1"/>
      <c r="J511" s="3"/>
      <c r="K511" s="1"/>
      <c r="L511" s="3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2"/>
      <c r="G512" s="1"/>
      <c r="H512" s="1"/>
      <c r="I512" s="1"/>
      <c r="J512" s="3"/>
      <c r="K512" s="1"/>
      <c r="L512" s="3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2"/>
      <c r="G513" s="1"/>
      <c r="H513" s="1"/>
      <c r="I513" s="1"/>
      <c r="J513" s="3"/>
      <c r="K513" s="1"/>
      <c r="L513" s="3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2"/>
      <c r="G514" s="1"/>
      <c r="H514" s="1"/>
      <c r="I514" s="1"/>
      <c r="J514" s="3"/>
      <c r="K514" s="1"/>
      <c r="L514" s="3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2"/>
      <c r="G515" s="1"/>
      <c r="H515" s="1"/>
      <c r="I515" s="1"/>
      <c r="J515" s="3"/>
      <c r="K515" s="1"/>
      <c r="L515" s="3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2"/>
      <c r="G516" s="1"/>
      <c r="H516" s="1"/>
      <c r="I516" s="1"/>
      <c r="J516" s="3"/>
      <c r="K516" s="1"/>
      <c r="L516" s="3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2"/>
      <c r="G517" s="1"/>
      <c r="H517" s="1"/>
      <c r="I517" s="1"/>
      <c r="J517" s="3"/>
      <c r="K517" s="1"/>
      <c r="L517" s="3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2"/>
      <c r="G518" s="1"/>
      <c r="H518" s="1"/>
      <c r="I518" s="1"/>
      <c r="J518" s="3"/>
      <c r="K518" s="1"/>
      <c r="L518" s="3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2"/>
      <c r="G519" s="1"/>
      <c r="H519" s="1"/>
      <c r="I519" s="1"/>
      <c r="J519" s="3"/>
      <c r="K519" s="1"/>
      <c r="L519" s="3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2"/>
      <c r="G520" s="1"/>
      <c r="H520" s="1"/>
      <c r="I520" s="1"/>
      <c r="J520" s="3"/>
      <c r="K520" s="1"/>
      <c r="L520" s="3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2"/>
      <c r="G521" s="1"/>
      <c r="H521" s="1"/>
      <c r="I521" s="1"/>
      <c r="J521" s="3"/>
      <c r="K521" s="1"/>
      <c r="L521" s="3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2"/>
      <c r="G522" s="1"/>
      <c r="H522" s="1"/>
      <c r="I522" s="1"/>
      <c r="J522" s="3"/>
      <c r="K522" s="1"/>
      <c r="L522" s="3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2"/>
      <c r="G523" s="1"/>
      <c r="H523" s="1"/>
      <c r="I523" s="1"/>
      <c r="J523" s="3"/>
      <c r="K523" s="1"/>
      <c r="L523" s="3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2"/>
      <c r="G524" s="1"/>
      <c r="H524" s="1"/>
      <c r="I524" s="1"/>
      <c r="J524" s="3"/>
      <c r="K524" s="1"/>
      <c r="L524" s="3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2"/>
      <c r="G525" s="1"/>
      <c r="H525" s="1"/>
      <c r="I525" s="1"/>
      <c r="J525" s="3"/>
      <c r="K525" s="1"/>
      <c r="L525" s="3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2"/>
      <c r="G526" s="1"/>
      <c r="H526" s="1"/>
      <c r="I526" s="1"/>
      <c r="J526" s="3"/>
      <c r="K526" s="1"/>
      <c r="L526" s="3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2"/>
      <c r="G527" s="1"/>
      <c r="H527" s="1"/>
      <c r="I527" s="1"/>
      <c r="J527" s="3"/>
      <c r="K527" s="1"/>
      <c r="L527" s="3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2"/>
      <c r="G528" s="1"/>
      <c r="H528" s="1"/>
      <c r="I528" s="1"/>
      <c r="J528" s="3"/>
      <c r="K528" s="1"/>
      <c r="L528" s="3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2"/>
      <c r="G529" s="1"/>
      <c r="H529" s="1"/>
      <c r="I529" s="1"/>
      <c r="J529" s="3"/>
      <c r="K529" s="1"/>
      <c r="L529" s="3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2"/>
      <c r="G530" s="1"/>
      <c r="H530" s="1"/>
      <c r="I530" s="1"/>
      <c r="J530" s="3"/>
      <c r="K530" s="1"/>
      <c r="L530" s="3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2"/>
      <c r="G531" s="1"/>
      <c r="H531" s="1"/>
      <c r="I531" s="1"/>
      <c r="J531" s="3"/>
      <c r="K531" s="1"/>
      <c r="L531" s="3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2"/>
      <c r="G532" s="1"/>
      <c r="H532" s="1"/>
      <c r="I532" s="1"/>
      <c r="J532" s="3"/>
      <c r="K532" s="1"/>
      <c r="L532" s="3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2"/>
      <c r="G533" s="1"/>
      <c r="H533" s="1"/>
      <c r="I533" s="1"/>
      <c r="J533" s="3"/>
      <c r="K533" s="1"/>
      <c r="L533" s="3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2"/>
      <c r="G534" s="1"/>
      <c r="H534" s="1"/>
      <c r="I534" s="1"/>
      <c r="J534" s="3"/>
      <c r="K534" s="1"/>
      <c r="L534" s="3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2"/>
      <c r="G535" s="1"/>
      <c r="H535" s="1"/>
      <c r="I535" s="1"/>
      <c r="J535" s="3"/>
      <c r="K535" s="1"/>
      <c r="L535" s="3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2"/>
      <c r="G536" s="1"/>
      <c r="H536" s="1"/>
      <c r="I536" s="1"/>
      <c r="J536" s="3"/>
      <c r="K536" s="1"/>
      <c r="L536" s="3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2"/>
      <c r="G537" s="1"/>
      <c r="H537" s="1"/>
      <c r="I537" s="1"/>
      <c r="J537" s="3"/>
      <c r="K537" s="1"/>
      <c r="L537" s="3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2"/>
      <c r="G538" s="1"/>
      <c r="H538" s="1"/>
      <c r="I538" s="1"/>
      <c r="J538" s="3"/>
      <c r="K538" s="1"/>
      <c r="L538" s="3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2"/>
      <c r="G539" s="1"/>
      <c r="H539" s="1"/>
      <c r="I539" s="1"/>
      <c r="J539" s="3"/>
      <c r="K539" s="1"/>
      <c r="L539" s="3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2"/>
      <c r="G540" s="1"/>
      <c r="H540" s="1"/>
      <c r="I540" s="1"/>
      <c r="J540" s="3"/>
      <c r="K540" s="1"/>
      <c r="L540" s="3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2"/>
      <c r="G541" s="1"/>
      <c r="H541" s="1"/>
      <c r="I541" s="1"/>
      <c r="J541" s="3"/>
      <c r="K541" s="1"/>
      <c r="L541" s="3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2"/>
      <c r="G542" s="1"/>
      <c r="H542" s="1"/>
      <c r="I542" s="1"/>
      <c r="J542" s="3"/>
      <c r="K542" s="1"/>
      <c r="L542" s="3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2"/>
      <c r="G543" s="1"/>
      <c r="H543" s="1"/>
      <c r="I543" s="1"/>
      <c r="J543" s="3"/>
      <c r="K543" s="1"/>
      <c r="L543" s="3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2"/>
      <c r="G544" s="1"/>
      <c r="H544" s="1"/>
      <c r="I544" s="1"/>
      <c r="J544" s="3"/>
      <c r="K544" s="1"/>
      <c r="L544" s="3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2"/>
      <c r="G545" s="1"/>
      <c r="H545" s="1"/>
      <c r="I545" s="1"/>
      <c r="J545" s="3"/>
      <c r="K545" s="1"/>
      <c r="L545" s="3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2"/>
      <c r="G546" s="1"/>
      <c r="H546" s="1"/>
      <c r="I546" s="1"/>
      <c r="J546" s="3"/>
      <c r="K546" s="1"/>
      <c r="L546" s="3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2"/>
      <c r="G547" s="1"/>
      <c r="H547" s="1"/>
      <c r="I547" s="1"/>
      <c r="J547" s="3"/>
      <c r="K547" s="1"/>
      <c r="L547" s="3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2"/>
      <c r="G548" s="1"/>
      <c r="H548" s="1"/>
      <c r="I548" s="1"/>
      <c r="J548" s="3"/>
      <c r="K548" s="1"/>
      <c r="L548" s="3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2"/>
      <c r="G549" s="1"/>
      <c r="H549" s="1"/>
      <c r="I549" s="1"/>
      <c r="J549" s="3"/>
      <c r="K549" s="1"/>
      <c r="L549" s="3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2"/>
      <c r="G550" s="1"/>
      <c r="H550" s="1"/>
      <c r="I550" s="1"/>
      <c r="J550" s="3"/>
      <c r="K550" s="1"/>
      <c r="L550" s="3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2"/>
      <c r="G551" s="1"/>
      <c r="H551" s="1"/>
      <c r="I551" s="1"/>
      <c r="J551" s="3"/>
      <c r="K551" s="1"/>
      <c r="L551" s="3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2"/>
      <c r="G552" s="1"/>
      <c r="H552" s="1"/>
      <c r="I552" s="1"/>
      <c r="J552" s="3"/>
      <c r="K552" s="1"/>
      <c r="L552" s="3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2"/>
      <c r="G553" s="1"/>
      <c r="H553" s="1"/>
      <c r="I553" s="1"/>
      <c r="J553" s="3"/>
      <c r="K553" s="1"/>
      <c r="L553" s="3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2"/>
      <c r="G554" s="1"/>
      <c r="H554" s="1"/>
      <c r="I554" s="1"/>
      <c r="J554" s="3"/>
      <c r="K554" s="1"/>
      <c r="L554" s="3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2"/>
      <c r="G555" s="1"/>
      <c r="H555" s="1"/>
      <c r="I555" s="1"/>
      <c r="J555" s="3"/>
      <c r="K555" s="1"/>
      <c r="L555" s="3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2"/>
      <c r="G556" s="1"/>
      <c r="H556" s="1"/>
      <c r="I556" s="1"/>
      <c r="J556" s="3"/>
      <c r="K556" s="1"/>
      <c r="L556" s="3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2"/>
      <c r="G557" s="1"/>
      <c r="H557" s="1"/>
      <c r="I557" s="1"/>
      <c r="J557" s="3"/>
      <c r="K557" s="1"/>
      <c r="L557" s="3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2"/>
      <c r="G558" s="1"/>
      <c r="H558" s="1"/>
      <c r="I558" s="1"/>
      <c r="J558" s="3"/>
      <c r="K558" s="1"/>
      <c r="L558" s="3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2"/>
      <c r="G559" s="1"/>
      <c r="H559" s="1"/>
      <c r="I559" s="1"/>
      <c r="J559" s="3"/>
      <c r="K559" s="1"/>
      <c r="L559" s="3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2"/>
      <c r="G560" s="1"/>
      <c r="H560" s="1"/>
      <c r="I560" s="1"/>
      <c r="J560" s="3"/>
      <c r="K560" s="1"/>
      <c r="L560" s="3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2"/>
      <c r="G561" s="1"/>
      <c r="H561" s="1"/>
      <c r="I561" s="1"/>
      <c r="J561" s="3"/>
      <c r="K561" s="1"/>
      <c r="L561" s="3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2"/>
      <c r="G562" s="1"/>
      <c r="H562" s="1"/>
      <c r="I562" s="1"/>
      <c r="J562" s="3"/>
      <c r="K562" s="1"/>
      <c r="L562" s="3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2"/>
      <c r="G563" s="1"/>
      <c r="H563" s="1"/>
      <c r="I563" s="1"/>
      <c r="J563" s="3"/>
      <c r="K563" s="1"/>
      <c r="L563" s="3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2"/>
      <c r="G564" s="1"/>
      <c r="H564" s="1"/>
      <c r="I564" s="1"/>
      <c r="J564" s="3"/>
      <c r="K564" s="1"/>
      <c r="L564" s="3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2"/>
      <c r="G565" s="1"/>
      <c r="H565" s="1"/>
      <c r="I565" s="1"/>
      <c r="J565" s="3"/>
      <c r="K565" s="1"/>
      <c r="L565" s="3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2"/>
      <c r="G566" s="1"/>
      <c r="H566" s="1"/>
      <c r="I566" s="1"/>
      <c r="J566" s="3"/>
      <c r="K566" s="1"/>
      <c r="L566" s="3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2"/>
      <c r="G567" s="1"/>
      <c r="H567" s="1"/>
      <c r="I567" s="1"/>
      <c r="J567" s="3"/>
      <c r="K567" s="1"/>
      <c r="L567" s="3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2"/>
      <c r="G568" s="1"/>
      <c r="H568" s="1"/>
      <c r="I568" s="1"/>
      <c r="J568" s="3"/>
      <c r="K568" s="1"/>
      <c r="L568" s="3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2"/>
      <c r="G569" s="1"/>
      <c r="H569" s="1"/>
      <c r="I569" s="1"/>
      <c r="J569" s="3"/>
      <c r="K569" s="1"/>
      <c r="L569" s="3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2"/>
      <c r="G570" s="1"/>
      <c r="H570" s="1"/>
      <c r="I570" s="1"/>
      <c r="J570" s="3"/>
      <c r="K570" s="1"/>
      <c r="L570" s="3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2"/>
      <c r="G571" s="1"/>
      <c r="H571" s="1"/>
      <c r="I571" s="1"/>
      <c r="J571" s="3"/>
      <c r="K571" s="1"/>
      <c r="L571" s="3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2"/>
      <c r="G572" s="1"/>
      <c r="H572" s="1"/>
      <c r="I572" s="1"/>
      <c r="J572" s="3"/>
      <c r="K572" s="1"/>
      <c r="L572" s="3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2"/>
      <c r="G573" s="1"/>
      <c r="H573" s="1"/>
      <c r="I573" s="1"/>
      <c r="J573" s="3"/>
      <c r="K573" s="1"/>
      <c r="L573" s="3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2"/>
      <c r="G574" s="1"/>
      <c r="H574" s="1"/>
      <c r="I574" s="1"/>
      <c r="J574" s="3"/>
      <c r="K574" s="1"/>
      <c r="L574" s="3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2"/>
      <c r="G575" s="1"/>
      <c r="H575" s="1"/>
      <c r="I575" s="1"/>
      <c r="J575" s="3"/>
      <c r="K575" s="1"/>
      <c r="L575" s="3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2"/>
      <c r="G576" s="1"/>
      <c r="H576" s="1"/>
      <c r="I576" s="1"/>
      <c r="J576" s="3"/>
      <c r="K576" s="1"/>
      <c r="L576" s="3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2"/>
      <c r="G577" s="1"/>
      <c r="H577" s="1"/>
      <c r="I577" s="1"/>
      <c r="J577" s="3"/>
      <c r="K577" s="1"/>
      <c r="L577" s="3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2"/>
      <c r="G578" s="1"/>
      <c r="H578" s="1"/>
      <c r="I578" s="1"/>
      <c r="J578" s="3"/>
      <c r="K578" s="1"/>
      <c r="L578" s="3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2"/>
      <c r="G579" s="1"/>
      <c r="H579" s="1"/>
      <c r="I579" s="1"/>
      <c r="J579" s="3"/>
      <c r="K579" s="1"/>
      <c r="L579" s="3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2"/>
      <c r="G580" s="1"/>
      <c r="H580" s="1"/>
      <c r="I580" s="1"/>
      <c r="J580" s="3"/>
      <c r="K580" s="1"/>
      <c r="L580" s="3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2"/>
      <c r="G581" s="1"/>
      <c r="H581" s="1"/>
      <c r="I581" s="1"/>
      <c r="J581" s="3"/>
      <c r="K581" s="1"/>
      <c r="L581" s="3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2"/>
      <c r="G582" s="1"/>
      <c r="H582" s="1"/>
      <c r="I582" s="1"/>
      <c r="J582" s="3"/>
      <c r="K582" s="1"/>
      <c r="L582" s="3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2"/>
      <c r="G583" s="1"/>
      <c r="H583" s="1"/>
      <c r="I583" s="1"/>
      <c r="J583" s="3"/>
      <c r="K583" s="1"/>
      <c r="L583" s="3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2"/>
      <c r="G584" s="1"/>
      <c r="H584" s="1"/>
      <c r="I584" s="1"/>
      <c r="J584" s="3"/>
      <c r="K584" s="1"/>
      <c r="L584" s="3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2"/>
      <c r="G585" s="1"/>
      <c r="H585" s="1"/>
      <c r="I585" s="1"/>
      <c r="J585" s="3"/>
      <c r="K585" s="1"/>
      <c r="L585" s="3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2"/>
      <c r="G586" s="1"/>
      <c r="H586" s="1"/>
      <c r="I586" s="1"/>
      <c r="J586" s="3"/>
      <c r="K586" s="1"/>
      <c r="L586" s="3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2"/>
      <c r="G587" s="1"/>
      <c r="H587" s="1"/>
      <c r="I587" s="1"/>
      <c r="J587" s="3"/>
      <c r="K587" s="1"/>
      <c r="L587" s="3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2"/>
      <c r="G588" s="1"/>
      <c r="H588" s="1"/>
      <c r="I588" s="1"/>
      <c r="J588" s="3"/>
      <c r="K588" s="1"/>
      <c r="L588" s="3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2"/>
      <c r="G589" s="1"/>
      <c r="H589" s="1"/>
      <c r="I589" s="1"/>
      <c r="J589" s="3"/>
      <c r="K589" s="1"/>
      <c r="L589" s="3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2"/>
      <c r="G590" s="1"/>
      <c r="H590" s="1"/>
      <c r="I590" s="1"/>
      <c r="J590" s="3"/>
      <c r="K590" s="1"/>
      <c r="L590" s="3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2"/>
      <c r="G591" s="1"/>
      <c r="H591" s="1"/>
      <c r="I591" s="1"/>
      <c r="J591" s="3"/>
      <c r="K591" s="1"/>
      <c r="L591" s="3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2"/>
      <c r="G592" s="1"/>
      <c r="H592" s="1"/>
      <c r="I592" s="1"/>
      <c r="J592" s="3"/>
      <c r="K592" s="1"/>
      <c r="L592" s="3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2"/>
      <c r="G593" s="1"/>
      <c r="H593" s="1"/>
      <c r="I593" s="1"/>
      <c r="J593" s="3"/>
      <c r="K593" s="1"/>
      <c r="L593" s="3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2"/>
      <c r="G594" s="1"/>
      <c r="H594" s="1"/>
      <c r="I594" s="1"/>
      <c r="J594" s="3"/>
      <c r="K594" s="1"/>
      <c r="L594" s="3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2"/>
      <c r="G595" s="1"/>
      <c r="H595" s="1"/>
      <c r="I595" s="1"/>
      <c r="J595" s="3"/>
      <c r="K595" s="1"/>
      <c r="L595" s="3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2"/>
      <c r="G596" s="1"/>
      <c r="H596" s="1"/>
      <c r="I596" s="1"/>
      <c r="J596" s="3"/>
      <c r="K596" s="1"/>
      <c r="L596" s="3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2"/>
      <c r="G597" s="1"/>
      <c r="H597" s="1"/>
      <c r="I597" s="1"/>
      <c r="J597" s="3"/>
      <c r="K597" s="1"/>
      <c r="L597" s="3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2"/>
      <c r="G598" s="1"/>
      <c r="H598" s="1"/>
      <c r="I598" s="1"/>
      <c r="J598" s="3"/>
      <c r="K598" s="1"/>
      <c r="L598" s="3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2"/>
      <c r="G599" s="1"/>
      <c r="H599" s="1"/>
      <c r="I599" s="1"/>
      <c r="J599" s="3"/>
      <c r="K599" s="1"/>
      <c r="L599" s="3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2"/>
      <c r="G600" s="1"/>
      <c r="H600" s="1"/>
      <c r="I600" s="1"/>
      <c r="J600" s="3"/>
      <c r="K600" s="1"/>
      <c r="L600" s="3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2"/>
      <c r="G601" s="1"/>
      <c r="H601" s="1"/>
      <c r="I601" s="1"/>
      <c r="J601" s="3"/>
      <c r="K601" s="1"/>
      <c r="L601" s="3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2"/>
      <c r="G602" s="1"/>
      <c r="H602" s="1"/>
      <c r="I602" s="1"/>
      <c r="J602" s="3"/>
      <c r="K602" s="1"/>
      <c r="L602" s="3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2"/>
      <c r="G603" s="1"/>
      <c r="H603" s="1"/>
      <c r="I603" s="1"/>
      <c r="J603" s="3"/>
      <c r="K603" s="1"/>
      <c r="L603" s="3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2"/>
      <c r="G604" s="1"/>
      <c r="H604" s="1"/>
      <c r="I604" s="1"/>
      <c r="J604" s="3"/>
      <c r="K604" s="1"/>
      <c r="L604" s="3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2"/>
      <c r="G605" s="1"/>
      <c r="H605" s="1"/>
      <c r="I605" s="1"/>
      <c r="J605" s="3"/>
      <c r="K605" s="1"/>
      <c r="L605" s="3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2"/>
      <c r="G606" s="1"/>
      <c r="H606" s="1"/>
      <c r="I606" s="1"/>
      <c r="J606" s="3"/>
      <c r="K606" s="1"/>
      <c r="L606" s="3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2"/>
      <c r="G607" s="1"/>
      <c r="H607" s="1"/>
      <c r="I607" s="1"/>
      <c r="J607" s="3"/>
      <c r="K607" s="1"/>
      <c r="L607" s="3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2"/>
      <c r="G608" s="1"/>
      <c r="H608" s="1"/>
      <c r="I608" s="1"/>
      <c r="J608" s="3"/>
      <c r="K608" s="1"/>
      <c r="L608" s="3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2"/>
      <c r="G609" s="1"/>
      <c r="H609" s="1"/>
      <c r="I609" s="1"/>
      <c r="J609" s="3"/>
      <c r="K609" s="1"/>
      <c r="L609" s="3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2"/>
      <c r="G610" s="1"/>
      <c r="H610" s="1"/>
      <c r="I610" s="1"/>
      <c r="J610" s="3"/>
      <c r="K610" s="1"/>
      <c r="L610" s="3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2"/>
      <c r="G611" s="1"/>
      <c r="H611" s="1"/>
      <c r="I611" s="1"/>
      <c r="J611" s="3"/>
      <c r="K611" s="1"/>
      <c r="L611" s="3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2"/>
      <c r="G612" s="1"/>
      <c r="H612" s="1"/>
      <c r="I612" s="1"/>
      <c r="J612" s="3"/>
      <c r="K612" s="1"/>
      <c r="L612" s="3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2"/>
      <c r="G613" s="1"/>
      <c r="H613" s="1"/>
      <c r="I613" s="1"/>
      <c r="J613" s="3"/>
      <c r="K613" s="1"/>
      <c r="L613" s="3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2"/>
      <c r="G614" s="1"/>
      <c r="H614" s="1"/>
      <c r="I614" s="1"/>
      <c r="J614" s="3"/>
      <c r="K614" s="1"/>
      <c r="L614" s="3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2"/>
      <c r="G615" s="1"/>
      <c r="H615" s="1"/>
      <c r="I615" s="1"/>
      <c r="J615" s="3"/>
      <c r="K615" s="1"/>
      <c r="L615" s="3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2"/>
      <c r="G616" s="1"/>
      <c r="H616" s="1"/>
      <c r="I616" s="1"/>
      <c r="J616" s="3"/>
      <c r="K616" s="1"/>
      <c r="L616" s="3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2"/>
      <c r="G617" s="1"/>
      <c r="H617" s="1"/>
      <c r="I617" s="1"/>
      <c r="J617" s="3"/>
      <c r="K617" s="1"/>
      <c r="L617" s="3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2"/>
      <c r="G618" s="1"/>
      <c r="H618" s="1"/>
      <c r="I618" s="1"/>
      <c r="J618" s="3"/>
      <c r="K618" s="1"/>
      <c r="L618" s="3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2"/>
      <c r="G619" s="1"/>
      <c r="H619" s="1"/>
      <c r="I619" s="1"/>
      <c r="J619" s="3"/>
      <c r="K619" s="1"/>
      <c r="L619" s="3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2"/>
      <c r="G620" s="1"/>
      <c r="H620" s="1"/>
      <c r="I620" s="1"/>
      <c r="J620" s="3"/>
      <c r="K620" s="1"/>
      <c r="L620" s="3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2"/>
      <c r="G621" s="1"/>
      <c r="H621" s="1"/>
      <c r="I621" s="1"/>
      <c r="J621" s="3"/>
      <c r="K621" s="1"/>
      <c r="L621" s="3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2"/>
      <c r="G622" s="1"/>
      <c r="H622" s="1"/>
      <c r="I622" s="1"/>
      <c r="J622" s="3"/>
      <c r="K622" s="1"/>
      <c r="L622" s="3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2"/>
      <c r="G623" s="1"/>
      <c r="H623" s="1"/>
      <c r="I623" s="1"/>
      <c r="J623" s="3"/>
      <c r="K623" s="1"/>
      <c r="L623" s="3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2"/>
      <c r="G624" s="1"/>
      <c r="H624" s="1"/>
      <c r="I624" s="1"/>
      <c r="J624" s="3"/>
      <c r="K624" s="1"/>
      <c r="L624" s="3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2"/>
      <c r="G625" s="1"/>
      <c r="H625" s="1"/>
      <c r="I625" s="1"/>
      <c r="J625" s="3"/>
      <c r="K625" s="1"/>
      <c r="L625" s="3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2"/>
      <c r="G626" s="1"/>
      <c r="H626" s="1"/>
      <c r="I626" s="1"/>
      <c r="J626" s="3"/>
      <c r="K626" s="1"/>
      <c r="L626" s="3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2"/>
      <c r="G627" s="1"/>
      <c r="H627" s="1"/>
      <c r="I627" s="1"/>
      <c r="J627" s="3"/>
      <c r="K627" s="1"/>
      <c r="L627" s="3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2"/>
      <c r="G628" s="1"/>
      <c r="H628" s="1"/>
      <c r="I628" s="1"/>
      <c r="J628" s="3"/>
      <c r="K628" s="1"/>
      <c r="L628" s="3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2"/>
      <c r="G629" s="1"/>
      <c r="H629" s="1"/>
      <c r="I629" s="1"/>
      <c r="J629" s="3"/>
      <c r="K629" s="1"/>
      <c r="L629" s="3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2"/>
      <c r="G630" s="1"/>
      <c r="H630" s="1"/>
      <c r="I630" s="1"/>
      <c r="J630" s="3"/>
      <c r="K630" s="1"/>
      <c r="L630" s="3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2"/>
      <c r="G631" s="1"/>
      <c r="H631" s="1"/>
      <c r="I631" s="1"/>
      <c r="J631" s="3"/>
      <c r="K631" s="1"/>
      <c r="L631" s="3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2"/>
      <c r="G632" s="1"/>
      <c r="H632" s="1"/>
      <c r="I632" s="1"/>
      <c r="J632" s="3"/>
      <c r="K632" s="1"/>
      <c r="L632" s="3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2"/>
      <c r="G633" s="1"/>
      <c r="H633" s="1"/>
      <c r="I633" s="1"/>
      <c r="J633" s="3"/>
      <c r="K633" s="1"/>
      <c r="L633" s="3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2"/>
      <c r="G634" s="1"/>
      <c r="H634" s="1"/>
      <c r="I634" s="1"/>
      <c r="J634" s="3"/>
      <c r="K634" s="1"/>
      <c r="L634" s="3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2"/>
      <c r="G635" s="1"/>
      <c r="H635" s="1"/>
      <c r="I635" s="1"/>
      <c r="J635" s="3"/>
      <c r="K635" s="1"/>
      <c r="L635" s="3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2"/>
      <c r="G636" s="1"/>
      <c r="H636" s="1"/>
      <c r="I636" s="1"/>
      <c r="J636" s="3"/>
      <c r="K636" s="1"/>
      <c r="L636" s="3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2"/>
      <c r="G637" s="1"/>
      <c r="H637" s="1"/>
      <c r="I637" s="1"/>
      <c r="J637" s="3"/>
      <c r="K637" s="1"/>
      <c r="L637" s="3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2"/>
      <c r="G638" s="1"/>
      <c r="H638" s="1"/>
      <c r="I638" s="1"/>
      <c r="J638" s="3"/>
      <c r="K638" s="1"/>
      <c r="L638" s="3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2"/>
      <c r="G639" s="1"/>
      <c r="H639" s="1"/>
      <c r="I639" s="1"/>
      <c r="J639" s="3"/>
      <c r="K639" s="1"/>
      <c r="L639" s="3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2"/>
      <c r="G640" s="1"/>
      <c r="H640" s="1"/>
      <c r="I640" s="1"/>
      <c r="J640" s="3"/>
      <c r="K640" s="1"/>
      <c r="L640" s="3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2"/>
      <c r="G641" s="1"/>
      <c r="H641" s="1"/>
      <c r="I641" s="1"/>
      <c r="J641" s="3"/>
      <c r="K641" s="1"/>
      <c r="L641" s="3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2"/>
      <c r="G642" s="1"/>
      <c r="H642" s="1"/>
      <c r="I642" s="1"/>
      <c r="J642" s="3"/>
      <c r="K642" s="1"/>
      <c r="L642" s="3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2"/>
      <c r="G643" s="1"/>
      <c r="H643" s="1"/>
      <c r="I643" s="1"/>
      <c r="J643" s="3"/>
      <c r="K643" s="1"/>
      <c r="L643" s="3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2"/>
      <c r="G644" s="1"/>
      <c r="H644" s="1"/>
      <c r="I644" s="1"/>
      <c r="J644" s="3"/>
      <c r="K644" s="1"/>
      <c r="L644" s="3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2"/>
      <c r="G645" s="1"/>
      <c r="H645" s="1"/>
      <c r="I645" s="1"/>
      <c r="J645" s="3"/>
      <c r="K645" s="1"/>
      <c r="L645" s="3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2"/>
      <c r="G646" s="1"/>
      <c r="H646" s="1"/>
      <c r="I646" s="1"/>
      <c r="J646" s="3"/>
      <c r="K646" s="1"/>
      <c r="L646" s="3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2"/>
      <c r="G647" s="1"/>
      <c r="H647" s="1"/>
      <c r="I647" s="1"/>
      <c r="J647" s="3"/>
      <c r="K647" s="1"/>
      <c r="L647" s="3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2"/>
      <c r="G648" s="1"/>
      <c r="H648" s="1"/>
      <c r="I648" s="1"/>
      <c r="J648" s="3"/>
      <c r="K648" s="1"/>
      <c r="L648" s="3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2"/>
      <c r="G649" s="1"/>
      <c r="H649" s="1"/>
      <c r="I649" s="1"/>
      <c r="J649" s="3"/>
      <c r="K649" s="1"/>
      <c r="L649" s="3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2"/>
      <c r="G650" s="1"/>
      <c r="H650" s="1"/>
      <c r="I650" s="1"/>
      <c r="J650" s="3"/>
      <c r="K650" s="1"/>
      <c r="L650" s="3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2"/>
      <c r="G651" s="1"/>
      <c r="H651" s="1"/>
      <c r="I651" s="1"/>
      <c r="J651" s="3"/>
      <c r="K651" s="1"/>
      <c r="L651" s="3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2"/>
      <c r="G652" s="1"/>
      <c r="H652" s="1"/>
      <c r="I652" s="1"/>
      <c r="J652" s="3"/>
      <c r="K652" s="1"/>
      <c r="L652" s="3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2"/>
      <c r="G653" s="1"/>
      <c r="H653" s="1"/>
      <c r="I653" s="1"/>
      <c r="J653" s="3"/>
      <c r="K653" s="1"/>
      <c r="L653" s="3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2"/>
      <c r="G654" s="1"/>
      <c r="H654" s="1"/>
      <c r="I654" s="1"/>
      <c r="J654" s="3"/>
      <c r="K654" s="1"/>
      <c r="L654" s="3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2"/>
      <c r="G655" s="1"/>
      <c r="H655" s="1"/>
      <c r="I655" s="1"/>
      <c r="J655" s="3"/>
      <c r="K655" s="1"/>
      <c r="L655" s="3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2"/>
      <c r="G656" s="1"/>
      <c r="H656" s="1"/>
      <c r="I656" s="1"/>
      <c r="J656" s="3"/>
      <c r="K656" s="1"/>
      <c r="L656" s="3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2"/>
      <c r="G657" s="1"/>
      <c r="H657" s="1"/>
      <c r="I657" s="1"/>
      <c r="J657" s="3"/>
      <c r="K657" s="1"/>
      <c r="L657" s="3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2"/>
      <c r="G658" s="1"/>
      <c r="H658" s="1"/>
      <c r="I658" s="1"/>
      <c r="J658" s="3"/>
      <c r="K658" s="1"/>
      <c r="L658" s="3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2"/>
      <c r="G659" s="1"/>
      <c r="H659" s="1"/>
      <c r="I659" s="1"/>
      <c r="J659" s="3"/>
      <c r="K659" s="1"/>
      <c r="L659" s="3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2"/>
      <c r="G660" s="1"/>
      <c r="H660" s="1"/>
      <c r="I660" s="1"/>
      <c r="J660" s="3"/>
      <c r="K660" s="1"/>
      <c r="L660" s="3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2"/>
      <c r="G661" s="1"/>
      <c r="H661" s="1"/>
      <c r="I661" s="1"/>
      <c r="J661" s="3"/>
      <c r="K661" s="1"/>
      <c r="L661" s="3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2"/>
      <c r="G662" s="1"/>
      <c r="H662" s="1"/>
      <c r="I662" s="1"/>
      <c r="J662" s="3"/>
      <c r="K662" s="1"/>
      <c r="L662" s="3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2"/>
      <c r="G663" s="1"/>
      <c r="H663" s="1"/>
      <c r="I663" s="1"/>
      <c r="J663" s="3"/>
      <c r="K663" s="1"/>
      <c r="L663" s="3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2"/>
      <c r="G664" s="1"/>
      <c r="H664" s="1"/>
      <c r="I664" s="1"/>
      <c r="J664" s="3"/>
      <c r="K664" s="1"/>
      <c r="L664" s="3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2"/>
      <c r="G665" s="1"/>
      <c r="H665" s="1"/>
      <c r="I665" s="1"/>
      <c r="J665" s="3"/>
      <c r="K665" s="1"/>
      <c r="L665" s="3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2"/>
      <c r="G666" s="1"/>
      <c r="H666" s="1"/>
      <c r="I666" s="1"/>
      <c r="J666" s="3"/>
      <c r="K666" s="1"/>
      <c r="L666" s="3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2"/>
      <c r="G667" s="1"/>
      <c r="H667" s="1"/>
      <c r="I667" s="1"/>
      <c r="J667" s="3"/>
      <c r="K667" s="1"/>
      <c r="L667" s="3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2"/>
      <c r="G668" s="1"/>
      <c r="H668" s="1"/>
      <c r="I668" s="1"/>
      <c r="J668" s="3"/>
      <c r="K668" s="1"/>
      <c r="L668" s="3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2"/>
      <c r="G669" s="1"/>
      <c r="H669" s="1"/>
      <c r="I669" s="1"/>
      <c r="J669" s="3"/>
      <c r="K669" s="1"/>
      <c r="L669" s="3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2"/>
      <c r="G670" s="1"/>
      <c r="H670" s="1"/>
      <c r="I670" s="1"/>
      <c r="J670" s="3"/>
      <c r="K670" s="1"/>
      <c r="L670" s="3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2"/>
      <c r="G671" s="1"/>
      <c r="H671" s="1"/>
      <c r="I671" s="1"/>
      <c r="J671" s="3"/>
      <c r="K671" s="1"/>
      <c r="L671" s="3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2"/>
      <c r="G672" s="1"/>
      <c r="H672" s="1"/>
      <c r="I672" s="1"/>
      <c r="J672" s="3"/>
      <c r="K672" s="1"/>
      <c r="L672" s="3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2"/>
      <c r="G673" s="1"/>
      <c r="H673" s="1"/>
      <c r="I673" s="1"/>
      <c r="J673" s="3"/>
      <c r="K673" s="1"/>
      <c r="L673" s="3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2"/>
      <c r="G674" s="1"/>
      <c r="H674" s="1"/>
      <c r="I674" s="1"/>
      <c r="J674" s="3"/>
      <c r="K674" s="1"/>
      <c r="L674" s="3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2"/>
      <c r="G675" s="1"/>
      <c r="H675" s="1"/>
      <c r="I675" s="1"/>
      <c r="J675" s="3"/>
      <c r="K675" s="1"/>
      <c r="L675" s="3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2"/>
      <c r="G676" s="1"/>
      <c r="H676" s="1"/>
      <c r="I676" s="1"/>
      <c r="J676" s="3"/>
      <c r="K676" s="1"/>
      <c r="L676" s="3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2"/>
      <c r="G677" s="1"/>
      <c r="H677" s="1"/>
      <c r="I677" s="1"/>
      <c r="J677" s="3"/>
      <c r="K677" s="1"/>
      <c r="L677" s="3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2"/>
      <c r="G678" s="1"/>
      <c r="H678" s="1"/>
      <c r="I678" s="1"/>
      <c r="J678" s="3"/>
      <c r="K678" s="1"/>
      <c r="L678" s="3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2"/>
      <c r="G679" s="1"/>
      <c r="H679" s="1"/>
      <c r="I679" s="1"/>
      <c r="J679" s="3"/>
      <c r="K679" s="1"/>
      <c r="L679" s="3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2"/>
      <c r="G680" s="1"/>
      <c r="H680" s="1"/>
      <c r="I680" s="1"/>
      <c r="J680" s="3"/>
      <c r="K680" s="1"/>
      <c r="L680" s="3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2"/>
      <c r="G681" s="1"/>
      <c r="H681" s="1"/>
      <c r="I681" s="1"/>
      <c r="J681" s="3"/>
      <c r="K681" s="1"/>
      <c r="L681" s="3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2"/>
      <c r="G682" s="1"/>
      <c r="H682" s="1"/>
      <c r="I682" s="1"/>
      <c r="J682" s="3"/>
      <c r="K682" s="1"/>
      <c r="L682" s="3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2"/>
      <c r="G683" s="1"/>
      <c r="H683" s="1"/>
      <c r="I683" s="1"/>
      <c r="J683" s="3"/>
      <c r="K683" s="1"/>
      <c r="L683" s="3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2"/>
      <c r="G684" s="1"/>
      <c r="H684" s="1"/>
      <c r="I684" s="1"/>
      <c r="J684" s="3"/>
      <c r="K684" s="1"/>
      <c r="L684" s="3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2"/>
      <c r="G685" s="1"/>
      <c r="H685" s="1"/>
      <c r="I685" s="1"/>
      <c r="J685" s="3"/>
      <c r="K685" s="1"/>
      <c r="L685" s="3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2"/>
      <c r="G686" s="1"/>
      <c r="H686" s="1"/>
      <c r="I686" s="1"/>
      <c r="J686" s="3"/>
      <c r="K686" s="1"/>
      <c r="L686" s="3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2"/>
      <c r="G687" s="1"/>
      <c r="H687" s="1"/>
      <c r="I687" s="1"/>
      <c r="J687" s="3"/>
      <c r="K687" s="1"/>
      <c r="L687" s="3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2"/>
      <c r="G688" s="1"/>
      <c r="H688" s="1"/>
      <c r="I688" s="1"/>
      <c r="J688" s="3"/>
      <c r="K688" s="1"/>
      <c r="L688" s="3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2"/>
      <c r="G689" s="1"/>
      <c r="H689" s="1"/>
      <c r="I689" s="1"/>
      <c r="J689" s="3"/>
      <c r="K689" s="1"/>
      <c r="L689" s="3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2"/>
      <c r="G690" s="1"/>
      <c r="H690" s="1"/>
      <c r="I690" s="1"/>
      <c r="J690" s="3"/>
      <c r="K690" s="1"/>
      <c r="L690" s="3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2"/>
      <c r="G691" s="1"/>
      <c r="H691" s="1"/>
      <c r="I691" s="1"/>
      <c r="J691" s="3"/>
      <c r="K691" s="1"/>
      <c r="L691" s="3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2"/>
      <c r="G692" s="1"/>
      <c r="H692" s="1"/>
      <c r="I692" s="1"/>
      <c r="J692" s="3"/>
      <c r="K692" s="1"/>
      <c r="L692" s="3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2"/>
      <c r="G693" s="1"/>
      <c r="H693" s="1"/>
      <c r="I693" s="1"/>
      <c r="J693" s="3"/>
      <c r="K693" s="1"/>
      <c r="L693" s="3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2"/>
      <c r="G694" s="1"/>
      <c r="H694" s="1"/>
      <c r="I694" s="1"/>
      <c r="J694" s="3"/>
      <c r="K694" s="1"/>
      <c r="L694" s="3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2"/>
      <c r="G695" s="1"/>
      <c r="H695" s="1"/>
      <c r="I695" s="1"/>
      <c r="J695" s="3"/>
      <c r="K695" s="1"/>
      <c r="L695" s="3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2"/>
      <c r="G696" s="1"/>
      <c r="H696" s="1"/>
      <c r="I696" s="1"/>
      <c r="J696" s="3"/>
      <c r="K696" s="1"/>
      <c r="L696" s="3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2"/>
      <c r="G697" s="1"/>
      <c r="H697" s="1"/>
      <c r="I697" s="1"/>
      <c r="J697" s="3"/>
      <c r="K697" s="1"/>
      <c r="L697" s="3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2"/>
      <c r="G698" s="1"/>
      <c r="H698" s="1"/>
      <c r="I698" s="1"/>
      <c r="J698" s="3"/>
      <c r="K698" s="1"/>
      <c r="L698" s="3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2"/>
      <c r="G699" s="1"/>
      <c r="H699" s="1"/>
      <c r="I699" s="1"/>
      <c r="J699" s="3"/>
      <c r="K699" s="1"/>
      <c r="L699" s="3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2"/>
      <c r="G700" s="1"/>
      <c r="H700" s="1"/>
      <c r="I700" s="1"/>
      <c r="J700" s="3"/>
      <c r="K700" s="1"/>
      <c r="L700" s="3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2"/>
      <c r="G701" s="1"/>
      <c r="H701" s="1"/>
      <c r="I701" s="1"/>
      <c r="J701" s="3"/>
      <c r="K701" s="1"/>
      <c r="L701" s="3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2"/>
      <c r="G702" s="1"/>
      <c r="H702" s="1"/>
      <c r="I702" s="1"/>
      <c r="J702" s="3"/>
      <c r="K702" s="1"/>
      <c r="L702" s="3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2"/>
      <c r="G703" s="1"/>
      <c r="H703" s="1"/>
      <c r="I703" s="1"/>
      <c r="J703" s="3"/>
      <c r="K703" s="1"/>
      <c r="L703" s="3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2"/>
      <c r="G704" s="1"/>
      <c r="H704" s="1"/>
      <c r="I704" s="1"/>
      <c r="J704" s="3"/>
      <c r="K704" s="1"/>
      <c r="L704" s="3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2"/>
      <c r="G705" s="1"/>
      <c r="H705" s="1"/>
      <c r="I705" s="1"/>
      <c r="J705" s="3"/>
      <c r="K705" s="1"/>
      <c r="L705" s="3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2"/>
      <c r="G706" s="1"/>
      <c r="H706" s="1"/>
      <c r="I706" s="1"/>
      <c r="J706" s="3"/>
      <c r="K706" s="1"/>
      <c r="L706" s="3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2"/>
      <c r="G707" s="1"/>
      <c r="H707" s="1"/>
      <c r="I707" s="1"/>
      <c r="J707" s="3"/>
      <c r="K707" s="1"/>
      <c r="L707" s="3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2"/>
      <c r="G708" s="1"/>
      <c r="H708" s="1"/>
      <c r="I708" s="1"/>
      <c r="J708" s="3"/>
      <c r="K708" s="1"/>
      <c r="L708" s="3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2"/>
      <c r="G709" s="1"/>
      <c r="H709" s="1"/>
      <c r="I709" s="1"/>
      <c r="J709" s="3"/>
      <c r="K709" s="1"/>
      <c r="L709" s="3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2"/>
      <c r="G710" s="1"/>
      <c r="H710" s="1"/>
      <c r="I710" s="1"/>
      <c r="J710" s="3"/>
      <c r="K710" s="1"/>
      <c r="L710" s="3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2"/>
      <c r="G711" s="1"/>
      <c r="H711" s="1"/>
      <c r="I711" s="1"/>
      <c r="J711" s="3"/>
      <c r="K711" s="1"/>
      <c r="L711" s="3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2"/>
      <c r="G712" s="1"/>
      <c r="H712" s="1"/>
      <c r="I712" s="1"/>
      <c r="J712" s="3"/>
      <c r="K712" s="1"/>
      <c r="L712" s="3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2"/>
      <c r="G713" s="1"/>
      <c r="H713" s="1"/>
      <c r="I713" s="1"/>
      <c r="J713" s="3"/>
      <c r="K713" s="1"/>
      <c r="L713" s="3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2"/>
      <c r="G714" s="1"/>
      <c r="H714" s="1"/>
      <c r="I714" s="1"/>
      <c r="J714" s="3"/>
      <c r="K714" s="1"/>
      <c r="L714" s="3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2"/>
      <c r="G715" s="1"/>
      <c r="H715" s="1"/>
      <c r="I715" s="1"/>
      <c r="J715" s="3"/>
      <c r="K715" s="1"/>
      <c r="L715" s="3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2"/>
      <c r="G716" s="1"/>
      <c r="H716" s="1"/>
      <c r="I716" s="1"/>
      <c r="J716" s="3"/>
      <c r="K716" s="1"/>
      <c r="L716" s="3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2"/>
      <c r="G717" s="1"/>
      <c r="H717" s="1"/>
      <c r="I717" s="1"/>
      <c r="J717" s="3"/>
      <c r="K717" s="1"/>
      <c r="L717" s="3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2"/>
      <c r="G718" s="1"/>
      <c r="H718" s="1"/>
      <c r="I718" s="1"/>
      <c r="J718" s="3"/>
      <c r="K718" s="1"/>
      <c r="L718" s="3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2"/>
      <c r="G719" s="1"/>
      <c r="H719" s="1"/>
      <c r="I719" s="1"/>
      <c r="J719" s="3"/>
      <c r="K719" s="1"/>
      <c r="L719" s="3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2"/>
      <c r="G720" s="1"/>
      <c r="H720" s="1"/>
      <c r="I720" s="1"/>
      <c r="J720" s="3"/>
      <c r="K720" s="1"/>
      <c r="L720" s="3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2"/>
      <c r="G721" s="1"/>
      <c r="H721" s="1"/>
      <c r="I721" s="1"/>
      <c r="J721" s="3"/>
      <c r="K721" s="1"/>
      <c r="L721" s="3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2"/>
      <c r="G722" s="1"/>
      <c r="H722" s="1"/>
      <c r="I722" s="1"/>
      <c r="J722" s="3"/>
      <c r="K722" s="1"/>
      <c r="L722" s="3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2"/>
      <c r="G723" s="1"/>
      <c r="H723" s="1"/>
      <c r="I723" s="1"/>
      <c r="J723" s="3"/>
      <c r="K723" s="1"/>
      <c r="L723" s="3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2"/>
      <c r="G724" s="1"/>
      <c r="H724" s="1"/>
      <c r="I724" s="1"/>
      <c r="J724" s="3"/>
      <c r="K724" s="1"/>
      <c r="L724" s="3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2"/>
      <c r="G725" s="1"/>
      <c r="H725" s="1"/>
      <c r="I725" s="1"/>
      <c r="J725" s="3"/>
      <c r="K725" s="1"/>
      <c r="L725" s="3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2"/>
      <c r="G726" s="1"/>
      <c r="H726" s="1"/>
      <c r="I726" s="1"/>
      <c r="J726" s="3"/>
      <c r="K726" s="1"/>
      <c r="L726" s="3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2"/>
      <c r="G727" s="1"/>
      <c r="H727" s="1"/>
      <c r="I727" s="1"/>
      <c r="J727" s="3"/>
      <c r="K727" s="1"/>
      <c r="L727" s="3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2"/>
      <c r="G728" s="1"/>
      <c r="H728" s="1"/>
      <c r="I728" s="1"/>
      <c r="J728" s="3"/>
      <c r="K728" s="1"/>
      <c r="L728" s="3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2"/>
      <c r="G729" s="1"/>
      <c r="H729" s="1"/>
      <c r="I729" s="1"/>
      <c r="J729" s="3"/>
      <c r="K729" s="1"/>
      <c r="L729" s="3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2"/>
      <c r="G730" s="1"/>
      <c r="H730" s="1"/>
      <c r="I730" s="1"/>
      <c r="J730" s="3"/>
      <c r="K730" s="1"/>
      <c r="L730" s="3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2"/>
      <c r="G731" s="1"/>
      <c r="H731" s="1"/>
      <c r="I731" s="1"/>
      <c r="J731" s="3"/>
      <c r="K731" s="1"/>
      <c r="L731" s="3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2"/>
      <c r="G732" s="1"/>
      <c r="H732" s="1"/>
      <c r="I732" s="1"/>
      <c r="J732" s="3"/>
      <c r="K732" s="1"/>
      <c r="L732" s="3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2"/>
      <c r="G733" s="1"/>
      <c r="H733" s="1"/>
      <c r="I733" s="1"/>
      <c r="J733" s="3"/>
      <c r="K733" s="1"/>
      <c r="L733" s="3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2"/>
      <c r="G734" s="1"/>
      <c r="H734" s="1"/>
      <c r="I734" s="1"/>
      <c r="J734" s="3"/>
      <c r="K734" s="1"/>
      <c r="L734" s="3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2"/>
      <c r="G735" s="1"/>
      <c r="H735" s="1"/>
      <c r="I735" s="1"/>
      <c r="J735" s="3"/>
      <c r="K735" s="1"/>
      <c r="L735" s="3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2"/>
      <c r="G736" s="1"/>
      <c r="H736" s="1"/>
      <c r="I736" s="1"/>
      <c r="J736" s="3"/>
      <c r="K736" s="1"/>
      <c r="L736" s="3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2"/>
      <c r="G737" s="1"/>
      <c r="H737" s="1"/>
      <c r="I737" s="1"/>
      <c r="J737" s="3"/>
      <c r="K737" s="1"/>
      <c r="L737" s="3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2"/>
      <c r="G738" s="1"/>
      <c r="H738" s="1"/>
      <c r="I738" s="1"/>
      <c r="J738" s="3"/>
      <c r="K738" s="1"/>
      <c r="L738" s="3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2"/>
      <c r="G739" s="1"/>
      <c r="H739" s="1"/>
      <c r="I739" s="1"/>
      <c r="J739" s="3"/>
      <c r="K739" s="1"/>
      <c r="L739" s="3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2"/>
      <c r="G740" s="1"/>
      <c r="H740" s="1"/>
      <c r="I740" s="1"/>
      <c r="J740" s="3"/>
      <c r="K740" s="1"/>
      <c r="L740" s="3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2"/>
      <c r="G741" s="1"/>
      <c r="H741" s="1"/>
      <c r="I741" s="1"/>
      <c r="J741" s="3"/>
      <c r="K741" s="1"/>
      <c r="L741" s="3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2"/>
      <c r="G742" s="1"/>
      <c r="H742" s="1"/>
      <c r="I742" s="1"/>
      <c r="J742" s="3"/>
      <c r="K742" s="1"/>
      <c r="L742" s="3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2"/>
      <c r="G743" s="1"/>
      <c r="H743" s="1"/>
      <c r="I743" s="1"/>
      <c r="J743" s="3"/>
      <c r="K743" s="1"/>
      <c r="L743" s="3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2"/>
      <c r="G744" s="1"/>
      <c r="H744" s="1"/>
      <c r="I744" s="1"/>
      <c r="J744" s="3"/>
      <c r="K744" s="1"/>
      <c r="L744" s="3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2"/>
      <c r="G745" s="1"/>
      <c r="H745" s="1"/>
      <c r="I745" s="1"/>
      <c r="J745" s="3"/>
      <c r="K745" s="1"/>
      <c r="L745" s="3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2"/>
      <c r="G746" s="1"/>
      <c r="H746" s="1"/>
      <c r="I746" s="1"/>
      <c r="J746" s="3"/>
      <c r="K746" s="1"/>
      <c r="L746" s="3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2"/>
      <c r="G747" s="1"/>
      <c r="H747" s="1"/>
      <c r="I747" s="1"/>
      <c r="J747" s="3"/>
      <c r="K747" s="1"/>
      <c r="L747" s="3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2"/>
      <c r="G748" s="1"/>
      <c r="H748" s="1"/>
      <c r="I748" s="1"/>
      <c r="J748" s="3"/>
      <c r="K748" s="1"/>
      <c r="L748" s="3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2"/>
      <c r="G749" s="1"/>
      <c r="H749" s="1"/>
      <c r="I749" s="1"/>
      <c r="J749" s="3"/>
      <c r="K749" s="1"/>
      <c r="L749" s="3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2"/>
      <c r="G750" s="1"/>
      <c r="H750" s="1"/>
      <c r="I750" s="1"/>
      <c r="J750" s="3"/>
      <c r="K750" s="1"/>
      <c r="L750" s="3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2"/>
      <c r="G751" s="1"/>
      <c r="H751" s="1"/>
      <c r="I751" s="1"/>
      <c r="J751" s="3"/>
      <c r="K751" s="1"/>
      <c r="L751" s="3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2"/>
      <c r="G752" s="1"/>
      <c r="H752" s="1"/>
      <c r="I752" s="1"/>
      <c r="J752" s="3"/>
      <c r="K752" s="1"/>
      <c r="L752" s="3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2"/>
      <c r="G753" s="1"/>
      <c r="H753" s="1"/>
      <c r="I753" s="1"/>
      <c r="J753" s="3"/>
      <c r="K753" s="1"/>
      <c r="L753" s="3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2"/>
      <c r="G754" s="1"/>
      <c r="H754" s="1"/>
      <c r="I754" s="1"/>
      <c r="J754" s="3"/>
      <c r="K754" s="1"/>
      <c r="L754" s="3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2"/>
      <c r="G755" s="1"/>
      <c r="H755" s="1"/>
      <c r="I755" s="1"/>
      <c r="J755" s="3"/>
      <c r="K755" s="1"/>
      <c r="L755" s="3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2"/>
      <c r="G756" s="1"/>
      <c r="H756" s="1"/>
      <c r="I756" s="1"/>
      <c r="J756" s="3"/>
      <c r="K756" s="1"/>
      <c r="L756" s="3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2"/>
      <c r="G757" s="1"/>
      <c r="H757" s="1"/>
      <c r="I757" s="1"/>
      <c r="J757" s="3"/>
      <c r="K757" s="1"/>
      <c r="L757" s="3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2"/>
      <c r="G758" s="1"/>
      <c r="H758" s="1"/>
      <c r="I758" s="1"/>
      <c r="J758" s="3"/>
      <c r="K758" s="1"/>
      <c r="L758" s="3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2"/>
      <c r="G759" s="1"/>
      <c r="H759" s="1"/>
      <c r="I759" s="1"/>
      <c r="J759" s="3"/>
      <c r="K759" s="1"/>
      <c r="L759" s="3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2"/>
      <c r="G760" s="1"/>
      <c r="H760" s="1"/>
      <c r="I760" s="1"/>
      <c r="J760" s="3"/>
      <c r="K760" s="1"/>
      <c r="L760" s="3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2"/>
      <c r="G761" s="1"/>
      <c r="H761" s="1"/>
      <c r="I761" s="1"/>
      <c r="J761" s="3"/>
      <c r="K761" s="1"/>
      <c r="L761" s="3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2"/>
      <c r="G762" s="1"/>
      <c r="H762" s="1"/>
      <c r="I762" s="1"/>
      <c r="J762" s="3"/>
      <c r="K762" s="1"/>
      <c r="L762" s="3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2"/>
      <c r="G763" s="1"/>
      <c r="H763" s="1"/>
      <c r="I763" s="1"/>
      <c r="J763" s="3"/>
      <c r="K763" s="1"/>
      <c r="L763" s="3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2"/>
      <c r="G764" s="1"/>
      <c r="H764" s="1"/>
      <c r="I764" s="1"/>
      <c r="J764" s="3"/>
      <c r="K764" s="1"/>
      <c r="L764" s="3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2"/>
      <c r="G765" s="1"/>
      <c r="H765" s="1"/>
      <c r="I765" s="1"/>
      <c r="J765" s="3"/>
      <c r="K765" s="1"/>
      <c r="L765" s="3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2"/>
      <c r="G766" s="1"/>
      <c r="H766" s="1"/>
      <c r="I766" s="1"/>
      <c r="J766" s="3"/>
      <c r="K766" s="1"/>
      <c r="L766" s="3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2"/>
      <c r="G767" s="1"/>
      <c r="H767" s="1"/>
      <c r="I767" s="1"/>
      <c r="J767" s="3"/>
      <c r="K767" s="1"/>
      <c r="L767" s="3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2"/>
      <c r="G768" s="1"/>
      <c r="H768" s="1"/>
      <c r="I768" s="1"/>
      <c r="J768" s="3"/>
      <c r="K768" s="1"/>
      <c r="L768" s="3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2"/>
      <c r="G769" s="1"/>
      <c r="H769" s="1"/>
      <c r="I769" s="1"/>
      <c r="J769" s="3"/>
      <c r="K769" s="1"/>
      <c r="L769" s="3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2"/>
      <c r="G770" s="1"/>
      <c r="H770" s="1"/>
      <c r="I770" s="1"/>
      <c r="J770" s="3"/>
      <c r="K770" s="1"/>
      <c r="L770" s="3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2"/>
      <c r="G771" s="1"/>
      <c r="H771" s="1"/>
      <c r="I771" s="1"/>
      <c r="J771" s="3"/>
      <c r="K771" s="1"/>
      <c r="L771" s="3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2"/>
      <c r="G772" s="1"/>
      <c r="H772" s="1"/>
      <c r="I772" s="1"/>
      <c r="J772" s="3"/>
      <c r="K772" s="1"/>
      <c r="L772" s="3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2"/>
      <c r="G773" s="1"/>
      <c r="H773" s="1"/>
      <c r="I773" s="1"/>
      <c r="J773" s="3"/>
      <c r="K773" s="1"/>
      <c r="L773" s="3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2"/>
      <c r="G774" s="1"/>
      <c r="H774" s="1"/>
      <c r="I774" s="1"/>
      <c r="J774" s="3"/>
      <c r="K774" s="1"/>
      <c r="L774" s="3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2"/>
      <c r="G775" s="1"/>
      <c r="H775" s="1"/>
      <c r="I775" s="1"/>
      <c r="J775" s="3"/>
      <c r="K775" s="1"/>
      <c r="L775" s="3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2"/>
      <c r="G776" s="1"/>
      <c r="H776" s="1"/>
      <c r="I776" s="1"/>
      <c r="J776" s="3"/>
      <c r="K776" s="1"/>
      <c r="L776" s="3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2"/>
      <c r="G777" s="1"/>
      <c r="H777" s="1"/>
      <c r="I777" s="1"/>
      <c r="J777" s="3"/>
      <c r="K777" s="1"/>
      <c r="L777" s="3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2"/>
      <c r="G778" s="1"/>
      <c r="H778" s="1"/>
      <c r="I778" s="1"/>
      <c r="J778" s="3"/>
      <c r="K778" s="1"/>
      <c r="L778" s="3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2"/>
      <c r="G779" s="1"/>
      <c r="H779" s="1"/>
      <c r="I779" s="1"/>
      <c r="J779" s="3"/>
      <c r="K779" s="1"/>
      <c r="L779" s="3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2"/>
      <c r="G780" s="1"/>
      <c r="H780" s="1"/>
      <c r="I780" s="1"/>
      <c r="J780" s="3"/>
      <c r="K780" s="1"/>
      <c r="L780" s="3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2"/>
      <c r="G781" s="1"/>
      <c r="H781" s="1"/>
      <c r="I781" s="1"/>
      <c r="J781" s="3"/>
      <c r="K781" s="1"/>
      <c r="L781" s="3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2"/>
      <c r="G782" s="1"/>
      <c r="H782" s="1"/>
      <c r="I782" s="1"/>
      <c r="J782" s="3"/>
      <c r="K782" s="1"/>
      <c r="L782" s="3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2"/>
      <c r="G783" s="1"/>
      <c r="H783" s="1"/>
      <c r="I783" s="1"/>
      <c r="J783" s="3"/>
      <c r="K783" s="1"/>
      <c r="L783" s="3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2"/>
      <c r="G784" s="1"/>
      <c r="H784" s="1"/>
      <c r="I784" s="1"/>
      <c r="J784" s="3"/>
      <c r="K784" s="1"/>
      <c r="L784" s="3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2"/>
      <c r="G785" s="1"/>
      <c r="H785" s="1"/>
      <c r="I785" s="1"/>
      <c r="J785" s="3"/>
      <c r="K785" s="1"/>
      <c r="L785" s="3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2"/>
      <c r="G786" s="1"/>
      <c r="H786" s="1"/>
      <c r="I786" s="1"/>
      <c r="J786" s="3"/>
      <c r="K786" s="1"/>
      <c r="L786" s="3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2"/>
      <c r="G787" s="1"/>
      <c r="H787" s="1"/>
      <c r="I787" s="1"/>
      <c r="J787" s="3"/>
      <c r="K787" s="1"/>
      <c r="L787" s="3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2"/>
      <c r="G788" s="1"/>
      <c r="H788" s="1"/>
      <c r="I788" s="1"/>
      <c r="J788" s="3"/>
      <c r="K788" s="1"/>
      <c r="L788" s="3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2"/>
      <c r="G789" s="1"/>
      <c r="H789" s="1"/>
      <c r="I789" s="1"/>
      <c r="J789" s="3"/>
      <c r="K789" s="1"/>
      <c r="L789" s="3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2"/>
      <c r="G790" s="1"/>
      <c r="H790" s="1"/>
      <c r="I790" s="1"/>
      <c r="J790" s="3"/>
      <c r="K790" s="1"/>
      <c r="L790" s="3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2"/>
      <c r="G791" s="1"/>
      <c r="H791" s="1"/>
      <c r="I791" s="1"/>
      <c r="J791" s="3"/>
      <c r="K791" s="1"/>
      <c r="L791" s="3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2"/>
      <c r="G792" s="1"/>
      <c r="H792" s="1"/>
      <c r="I792" s="1"/>
      <c r="J792" s="3"/>
      <c r="K792" s="1"/>
      <c r="L792" s="3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2"/>
      <c r="G793" s="1"/>
      <c r="H793" s="1"/>
      <c r="I793" s="1"/>
      <c r="J793" s="3"/>
      <c r="K793" s="1"/>
      <c r="L793" s="3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2"/>
      <c r="G794" s="1"/>
      <c r="H794" s="1"/>
      <c r="I794" s="1"/>
      <c r="J794" s="3"/>
      <c r="K794" s="1"/>
      <c r="L794" s="3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2"/>
      <c r="G795" s="1"/>
      <c r="H795" s="1"/>
      <c r="I795" s="1"/>
      <c r="J795" s="3"/>
      <c r="K795" s="1"/>
      <c r="L795" s="3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2"/>
      <c r="G796" s="1"/>
      <c r="H796" s="1"/>
      <c r="I796" s="1"/>
      <c r="J796" s="3"/>
      <c r="K796" s="1"/>
      <c r="L796" s="3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2"/>
      <c r="G797" s="1"/>
      <c r="H797" s="1"/>
      <c r="I797" s="1"/>
      <c r="J797" s="3"/>
      <c r="K797" s="1"/>
      <c r="L797" s="3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2"/>
      <c r="G798" s="1"/>
      <c r="H798" s="1"/>
      <c r="I798" s="1"/>
      <c r="J798" s="3"/>
      <c r="K798" s="1"/>
      <c r="L798" s="3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2"/>
      <c r="G799" s="1"/>
      <c r="H799" s="1"/>
      <c r="I799" s="1"/>
      <c r="J799" s="3"/>
      <c r="K799" s="1"/>
      <c r="L799" s="3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2"/>
      <c r="G800" s="1"/>
      <c r="H800" s="1"/>
      <c r="I800" s="1"/>
      <c r="J800" s="3"/>
      <c r="K800" s="1"/>
      <c r="L800" s="3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2"/>
      <c r="G801" s="1"/>
      <c r="H801" s="1"/>
      <c r="I801" s="1"/>
      <c r="J801" s="3"/>
      <c r="K801" s="1"/>
      <c r="L801" s="3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2"/>
      <c r="G802" s="1"/>
      <c r="H802" s="1"/>
      <c r="I802" s="1"/>
      <c r="J802" s="3"/>
      <c r="K802" s="1"/>
      <c r="L802" s="3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2"/>
      <c r="G803" s="1"/>
      <c r="H803" s="1"/>
      <c r="I803" s="1"/>
      <c r="J803" s="3"/>
      <c r="K803" s="1"/>
      <c r="L803" s="3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2"/>
      <c r="G804" s="1"/>
      <c r="H804" s="1"/>
      <c r="I804" s="1"/>
      <c r="J804" s="3"/>
      <c r="K804" s="1"/>
      <c r="L804" s="3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2"/>
      <c r="G805" s="1"/>
      <c r="H805" s="1"/>
      <c r="I805" s="1"/>
      <c r="J805" s="3"/>
      <c r="K805" s="1"/>
      <c r="L805" s="3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2"/>
      <c r="G806" s="1"/>
      <c r="H806" s="1"/>
      <c r="I806" s="1"/>
      <c r="J806" s="3"/>
      <c r="K806" s="1"/>
      <c r="L806" s="3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2"/>
      <c r="G807" s="1"/>
      <c r="H807" s="1"/>
      <c r="I807" s="1"/>
      <c r="J807" s="3"/>
      <c r="K807" s="1"/>
      <c r="L807" s="3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2"/>
      <c r="G808" s="1"/>
      <c r="H808" s="1"/>
      <c r="I808" s="1"/>
      <c r="J808" s="3"/>
      <c r="K808" s="1"/>
      <c r="L808" s="3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2"/>
      <c r="G809" s="1"/>
      <c r="H809" s="1"/>
      <c r="I809" s="1"/>
      <c r="J809" s="3"/>
      <c r="K809" s="1"/>
      <c r="L809" s="3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2"/>
      <c r="G810" s="1"/>
      <c r="H810" s="1"/>
      <c r="I810" s="1"/>
      <c r="J810" s="3"/>
      <c r="K810" s="1"/>
      <c r="L810" s="3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2"/>
      <c r="G811" s="1"/>
      <c r="H811" s="1"/>
      <c r="I811" s="1"/>
      <c r="J811" s="3"/>
      <c r="K811" s="1"/>
      <c r="L811" s="3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2"/>
      <c r="G812" s="1"/>
      <c r="H812" s="1"/>
      <c r="I812" s="1"/>
      <c r="J812" s="3"/>
      <c r="K812" s="1"/>
      <c r="L812" s="3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2"/>
      <c r="G813" s="1"/>
      <c r="H813" s="1"/>
      <c r="I813" s="1"/>
      <c r="J813" s="3"/>
      <c r="K813" s="1"/>
      <c r="L813" s="3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2"/>
      <c r="G814" s="1"/>
      <c r="H814" s="1"/>
      <c r="I814" s="1"/>
      <c r="J814" s="3"/>
      <c r="K814" s="1"/>
      <c r="L814" s="3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2"/>
      <c r="G815" s="1"/>
      <c r="H815" s="1"/>
      <c r="I815" s="1"/>
      <c r="J815" s="3"/>
      <c r="K815" s="1"/>
      <c r="L815" s="3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2"/>
      <c r="G816" s="1"/>
      <c r="H816" s="1"/>
      <c r="I816" s="1"/>
      <c r="J816" s="3"/>
      <c r="K816" s="1"/>
      <c r="L816" s="3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2"/>
      <c r="G817" s="1"/>
      <c r="H817" s="1"/>
      <c r="I817" s="1"/>
      <c r="J817" s="3"/>
      <c r="K817" s="1"/>
      <c r="L817" s="3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2"/>
      <c r="G818" s="1"/>
      <c r="H818" s="1"/>
      <c r="I818" s="1"/>
      <c r="J818" s="3"/>
      <c r="K818" s="1"/>
      <c r="L818" s="3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2"/>
      <c r="G819" s="1"/>
      <c r="H819" s="1"/>
      <c r="I819" s="1"/>
      <c r="J819" s="3"/>
      <c r="K819" s="1"/>
      <c r="L819" s="3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2"/>
      <c r="G820" s="1"/>
      <c r="H820" s="1"/>
      <c r="I820" s="1"/>
      <c r="J820" s="3"/>
      <c r="K820" s="1"/>
      <c r="L820" s="3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2"/>
      <c r="G821" s="1"/>
      <c r="H821" s="1"/>
      <c r="I821" s="1"/>
      <c r="J821" s="3"/>
      <c r="K821" s="1"/>
      <c r="L821" s="3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2"/>
      <c r="G822" s="1"/>
      <c r="H822" s="1"/>
      <c r="I822" s="1"/>
      <c r="J822" s="3"/>
      <c r="K822" s="1"/>
      <c r="L822" s="3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2"/>
      <c r="G823" s="1"/>
      <c r="H823" s="1"/>
      <c r="I823" s="1"/>
      <c r="J823" s="3"/>
      <c r="K823" s="1"/>
      <c r="L823" s="3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2"/>
      <c r="G824" s="1"/>
      <c r="H824" s="1"/>
      <c r="I824" s="1"/>
      <c r="J824" s="3"/>
      <c r="K824" s="1"/>
      <c r="L824" s="3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2"/>
      <c r="G825" s="1"/>
      <c r="H825" s="1"/>
      <c r="I825" s="1"/>
      <c r="J825" s="3"/>
      <c r="K825" s="1"/>
      <c r="L825" s="3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2"/>
      <c r="G826" s="1"/>
      <c r="H826" s="1"/>
      <c r="I826" s="1"/>
      <c r="J826" s="3"/>
      <c r="K826" s="1"/>
      <c r="L826" s="3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2"/>
      <c r="G827" s="1"/>
      <c r="H827" s="1"/>
      <c r="I827" s="1"/>
      <c r="J827" s="3"/>
      <c r="K827" s="1"/>
      <c r="L827" s="3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2"/>
      <c r="G828" s="1"/>
      <c r="H828" s="1"/>
      <c r="I828" s="1"/>
      <c r="J828" s="3"/>
      <c r="K828" s="1"/>
      <c r="L828" s="3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2"/>
      <c r="G829" s="1"/>
      <c r="H829" s="1"/>
      <c r="I829" s="1"/>
      <c r="J829" s="3"/>
      <c r="K829" s="1"/>
      <c r="L829" s="3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2"/>
      <c r="G830" s="1"/>
      <c r="H830" s="1"/>
      <c r="I830" s="1"/>
      <c r="J830" s="3"/>
      <c r="K830" s="1"/>
      <c r="L830" s="3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2"/>
      <c r="G831" s="1"/>
      <c r="H831" s="1"/>
      <c r="I831" s="1"/>
      <c r="J831" s="3"/>
      <c r="K831" s="1"/>
      <c r="L831" s="3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2"/>
      <c r="G832" s="1"/>
      <c r="H832" s="1"/>
      <c r="I832" s="1"/>
      <c r="J832" s="3"/>
      <c r="K832" s="1"/>
      <c r="L832" s="3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2"/>
      <c r="G833" s="1"/>
      <c r="H833" s="1"/>
      <c r="I833" s="1"/>
      <c r="J833" s="3"/>
      <c r="K833" s="1"/>
      <c r="L833" s="3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2"/>
      <c r="G834" s="1"/>
      <c r="H834" s="1"/>
      <c r="I834" s="1"/>
      <c r="J834" s="3"/>
      <c r="K834" s="1"/>
      <c r="L834" s="3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2"/>
      <c r="G835" s="1"/>
      <c r="H835" s="1"/>
      <c r="I835" s="1"/>
      <c r="J835" s="3"/>
      <c r="K835" s="1"/>
      <c r="L835" s="3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2"/>
      <c r="G836" s="1"/>
      <c r="H836" s="1"/>
      <c r="I836" s="1"/>
      <c r="J836" s="3"/>
      <c r="K836" s="1"/>
      <c r="L836" s="3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2"/>
      <c r="G837" s="1"/>
      <c r="H837" s="1"/>
      <c r="I837" s="1"/>
      <c r="J837" s="3"/>
      <c r="K837" s="1"/>
      <c r="L837" s="3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2"/>
      <c r="G838" s="1"/>
      <c r="H838" s="1"/>
      <c r="I838" s="1"/>
      <c r="J838" s="3"/>
      <c r="K838" s="1"/>
      <c r="L838" s="3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2"/>
      <c r="G839" s="1"/>
      <c r="H839" s="1"/>
      <c r="I839" s="1"/>
      <c r="J839" s="3"/>
      <c r="K839" s="1"/>
      <c r="L839" s="3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2"/>
      <c r="G840" s="1"/>
      <c r="H840" s="1"/>
      <c r="I840" s="1"/>
      <c r="J840" s="3"/>
      <c r="K840" s="1"/>
      <c r="L840" s="3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2"/>
      <c r="G841" s="1"/>
      <c r="H841" s="1"/>
      <c r="I841" s="1"/>
      <c r="J841" s="3"/>
      <c r="K841" s="1"/>
      <c r="L841" s="3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2"/>
      <c r="G842" s="1"/>
      <c r="H842" s="1"/>
      <c r="I842" s="1"/>
      <c r="J842" s="3"/>
      <c r="K842" s="1"/>
      <c r="L842" s="3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2"/>
      <c r="G843" s="1"/>
      <c r="H843" s="1"/>
      <c r="I843" s="1"/>
      <c r="J843" s="3"/>
      <c r="K843" s="1"/>
      <c r="L843" s="3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2"/>
      <c r="G844" s="1"/>
      <c r="H844" s="1"/>
      <c r="I844" s="1"/>
      <c r="J844" s="3"/>
      <c r="K844" s="1"/>
      <c r="L844" s="3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2"/>
      <c r="G845" s="1"/>
      <c r="H845" s="1"/>
      <c r="I845" s="1"/>
      <c r="J845" s="3"/>
      <c r="K845" s="1"/>
      <c r="L845" s="3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2"/>
      <c r="G846" s="1"/>
      <c r="H846" s="1"/>
      <c r="I846" s="1"/>
      <c r="J846" s="3"/>
      <c r="K846" s="1"/>
      <c r="L846" s="3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2"/>
      <c r="G847" s="1"/>
      <c r="H847" s="1"/>
      <c r="I847" s="1"/>
      <c r="J847" s="3"/>
      <c r="K847" s="1"/>
      <c r="L847" s="3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2"/>
      <c r="G848" s="1"/>
      <c r="H848" s="1"/>
      <c r="I848" s="1"/>
      <c r="J848" s="3"/>
      <c r="K848" s="1"/>
      <c r="L848" s="3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2"/>
      <c r="G849" s="1"/>
      <c r="H849" s="1"/>
      <c r="I849" s="1"/>
      <c r="J849" s="3"/>
      <c r="K849" s="1"/>
      <c r="L849" s="3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2"/>
      <c r="G850" s="1"/>
      <c r="H850" s="1"/>
      <c r="I850" s="1"/>
      <c r="J850" s="3"/>
      <c r="K850" s="1"/>
      <c r="L850" s="3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2"/>
      <c r="G851" s="1"/>
      <c r="H851" s="1"/>
      <c r="I851" s="1"/>
      <c r="J851" s="3"/>
      <c r="K851" s="1"/>
      <c r="L851" s="3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2"/>
      <c r="G852" s="1"/>
      <c r="H852" s="1"/>
      <c r="I852" s="1"/>
      <c r="J852" s="3"/>
      <c r="K852" s="1"/>
      <c r="L852" s="3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2"/>
      <c r="G853" s="1"/>
      <c r="H853" s="1"/>
      <c r="I853" s="1"/>
      <c r="J853" s="3"/>
      <c r="K853" s="1"/>
      <c r="L853" s="3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2"/>
      <c r="G854" s="1"/>
      <c r="H854" s="1"/>
      <c r="I854" s="1"/>
      <c r="J854" s="3"/>
      <c r="K854" s="1"/>
      <c r="L854" s="3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2"/>
      <c r="G855" s="1"/>
      <c r="H855" s="1"/>
      <c r="I855" s="1"/>
      <c r="J855" s="3"/>
      <c r="K855" s="1"/>
      <c r="L855" s="3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2"/>
      <c r="G856" s="1"/>
      <c r="H856" s="1"/>
      <c r="I856" s="1"/>
      <c r="J856" s="3"/>
      <c r="K856" s="1"/>
      <c r="L856" s="3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2"/>
      <c r="G857" s="1"/>
      <c r="H857" s="1"/>
      <c r="I857" s="1"/>
      <c r="J857" s="3"/>
      <c r="K857" s="1"/>
      <c r="L857" s="3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2"/>
      <c r="G858" s="1"/>
      <c r="H858" s="1"/>
      <c r="I858" s="1"/>
      <c r="J858" s="3"/>
      <c r="K858" s="1"/>
      <c r="L858" s="3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2"/>
      <c r="G859" s="1"/>
      <c r="H859" s="1"/>
      <c r="I859" s="1"/>
      <c r="J859" s="3"/>
      <c r="K859" s="1"/>
      <c r="L859" s="3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2"/>
      <c r="G860" s="1"/>
      <c r="H860" s="1"/>
      <c r="I860" s="1"/>
      <c r="J860" s="3"/>
      <c r="K860" s="1"/>
      <c r="L860" s="3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2"/>
      <c r="G861" s="1"/>
      <c r="H861" s="1"/>
      <c r="I861" s="1"/>
      <c r="J861" s="3"/>
      <c r="K861" s="1"/>
      <c r="L861" s="3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2"/>
      <c r="G862" s="1"/>
      <c r="H862" s="1"/>
      <c r="I862" s="1"/>
      <c r="J862" s="3"/>
      <c r="K862" s="1"/>
      <c r="L862" s="3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2"/>
      <c r="G863" s="1"/>
      <c r="H863" s="1"/>
      <c r="I863" s="1"/>
      <c r="J863" s="3"/>
      <c r="K863" s="1"/>
      <c r="L863" s="3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2"/>
      <c r="G864" s="1"/>
      <c r="H864" s="1"/>
      <c r="I864" s="1"/>
      <c r="J864" s="3"/>
      <c r="K864" s="1"/>
      <c r="L864" s="3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2"/>
      <c r="G865" s="1"/>
      <c r="H865" s="1"/>
      <c r="I865" s="1"/>
      <c r="J865" s="3"/>
      <c r="K865" s="1"/>
      <c r="L865" s="3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2"/>
      <c r="G866" s="1"/>
      <c r="H866" s="1"/>
      <c r="I866" s="1"/>
      <c r="J866" s="3"/>
      <c r="K866" s="1"/>
      <c r="L866" s="3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2"/>
      <c r="G867" s="1"/>
      <c r="H867" s="1"/>
      <c r="I867" s="1"/>
      <c r="J867" s="3"/>
      <c r="K867" s="1"/>
      <c r="L867" s="3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2"/>
      <c r="G868" s="1"/>
      <c r="H868" s="1"/>
      <c r="I868" s="1"/>
      <c r="J868" s="3"/>
      <c r="K868" s="1"/>
      <c r="L868" s="3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2"/>
      <c r="G869" s="1"/>
      <c r="H869" s="1"/>
      <c r="I869" s="1"/>
      <c r="J869" s="3"/>
      <c r="K869" s="1"/>
      <c r="L869" s="3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2"/>
      <c r="G870" s="1"/>
      <c r="H870" s="1"/>
      <c r="I870" s="1"/>
      <c r="J870" s="3"/>
      <c r="K870" s="1"/>
      <c r="L870" s="3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2"/>
      <c r="G871" s="1"/>
      <c r="H871" s="1"/>
      <c r="I871" s="1"/>
      <c r="J871" s="3"/>
      <c r="K871" s="1"/>
      <c r="L871" s="3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2"/>
      <c r="G872" s="1"/>
      <c r="H872" s="1"/>
      <c r="I872" s="1"/>
      <c r="J872" s="3"/>
      <c r="K872" s="1"/>
      <c r="L872" s="3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2"/>
      <c r="G873" s="1"/>
      <c r="H873" s="1"/>
      <c r="I873" s="1"/>
      <c r="J873" s="3"/>
      <c r="K873" s="1"/>
      <c r="L873" s="3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2"/>
      <c r="G874" s="1"/>
      <c r="H874" s="1"/>
      <c r="I874" s="1"/>
      <c r="J874" s="3"/>
      <c r="K874" s="1"/>
      <c r="L874" s="3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2"/>
      <c r="G875" s="1"/>
      <c r="H875" s="1"/>
      <c r="I875" s="1"/>
      <c r="J875" s="3"/>
      <c r="K875" s="1"/>
      <c r="L875" s="3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2"/>
      <c r="G876" s="1"/>
      <c r="H876" s="1"/>
      <c r="I876" s="1"/>
      <c r="J876" s="3"/>
      <c r="K876" s="1"/>
      <c r="L876" s="3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2"/>
      <c r="G877" s="1"/>
      <c r="H877" s="1"/>
      <c r="I877" s="1"/>
      <c r="J877" s="3"/>
      <c r="K877" s="1"/>
      <c r="L877" s="3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2"/>
      <c r="G878" s="1"/>
      <c r="H878" s="1"/>
      <c r="I878" s="1"/>
      <c r="J878" s="3"/>
      <c r="K878" s="1"/>
      <c r="L878" s="3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2"/>
      <c r="G879" s="1"/>
      <c r="H879" s="1"/>
      <c r="I879" s="1"/>
      <c r="J879" s="3"/>
      <c r="K879" s="1"/>
      <c r="L879" s="3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2"/>
      <c r="G880" s="1"/>
      <c r="H880" s="1"/>
      <c r="I880" s="1"/>
      <c r="J880" s="3"/>
      <c r="K880" s="1"/>
      <c r="L880" s="3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2"/>
      <c r="G881" s="1"/>
      <c r="H881" s="1"/>
      <c r="I881" s="1"/>
      <c r="J881" s="3"/>
      <c r="K881" s="1"/>
      <c r="L881" s="3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2"/>
      <c r="G882" s="1"/>
      <c r="H882" s="1"/>
      <c r="I882" s="1"/>
      <c r="J882" s="3"/>
      <c r="K882" s="1"/>
      <c r="L882" s="3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2"/>
      <c r="G883" s="1"/>
      <c r="H883" s="1"/>
      <c r="I883" s="1"/>
      <c r="J883" s="3"/>
      <c r="K883" s="1"/>
      <c r="L883" s="3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2"/>
      <c r="G884" s="1"/>
      <c r="H884" s="1"/>
      <c r="I884" s="1"/>
      <c r="J884" s="3"/>
      <c r="K884" s="1"/>
      <c r="L884" s="3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2"/>
      <c r="G885" s="1"/>
      <c r="H885" s="1"/>
      <c r="I885" s="1"/>
      <c r="J885" s="3"/>
      <c r="K885" s="1"/>
      <c r="L885" s="3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2"/>
      <c r="G886" s="1"/>
      <c r="H886" s="1"/>
      <c r="I886" s="1"/>
      <c r="J886" s="3"/>
      <c r="K886" s="1"/>
      <c r="L886" s="3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2"/>
      <c r="G887" s="1"/>
      <c r="H887" s="1"/>
      <c r="I887" s="1"/>
      <c r="J887" s="3"/>
      <c r="K887" s="1"/>
      <c r="L887" s="3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2"/>
      <c r="G888" s="1"/>
      <c r="H888" s="1"/>
      <c r="I888" s="1"/>
      <c r="J888" s="3"/>
      <c r="K888" s="1"/>
      <c r="L888" s="3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2"/>
      <c r="G889" s="1"/>
      <c r="H889" s="1"/>
      <c r="I889" s="1"/>
      <c r="J889" s="3"/>
      <c r="K889" s="1"/>
      <c r="L889" s="3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2"/>
      <c r="G890" s="1"/>
      <c r="H890" s="1"/>
      <c r="I890" s="1"/>
      <c r="J890" s="3"/>
      <c r="K890" s="1"/>
      <c r="L890" s="3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2"/>
      <c r="G891" s="1"/>
      <c r="H891" s="1"/>
      <c r="I891" s="1"/>
      <c r="J891" s="3"/>
      <c r="K891" s="1"/>
      <c r="L891" s="3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2"/>
      <c r="G892" s="1"/>
      <c r="H892" s="1"/>
      <c r="I892" s="1"/>
      <c r="J892" s="3"/>
      <c r="K892" s="1"/>
      <c r="L892" s="3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2"/>
      <c r="G893" s="1"/>
      <c r="H893" s="1"/>
      <c r="I893" s="1"/>
      <c r="J893" s="3"/>
      <c r="K893" s="1"/>
      <c r="L893" s="3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2"/>
      <c r="G894" s="1"/>
      <c r="H894" s="1"/>
      <c r="I894" s="1"/>
      <c r="J894" s="3"/>
      <c r="K894" s="1"/>
      <c r="L894" s="3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2"/>
      <c r="G895" s="1"/>
      <c r="H895" s="1"/>
      <c r="I895" s="1"/>
      <c r="J895" s="3"/>
      <c r="K895" s="1"/>
      <c r="L895" s="3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2"/>
      <c r="G896" s="1"/>
      <c r="H896" s="1"/>
      <c r="I896" s="1"/>
      <c r="J896" s="3"/>
      <c r="K896" s="1"/>
      <c r="L896" s="3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2"/>
      <c r="G897" s="1"/>
      <c r="H897" s="1"/>
      <c r="I897" s="1"/>
      <c r="J897" s="3"/>
      <c r="K897" s="1"/>
      <c r="L897" s="3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2"/>
      <c r="G898" s="1"/>
      <c r="H898" s="1"/>
      <c r="I898" s="1"/>
      <c r="J898" s="3"/>
      <c r="K898" s="1"/>
      <c r="L898" s="3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2"/>
      <c r="G899" s="1"/>
      <c r="H899" s="1"/>
      <c r="I899" s="1"/>
      <c r="J899" s="3"/>
      <c r="K899" s="1"/>
      <c r="L899" s="3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2"/>
      <c r="G900" s="1"/>
      <c r="H900" s="1"/>
      <c r="I900" s="1"/>
      <c r="J900" s="3"/>
      <c r="K900" s="1"/>
      <c r="L900" s="3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2"/>
      <c r="G901" s="1"/>
      <c r="H901" s="1"/>
      <c r="I901" s="1"/>
      <c r="J901" s="3"/>
      <c r="K901" s="1"/>
      <c r="L901" s="3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2"/>
      <c r="G902" s="1"/>
      <c r="H902" s="1"/>
      <c r="I902" s="1"/>
      <c r="J902" s="3"/>
      <c r="K902" s="1"/>
      <c r="L902" s="3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2"/>
      <c r="G903" s="1"/>
      <c r="H903" s="1"/>
      <c r="I903" s="1"/>
      <c r="J903" s="3"/>
      <c r="K903" s="1"/>
      <c r="L903" s="3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2"/>
      <c r="G904" s="1"/>
      <c r="H904" s="1"/>
      <c r="I904" s="1"/>
      <c r="J904" s="3"/>
      <c r="K904" s="1"/>
      <c r="L904" s="3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2"/>
      <c r="G905" s="1"/>
      <c r="H905" s="1"/>
      <c r="I905" s="1"/>
      <c r="J905" s="3"/>
      <c r="K905" s="1"/>
      <c r="L905" s="3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2"/>
      <c r="G906" s="1"/>
      <c r="H906" s="1"/>
      <c r="I906" s="1"/>
      <c r="J906" s="3"/>
      <c r="K906" s="1"/>
      <c r="L906" s="3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2"/>
      <c r="G907" s="1"/>
      <c r="H907" s="1"/>
      <c r="I907" s="1"/>
      <c r="J907" s="3"/>
      <c r="K907" s="1"/>
      <c r="L907" s="3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2"/>
      <c r="G908" s="1"/>
      <c r="H908" s="1"/>
      <c r="I908" s="1"/>
      <c r="J908" s="3"/>
      <c r="K908" s="1"/>
      <c r="L908" s="3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2"/>
      <c r="G909" s="1"/>
      <c r="H909" s="1"/>
      <c r="I909" s="1"/>
      <c r="J909" s="3"/>
      <c r="K909" s="1"/>
      <c r="L909" s="3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2"/>
      <c r="G910" s="1"/>
      <c r="H910" s="1"/>
      <c r="I910" s="1"/>
      <c r="J910" s="3"/>
      <c r="K910" s="1"/>
      <c r="L910" s="3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2"/>
      <c r="G911" s="1"/>
      <c r="H911" s="1"/>
      <c r="I911" s="1"/>
      <c r="J911" s="3"/>
      <c r="K911" s="1"/>
      <c r="L911" s="3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2"/>
      <c r="G912" s="1"/>
      <c r="H912" s="1"/>
      <c r="I912" s="1"/>
      <c r="J912" s="3"/>
      <c r="K912" s="1"/>
      <c r="L912" s="3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2"/>
      <c r="G913" s="1"/>
      <c r="H913" s="1"/>
      <c r="I913" s="1"/>
      <c r="J913" s="3"/>
      <c r="K913" s="1"/>
      <c r="L913" s="3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2"/>
      <c r="G914" s="1"/>
      <c r="H914" s="1"/>
      <c r="I914" s="1"/>
      <c r="J914" s="3"/>
      <c r="K914" s="1"/>
      <c r="L914" s="3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2"/>
      <c r="G915" s="1"/>
      <c r="H915" s="1"/>
      <c r="I915" s="1"/>
      <c r="J915" s="3"/>
      <c r="K915" s="1"/>
      <c r="L915" s="3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2"/>
      <c r="G916" s="1"/>
      <c r="H916" s="1"/>
      <c r="I916" s="1"/>
      <c r="J916" s="3"/>
      <c r="K916" s="1"/>
      <c r="L916" s="3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2"/>
      <c r="G917" s="1"/>
      <c r="H917" s="1"/>
      <c r="I917" s="1"/>
      <c r="J917" s="3"/>
      <c r="K917" s="1"/>
      <c r="L917" s="3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2"/>
      <c r="G918" s="1"/>
      <c r="H918" s="1"/>
      <c r="I918" s="1"/>
      <c r="J918" s="3"/>
      <c r="K918" s="1"/>
      <c r="L918" s="3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2"/>
      <c r="G919" s="1"/>
      <c r="H919" s="1"/>
      <c r="I919" s="1"/>
      <c r="J919" s="3"/>
      <c r="K919" s="1"/>
      <c r="L919" s="3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2"/>
      <c r="G920" s="1"/>
      <c r="H920" s="1"/>
      <c r="I920" s="1"/>
      <c r="J920" s="3"/>
      <c r="K920" s="1"/>
      <c r="L920" s="3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2"/>
      <c r="G921" s="1"/>
      <c r="H921" s="1"/>
      <c r="I921" s="1"/>
      <c r="J921" s="3"/>
      <c r="K921" s="1"/>
      <c r="L921" s="3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2"/>
      <c r="G922" s="1"/>
      <c r="H922" s="1"/>
      <c r="I922" s="1"/>
      <c r="J922" s="3"/>
      <c r="K922" s="1"/>
      <c r="L922" s="3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2"/>
      <c r="G923" s="1"/>
      <c r="H923" s="1"/>
      <c r="I923" s="1"/>
      <c r="J923" s="3"/>
      <c r="K923" s="1"/>
      <c r="L923" s="3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2"/>
      <c r="G924" s="1"/>
      <c r="H924" s="1"/>
      <c r="I924" s="1"/>
      <c r="J924" s="3"/>
      <c r="K924" s="1"/>
      <c r="L924" s="3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2"/>
      <c r="G925" s="1"/>
      <c r="H925" s="1"/>
      <c r="I925" s="1"/>
      <c r="J925" s="3"/>
      <c r="K925" s="1"/>
      <c r="L925" s="3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2"/>
      <c r="G926" s="1"/>
      <c r="H926" s="1"/>
      <c r="I926" s="1"/>
      <c r="J926" s="3"/>
      <c r="K926" s="1"/>
      <c r="L926" s="3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2"/>
      <c r="G927" s="1"/>
      <c r="H927" s="1"/>
      <c r="I927" s="1"/>
      <c r="J927" s="3"/>
      <c r="K927" s="1"/>
      <c r="L927" s="3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2"/>
      <c r="G928" s="1"/>
      <c r="H928" s="1"/>
      <c r="I928" s="1"/>
      <c r="J928" s="3"/>
      <c r="K928" s="1"/>
      <c r="L928" s="3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2"/>
      <c r="G929" s="1"/>
      <c r="H929" s="1"/>
      <c r="I929" s="1"/>
      <c r="J929" s="3"/>
      <c r="K929" s="1"/>
      <c r="L929" s="3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2"/>
      <c r="G930" s="1"/>
      <c r="H930" s="1"/>
      <c r="I930" s="1"/>
      <c r="J930" s="3"/>
      <c r="K930" s="1"/>
      <c r="L930" s="3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2"/>
      <c r="G931" s="1"/>
      <c r="H931" s="1"/>
      <c r="I931" s="1"/>
      <c r="J931" s="3"/>
      <c r="K931" s="1"/>
      <c r="L931" s="3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2"/>
      <c r="G932" s="1"/>
      <c r="H932" s="1"/>
      <c r="I932" s="1"/>
      <c r="J932" s="3"/>
      <c r="K932" s="1"/>
      <c r="L932" s="3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2"/>
      <c r="G933" s="1"/>
      <c r="H933" s="1"/>
      <c r="I933" s="1"/>
      <c r="J933" s="3"/>
      <c r="K933" s="1"/>
      <c r="L933" s="3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2"/>
      <c r="G934" s="1"/>
      <c r="H934" s="1"/>
      <c r="I934" s="1"/>
      <c r="J934" s="3"/>
      <c r="K934" s="1"/>
      <c r="L934" s="3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2"/>
      <c r="G935" s="1"/>
      <c r="H935" s="1"/>
      <c r="I935" s="1"/>
      <c r="J935" s="3"/>
      <c r="K935" s="1"/>
      <c r="L935" s="3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2"/>
      <c r="G936" s="1"/>
      <c r="H936" s="1"/>
      <c r="I936" s="1"/>
      <c r="J936" s="3"/>
      <c r="K936" s="1"/>
      <c r="L936" s="3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2"/>
      <c r="G937" s="1"/>
      <c r="H937" s="1"/>
      <c r="I937" s="1"/>
      <c r="J937" s="3"/>
      <c r="K937" s="1"/>
      <c r="L937" s="3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2"/>
      <c r="G938" s="1"/>
      <c r="H938" s="1"/>
      <c r="I938" s="1"/>
      <c r="J938" s="3"/>
      <c r="K938" s="1"/>
      <c r="L938" s="3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2"/>
      <c r="G939" s="1"/>
      <c r="H939" s="1"/>
      <c r="I939" s="1"/>
      <c r="J939" s="3"/>
      <c r="K939" s="1"/>
      <c r="L939" s="3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2"/>
      <c r="G940" s="1"/>
      <c r="H940" s="1"/>
      <c r="I940" s="1"/>
      <c r="J940" s="3"/>
      <c r="K940" s="1"/>
      <c r="L940" s="3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2"/>
      <c r="G941" s="1"/>
      <c r="H941" s="1"/>
      <c r="I941" s="1"/>
      <c r="J941" s="3"/>
      <c r="K941" s="1"/>
      <c r="L941" s="3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2"/>
      <c r="G942" s="1"/>
      <c r="H942" s="1"/>
      <c r="I942" s="1"/>
      <c r="J942" s="3"/>
      <c r="K942" s="1"/>
      <c r="L942" s="3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2"/>
      <c r="G943" s="1"/>
      <c r="H943" s="1"/>
      <c r="I943" s="1"/>
      <c r="J943" s="3"/>
      <c r="K943" s="1"/>
      <c r="L943" s="3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2"/>
      <c r="G944" s="1"/>
      <c r="H944" s="1"/>
      <c r="I944" s="1"/>
      <c r="J944" s="3"/>
      <c r="K944" s="1"/>
      <c r="L944" s="3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2"/>
      <c r="G945" s="1"/>
      <c r="H945" s="1"/>
      <c r="I945" s="1"/>
      <c r="J945" s="3"/>
      <c r="K945" s="1"/>
      <c r="L945" s="3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2"/>
      <c r="G946" s="1"/>
      <c r="H946" s="1"/>
      <c r="I946" s="1"/>
      <c r="J946" s="3"/>
      <c r="K946" s="1"/>
      <c r="L946" s="3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2"/>
      <c r="G947" s="1"/>
      <c r="H947" s="1"/>
      <c r="I947" s="1"/>
      <c r="J947" s="3"/>
      <c r="K947" s="1"/>
      <c r="L947" s="3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2"/>
      <c r="G948" s="1"/>
      <c r="H948" s="1"/>
      <c r="I948" s="1"/>
      <c r="J948" s="3"/>
      <c r="K948" s="1"/>
      <c r="L948" s="3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2"/>
      <c r="G949" s="1"/>
      <c r="H949" s="1"/>
      <c r="I949" s="1"/>
      <c r="J949" s="3"/>
      <c r="K949" s="1"/>
      <c r="L949" s="3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2"/>
      <c r="G950" s="1"/>
      <c r="H950" s="1"/>
      <c r="I950" s="1"/>
      <c r="J950" s="3"/>
      <c r="K950" s="1"/>
      <c r="L950" s="3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2"/>
      <c r="G951" s="1"/>
      <c r="H951" s="1"/>
      <c r="I951" s="1"/>
      <c r="J951" s="3"/>
      <c r="K951" s="1"/>
      <c r="L951" s="3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2"/>
      <c r="G952" s="1"/>
      <c r="H952" s="1"/>
      <c r="I952" s="1"/>
      <c r="J952" s="3"/>
      <c r="K952" s="1"/>
      <c r="L952" s="3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2"/>
      <c r="G953" s="1"/>
      <c r="H953" s="1"/>
      <c r="I953" s="1"/>
      <c r="J953" s="3"/>
      <c r="K953" s="1"/>
      <c r="L953" s="3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2"/>
      <c r="G954" s="1"/>
      <c r="H954" s="1"/>
      <c r="I954" s="1"/>
      <c r="J954" s="3"/>
      <c r="K954" s="1"/>
      <c r="L954" s="3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2"/>
      <c r="G955" s="1"/>
      <c r="H955" s="1"/>
      <c r="I955" s="1"/>
      <c r="J955" s="3"/>
      <c r="K955" s="1"/>
      <c r="L955" s="3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2"/>
      <c r="G956" s="1"/>
      <c r="H956" s="1"/>
      <c r="I956" s="1"/>
      <c r="J956" s="3"/>
      <c r="K956" s="1"/>
      <c r="L956" s="3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2"/>
      <c r="G957" s="1"/>
      <c r="H957" s="1"/>
      <c r="I957" s="1"/>
      <c r="J957" s="3"/>
      <c r="K957" s="1"/>
      <c r="L957" s="3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2"/>
      <c r="G958" s="1"/>
      <c r="H958" s="1"/>
      <c r="I958" s="1"/>
      <c r="J958" s="3"/>
      <c r="K958" s="1"/>
      <c r="L958" s="3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2"/>
      <c r="G959" s="1"/>
      <c r="H959" s="1"/>
      <c r="I959" s="1"/>
      <c r="J959" s="3"/>
      <c r="K959" s="1"/>
      <c r="L959" s="3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2"/>
      <c r="G960" s="1"/>
      <c r="H960" s="1"/>
      <c r="I960" s="1"/>
      <c r="J960" s="3"/>
      <c r="K960" s="1"/>
      <c r="L960" s="3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2"/>
      <c r="G961" s="1"/>
      <c r="H961" s="1"/>
      <c r="I961" s="1"/>
      <c r="J961" s="3"/>
      <c r="K961" s="1"/>
      <c r="L961" s="3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2"/>
      <c r="G962" s="1"/>
      <c r="H962" s="1"/>
      <c r="I962" s="1"/>
      <c r="J962" s="3"/>
      <c r="K962" s="1"/>
      <c r="L962" s="3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2"/>
      <c r="G963" s="1"/>
      <c r="H963" s="1"/>
      <c r="I963" s="1"/>
      <c r="J963" s="3"/>
      <c r="K963" s="1"/>
      <c r="L963" s="3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2"/>
      <c r="G964" s="1"/>
      <c r="H964" s="1"/>
      <c r="I964" s="1"/>
      <c r="J964" s="3"/>
      <c r="K964" s="1"/>
      <c r="L964" s="3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2"/>
      <c r="G965" s="1"/>
      <c r="H965" s="1"/>
      <c r="I965" s="1"/>
      <c r="J965" s="3"/>
      <c r="K965" s="1"/>
      <c r="L965" s="3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2"/>
      <c r="G966" s="1"/>
      <c r="H966" s="1"/>
      <c r="I966" s="1"/>
      <c r="J966" s="3"/>
      <c r="K966" s="1"/>
      <c r="L966" s="3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2"/>
      <c r="G967" s="1"/>
      <c r="H967" s="1"/>
      <c r="I967" s="1"/>
      <c r="J967" s="3"/>
      <c r="K967" s="1"/>
      <c r="L967" s="3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2"/>
      <c r="G968" s="1"/>
      <c r="H968" s="1"/>
      <c r="I968" s="1"/>
      <c r="J968" s="3"/>
      <c r="K968" s="1"/>
      <c r="L968" s="3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2"/>
      <c r="G969" s="1"/>
      <c r="H969" s="1"/>
      <c r="I969" s="1"/>
      <c r="J969" s="3"/>
      <c r="K969" s="1"/>
      <c r="L969" s="3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2"/>
      <c r="G970" s="1"/>
      <c r="H970" s="1"/>
      <c r="I970" s="1"/>
      <c r="J970" s="3"/>
      <c r="K970" s="1"/>
      <c r="L970" s="3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2"/>
      <c r="G971" s="1"/>
      <c r="H971" s="1"/>
      <c r="I971" s="1"/>
      <c r="J971" s="3"/>
      <c r="K971" s="1"/>
      <c r="L971" s="3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2"/>
      <c r="G972" s="1"/>
      <c r="H972" s="1"/>
      <c r="I972" s="1"/>
      <c r="J972" s="3"/>
      <c r="K972" s="1"/>
      <c r="L972" s="3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2"/>
      <c r="G973" s="1"/>
      <c r="H973" s="1"/>
      <c r="I973" s="1"/>
      <c r="J973" s="3"/>
      <c r="K973" s="1"/>
      <c r="L973" s="3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2"/>
      <c r="G974" s="1"/>
      <c r="H974" s="1"/>
      <c r="I974" s="1"/>
      <c r="J974" s="3"/>
      <c r="K974" s="1"/>
      <c r="L974" s="3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2"/>
      <c r="G975" s="1"/>
      <c r="H975" s="1"/>
      <c r="I975" s="1"/>
      <c r="J975" s="3"/>
      <c r="K975" s="1"/>
      <c r="L975" s="3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2"/>
      <c r="G976" s="1"/>
      <c r="H976" s="1"/>
      <c r="I976" s="1"/>
      <c r="J976" s="3"/>
      <c r="K976" s="1"/>
      <c r="L976" s="3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2"/>
      <c r="G977" s="1"/>
      <c r="H977" s="1"/>
      <c r="I977" s="1"/>
      <c r="J977" s="3"/>
      <c r="K977" s="1"/>
      <c r="L977" s="3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2"/>
      <c r="G978" s="1"/>
      <c r="H978" s="1"/>
      <c r="I978" s="1"/>
      <c r="J978" s="3"/>
      <c r="K978" s="1"/>
      <c r="L978" s="3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2"/>
      <c r="G979" s="1"/>
      <c r="H979" s="1"/>
      <c r="I979" s="1"/>
      <c r="J979" s="3"/>
      <c r="K979" s="1"/>
      <c r="L979" s="3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2"/>
      <c r="G980" s="1"/>
      <c r="H980" s="1"/>
      <c r="I980" s="1"/>
      <c r="J980" s="3"/>
      <c r="K980" s="1"/>
      <c r="L980" s="3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2"/>
      <c r="G981" s="1"/>
      <c r="H981" s="1"/>
      <c r="I981" s="1"/>
      <c r="J981" s="3"/>
      <c r="K981" s="1"/>
      <c r="L981" s="3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2"/>
      <c r="G982" s="1"/>
      <c r="H982" s="1"/>
      <c r="I982" s="1"/>
      <c r="J982" s="3"/>
      <c r="K982" s="1"/>
      <c r="L982" s="3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2"/>
      <c r="G983" s="1"/>
      <c r="H983" s="1"/>
      <c r="I983" s="1"/>
      <c r="J983" s="3"/>
      <c r="K983" s="1"/>
      <c r="L983" s="3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2"/>
      <c r="G984" s="1"/>
      <c r="H984" s="1"/>
      <c r="I984" s="1"/>
      <c r="J984" s="3"/>
      <c r="K984" s="1"/>
      <c r="L984" s="3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2"/>
      <c r="G985" s="1"/>
      <c r="H985" s="1"/>
      <c r="I985" s="1"/>
      <c r="J985" s="3"/>
      <c r="K985" s="1"/>
      <c r="L985" s="3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2"/>
      <c r="G986" s="1"/>
      <c r="H986" s="1"/>
      <c r="I986" s="1"/>
      <c r="J986" s="3"/>
      <c r="K986" s="1"/>
      <c r="L986" s="3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2"/>
      <c r="G987" s="1"/>
      <c r="H987" s="1"/>
      <c r="I987" s="1"/>
      <c r="J987" s="3"/>
      <c r="K987" s="1"/>
      <c r="L987" s="3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2"/>
      <c r="G988" s="1"/>
      <c r="H988" s="1"/>
      <c r="I988" s="1"/>
      <c r="J988" s="3"/>
      <c r="K988" s="1"/>
      <c r="L988" s="3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2"/>
      <c r="G989" s="1"/>
      <c r="H989" s="1"/>
      <c r="I989" s="1"/>
      <c r="J989" s="3"/>
      <c r="K989" s="1"/>
      <c r="L989" s="3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2"/>
      <c r="G990" s="1"/>
      <c r="H990" s="1"/>
      <c r="I990" s="1"/>
      <c r="J990" s="3"/>
      <c r="K990" s="1"/>
      <c r="L990" s="3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2"/>
      <c r="G991" s="1"/>
      <c r="H991" s="1"/>
      <c r="I991" s="1"/>
      <c r="J991" s="3"/>
      <c r="K991" s="1"/>
      <c r="L991" s="3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2"/>
      <c r="G992" s="1"/>
      <c r="H992" s="1"/>
      <c r="I992" s="1"/>
      <c r="J992" s="3"/>
      <c r="K992" s="1"/>
      <c r="L992" s="3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2"/>
      <c r="G993" s="1"/>
      <c r="H993" s="1"/>
      <c r="I993" s="1"/>
      <c r="J993" s="3"/>
      <c r="K993" s="1"/>
      <c r="L993" s="3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2"/>
      <c r="G994" s="1"/>
      <c r="H994" s="1"/>
      <c r="I994" s="1"/>
      <c r="J994" s="3"/>
      <c r="K994" s="1"/>
      <c r="L994" s="3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2"/>
      <c r="G995" s="1"/>
      <c r="H995" s="1"/>
      <c r="I995" s="1"/>
      <c r="J995" s="3"/>
      <c r="K995" s="1"/>
      <c r="L995" s="3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2"/>
      <c r="G996" s="1"/>
      <c r="H996" s="1"/>
      <c r="I996" s="1"/>
      <c r="J996" s="3"/>
      <c r="K996" s="1"/>
      <c r="L996" s="3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2"/>
      <c r="G997" s="1"/>
      <c r="H997" s="1"/>
      <c r="I997" s="1"/>
      <c r="J997" s="3"/>
      <c r="K997" s="1"/>
      <c r="L997" s="3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2"/>
      <c r="G998" s="1"/>
      <c r="H998" s="1"/>
      <c r="I998" s="1"/>
      <c r="J998" s="3"/>
      <c r="K998" s="1"/>
      <c r="L998" s="3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2"/>
      <c r="G999" s="1"/>
      <c r="H999" s="1"/>
      <c r="I999" s="1"/>
      <c r="J999" s="3"/>
      <c r="K999" s="1"/>
      <c r="L999" s="3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2"/>
      <c r="G1000" s="1"/>
      <c r="H1000" s="1"/>
      <c r="I1000" s="1"/>
      <c r="J1000" s="3"/>
      <c r="K1000" s="1"/>
      <c r="L1000" s="3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0">
    <mergeCell ref="I17:I18"/>
    <mergeCell ref="J17:L17"/>
    <mergeCell ref="H13:K13"/>
    <mergeCell ref="I14:K14"/>
    <mergeCell ref="H15:L15"/>
    <mergeCell ref="M15:P15"/>
    <mergeCell ref="E17:E18"/>
    <mergeCell ref="F17:F18"/>
    <mergeCell ref="G17:H18"/>
    <mergeCell ref="J55:P55"/>
    <mergeCell ref="J56:P56"/>
    <mergeCell ref="M17:M18"/>
    <mergeCell ref="N17:N18"/>
    <mergeCell ref="J53:L53"/>
    <mergeCell ref="E54:H54"/>
    <mergeCell ref="J54:P54"/>
    <mergeCell ref="E55:H55"/>
    <mergeCell ref="E56:H56"/>
    <mergeCell ref="H7:K7"/>
    <mergeCell ref="O7:P7"/>
    <mergeCell ref="I2:M2"/>
    <mergeCell ref="H3:M3"/>
    <mergeCell ref="G4:M4"/>
    <mergeCell ref="G5:M5"/>
    <mergeCell ref="E6:G6"/>
    <mergeCell ref="H6:P6"/>
    <mergeCell ref="E7:F7"/>
    <mergeCell ref="O9:P9"/>
    <mergeCell ref="O10:P10"/>
    <mergeCell ref="O11:P11"/>
    <mergeCell ref="O12:P12"/>
    <mergeCell ref="O13:P13"/>
    <mergeCell ref="E8:G8"/>
    <mergeCell ref="H8:K8"/>
    <mergeCell ref="O8:P8"/>
    <mergeCell ref="E9:G9"/>
    <mergeCell ref="H9:K9"/>
    <mergeCell ref="E10:G10"/>
    <mergeCell ref="H10:K10"/>
    <mergeCell ref="E11:G11"/>
    <mergeCell ref="H11:I11"/>
    <mergeCell ref="J11:K11"/>
    <mergeCell ref="E12:G12"/>
    <mergeCell ref="H12:K12"/>
    <mergeCell ref="E13:G13"/>
    <mergeCell ref="M13:N13"/>
    <mergeCell ref="O17:O18"/>
    <mergeCell ref="P17:P18"/>
    <mergeCell ref="E57:H57"/>
    <mergeCell ref="J57:P57"/>
  </mergeCells>
  <dataValidations>
    <dataValidation type="list" allowBlank="1" showErrorMessage="1" sqref="G19:G51">
      <formula1>"NRM,NR,NRF,NRD,LNC,NRAE,DS"</formula1>
    </dataValidation>
  </dataValidations>
  <printOptions/>
  <pageMargins bottom="0.0" footer="0.0" header="0.0" left="0.2362204724409449" right="0.2362204724409449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hidden="1" min="2" max="2" width="8.14"/>
    <col customWidth="1" hidden="1" min="3" max="3" width="14.43"/>
    <col customWidth="1" hidden="1" min="4" max="6" width="8.71"/>
    <col customWidth="1" hidden="1" min="7" max="7" width="1.43"/>
    <col customWidth="1" hidden="1" min="8" max="8" width="2.0"/>
    <col customWidth="1" min="9" max="9" width="8.71"/>
    <col customWidth="1" min="10" max="10" width="28.71"/>
    <col customWidth="1" min="11" max="11" width="5.0"/>
    <col customWidth="1" min="12" max="12" width="5.86"/>
    <col customWidth="1" min="13" max="13" width="13.14"/>
    <col customWidth="1" min="14" max="14" width="7.0"/>
    <col customWidth="1" min="15" max="15" width="1.43"/>
    <col customWidth="1" min="16" max="16" width="6.29"/>
    <col customWidth="1" min="17" max="17" width="1.43"/>
    <col customWidth="1" min="18" max="18" width="8.0"/>
    <col customWidth="1" min="19" max="19" width="9.14"/>
    <col customWidth="1" min="20" max="20" width="11.29"/>
    <col customWidth="1" min="21" max="21" width="12.14"/>
    <col customWidth="1" min="22" max="22" width="19.43"/>
    <col customWidth="1" min="23" max="23" width="14.71"/>
    <col customWidth="1" min="24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3"/>
      <c r="Q1" s="1"/>
      <c r="R1" s="3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T2" s="1"/>
      <c r="U2" s="1"/>
      <c r="V2" s="1"/>
      <c r="W2" s="1"/>
      <c r="X2" s="1"/>
      <c r="Y2" s="1"/>
      <c r="Z2" s="1"/>
    </row>
    <row r="3">
      <c r="A3" s="4"/>
      <c r="B3" s="4"/>
      <c r="C3" s="4"/>
      <c r="D3" s="4"/>
      <c r="E3" s="4"/>
      <c r="F3" s="4"/>
      <c r="G3" s="4"/>
      <c r="H3" s="4"/>
      <c r="I3" s="1"/>
      <c r="J3" s="2"/>
      <c r="K3" s="1"/>
      <c r="L3" s="1" t="s">
        <v>0</v>
      </c>
      <c r="T3" s="4"/>
      <c r="U3" s="4"/>
      <c r="V3" s="1"/>
      <c r="W3" s="1"/>
      <c r="X3" s="1"/>
      <c r="Y3" s="1"/>
      <c r="Z3" s="4"/>
    </row>
    <row r="4">
      <c r="A4" s="4"/>
      <c r="B4" s="4"/>
      <c r="C4" s="4"/>
      <c r="D4" s="4"/>
      <c r="E4" s="4"/>
      <c r="F4" s="4"/>
      <c r="G4" s="4"/>
      <c r="H4" s="4"/>
      <c r="I4" s="1"/>
      <c r="J4" s="2"/>
      <c r="K4" s="1" t="s">
        <v>1</v>
      </c>
      <c r="T4" s="4"/>
      <c r="U4" s="4"/>
      <c r="V4" s="1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1"/>
      <c r="J5" s="2"/>
      <c r="K5" s="5" t="s">
        <v>2</v>
      </c>
      <c r="L5" s="6"/>
      <c r="M5" s="6"/>
      <c r="N5" s="6"/>
      <c r="O5" s="6"/>
      <c r="P5" s="6"/>
      <c r="Q5" s="6"/>
      <c r="R5" s="6"/>
      <c r="S5" s="6"/>
      <c r="T5" s="4"/>
      <c r="U5" s="4"/>
      <c r="V5" s="1"/>
      <c r="W5" s="1"/>
      <c r="X5" s="4"/>
      <c r="Y5" s="4"/>
      <c r="Z5" s="4"/>
    </row>
    <row r="6">
      <c r="A6" s="1"/>
      <c r="B6" s="1"/>
      <c r="C6" s="1"/>
      <c r="D6" s="1"/>
      <c r="E6" s="1"/>
      <c r="F6" s="1"/>
      <c r="G6" s="1"/>
      <c r="H6" s="1"/>
      <c r="I6" s="7" t="s">
        <v>3</v>
      </c>
      <c r="J6" s="8"/>
      <c r="K6" s="9"/>
      <c r="L6" s="10" t="s">
        <v>4</v>
      </c>
      <c r="M6" s="8"/>
      <c r="N6" s="8"/>
      <c r="O6" s="8"/>
      <c r="P6" s="8"/>
      <c r="Q6" s="8"/>
      <c r="R6" s="8"/>
      <c r="S6" s="8"/>
      <c r="T6" s="8"/>
      <c r="U6" s="8"/>
      <c r="V6" s="1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7" t="s">
        <v>5</v>
      </c>
      <c r="J7" s="9"/>
      <c r="K7" s="12"/>
      <c r="L7" s="13" t="s">
        <v>6</v>
      </c>
      <c r="M7" s="14"/>
      <c r="N7" s="14"/>
      <c r="O7" s="14"/>
      <c r="P7" s="14"/>
      <c r="Q7" s="15"/>
      <c r="R7" s="16"/>
      <c r="S7" s="17" t="s">
        <v>7</v>
      </c>
      <c r="T7" s="18"/>
      <c r="U7" s="19"/>
      <c r="V7" s="20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7" t="s">
        <v>9</v>
      </c>
      <c r="J8" s="8"/>
      <c r="K8" s="9"/>
      <c r="L8" s="10"/>
      <c r="M8" s="8"/>
      <c r="N8" s="8"/>
      <c r="O8" s="8"/>
      <c r="P8" s="8"/>
      <c r="Q8" s="9"/>
      <c r="R8" s="21"/>
      <c r="S8" s="12" t="s">
        <v>10</v>
      </c>
      <c r="T8" s="22"/>
      <c r="U8" s="10"/>
      <c r="V8" s="11"/>
      <c r="W8" s="23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7" t="s">
        <v>11</v>
      </c>
      <c r="J9" s="8"/>
      <c r="K9" s="9"/>
      <c r="L9" s="10"/>
      <c r="M9" s="8"/>
      <c r="N9" s="8"/>
      <c r="O9" s="8"/>
      <c r="P9" s="8"/>
      <c r="Q9" s="9"/>
      <c r="R9" s="21"/>
      <c r="S9" s="13" t="s">
        <v>12</v>
      </c>
      <c r="T9" s="15"/>
      <c r="U9" s="25"/>
      <c r="V9" s="1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7" t="s">
        <v>13</v>
      </c>
      <c r="J10" s="8"/>
      <c r="K10" s="9"/>
      <c r="L10" s="10"/>
      <c r="M10" s="8"/>
      <c r="N10" s="8"/>
      <c r="O10" s="8"/>
      <c r="P10" s="8"/>
      <c r="Q10" s="9"/>
      <c r="R10" s="21"/>
      <c r="S10" s="13" t="s">
        <v>15</v>
      </c>
      <c r="T10" s="15"/>
      <c r="U10" s="10"/>
      <c r="V10" s="1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7" t="s">
        <v>16</v>
      </c>
      <c r="J11" s="8"/>
      <c r="K11" s="9"/>
      <c r="L11" s="27"/>
      <c r="M11" s="8"/>
      <c r="N11" s="8"/>
      <c r="O11" s="8"/>
      <c r="P11" s="8"/>
      <c r="Q11" s="9"/>
      <c r="R11" s="21"/>
      <c r="S11" s="13" t="s">
        <v>17</v>
      </c>
      <c r="T11" s="15"/>
      <c r="U11" s="30"/>
      <c r="V11" s="1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7" t="s">
        <v>18</v>
      </c>
      <c r="J12" s="8"/>
      <c r="K12" s="9"/>
      <c r="L12" s="31"/>
      <c r="M12" s="8"/>
      <c r="N12" s="8"/>
      <c r="O12" s="8"/>
      <c r="P12" s="8"/>
      <c r="Q12" s="9"/>
      <c r="R12" s="21"/>
      <c r="S12" s="17" t="s">
        <v>19</v>
      </c>
      <c r="T12" s="33"/>
      <c r="U12" s="34"/>
      <c r="V12" s="1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7" t="s">
        <v>20</v>
      </c>
      <c r="J13" s="8"/>
      <c r="K13" s="9"/>
      <c r="L13" s="10"/>
      <c r="M13" s="8"/>
      <c r="N13" s="8"/>
      <c r="O13" s="8"/>
      <c r="P13" s="8"/>
      <c r="Q13" s="9"/>
      <c r="R13" s="21"/>
      <c r="S13" s="13" t="s">
        <v>23</v>
      </c>
      <c r="T13" s="15"/>
      <c r="U13" s="37"/>
      <c r="V13" s="11"/>
      <c r="W13" s="1"/>
      <c r="X13" s="1"/>
      <c r="Y13" s="1"/>
      <c r="Z13" s="1"/>
    </row>
    <row r="14">
      <c r="A14" s="4"/>
      <c r="B14" s="4"/>
      <c r="C14" s="4"/>
      <c r="D14" s="4"/>
      <c r="E14" s="4"/>
      <c r="F14" s="4"/>
      <c r="G14" s="4"/>
      <c r="H14" s="4"/>
      <c r="I14" s="38"/>
      <c r="J14" s="39"/>
      <c r="K14" s="4"/>
      <c r="L14" s="4"/>
      <c r="M14" s="4"/>
      <c r="N14" s="47"/>
      <c r="O14" s="47"/>
      <c r="P14" s="47"/>
      <c r="Q14" s="47"/>
      <c r="R14" s="3"/>
      <c r="S14" s="1"/>
      <c r="T14" s="1"/>
      <c r="U14" s="1"/>
      <c r="V14" s="38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1" t="s">
        <v>22</v>
      </c>
      <c r="J15" s="42"/>
      <c r="K15" s="40"/>
      <c r="L15" s="1"/>
      <c r="M15" s="40"/>
      <c r="Q15" s="40"/>
      <c r="R15" s="3"/>
      <c r="S15" s="49"/>
      <c r="T15" s="49"/>
      <c r="U15" s="49"/>
      <c r="V15" s="49"/>
      <c r="W15" s="38"/>
      <c r="X15" s="4"/>
      <c r="Y15" s="4"/>
      <c r="Z15" s="4"/>
    </row>
    <row r="16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"/>
      <c r="M16" s="1"/>
      <c r="N16" s="1"/>
      <c r="O16" s="1"/>
      <c r="P16" s="3"/>
      <c r="Q16" s="1"/>
      <c r="R16" s="3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48" t="s">
        <v>26</v>
      </c>
      <c r="J17" s="48" t="s">
        <v>27</v>
      </c>
      <c r="K17" s="50" t="s">
        <v>28</v>
      </c>
      <c r="L17" s="51"/>
      <c r="M17" s="52" t="s">
        <v>29</v>
      </c>
      <c r="N17" s="58" t="s">
        <v>33</v>
      </c>
      <c r="O17" s="55"/>
      <c r="P17" s="55"/>
      <c r="Q17" s="55"/>
      <c r="R17" s="56"/>
      <c r="S17" s="48" t="s">
        <v>30</v>
      </c>
      <c r="T17" s="57" t="s">
        <v>31</v>
      </c>
      <c r="U17" s="57" t="s">
        <v>32</v>
      </c>
      <c r="V17" s="48" t="s">
        <v>34</v>
      </c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59"/>
      <c r="J18" s="59"/>
      <c r="K18" s="60"/>
      <c r="L18" s="61"/>
      <c r="M18" s="62"/>
      <c r="N18" s="67" t="s">
        <v>36</v>
      </c>
      <c r="O18" s="69"/>
      <c r="P18" s="63" t="s">
        <v>40</v>
      </c>
      <c r="Q18" s="69"/>
      <c r="R18" s="63" t="s">
        <v>41</v>
      </c>
      <c r="S18" s="59"/>
      <c r="T18" s="59"/>
      <c r="U18" s="59"/>
      <c r="V18" s="59"/>
      <c r="W18" s="1"/>
      <c r="X18" s="1"/>
      <c r="Y18" s="1"/>
      <c r="Z18" s="1"/>
    </row>
    <row r="19" hidden="1">
      <c r="A19" s="1"/>
      <c r="B19" s="68">
        <v>0.01</v>
      </c>
      <c r="C19" s="71">
        <v>0.465</v>
      </c>
      <c r="D19" s="72">
        <v>0.01</v>
      </c>
      <c r="E19" s="73">
        <v>0.25</v>
      </c>
      <c r="F19" s="78">
        <f t="shared" ref="F19:F41" si="1">SUM(S19*I19)</f>
        <v>0</v>
      </c>
      <c r="G19" s="74"/>
      <c r="H19" s="74"/>
      <c r="I19" s="80"/>
      <c r="J19" s="76" t="s">
        <v>44</v>
      </c>
      <c r="K19" s="79" t="s">
        <v>43</v>
      </c>
      <c r="L19" s="81">
        <v>3503.0</v>
      </c>
      <c r="M19" s="79" t="s">
        <v>45</v>
      </c>
      <c r="N19" s="83">
        <v>0.14</v>
      </c>
      <c r="O19" s="71" t="s">
        <v>47</v>
      </c>
      <c r="P19" s="86">
        <f t="shared" ref="P19:P41" si="2">SUM(C19+B19)</f>
        <v>0.475</v>
      </c>
      <c r="Q19" s="71" t="s">
        <v>47</v>
      </c>
      <c r="R19" s="89">
        <f t="shared" ref="R19:R41" si="3">SUM(E19+D19)</f>
        <v>0.26</v>
      </c>
      <c r="S19" s="78">
        <f t="shared" ref="S19:S41" si="4">SUM(N19*P19*R19)</f>
        <v>0.01729</v>
      </c>
      <c r="T19" s="88">
        <v>865.0</v>
      </c>
      <c r="U19" s="90">
        <f t="shared" ref="U19:U41" si="5">SUM(S19*T19)</f>
        <v>14.95585</v>
      </c>
      <c r="V19" s="91">
        <f t="shared" ref="V19:V41" si="6">SUM(I19*U19)</f>
        <v>0</v>
      </c>
      <c r="W19" s="1"/>
      <c r="X19" s="1"/>
      <c r="Y19" s="1"/>
      <c r="Z19" s="1"/>
    </row>
    <row r="20" hidden="1">
      <c r="A20" s="1"/>
      <c r="B20" s="68">
        <v>0.01</v>
      </c>
      <c r="C20" s="95">
        <v>0.61</v>
      </c>
      <c r="D20" s="72">
        <v>0.01</v>
      </c>
      <c r="E20" s="96">
        <v>0.4</v>
      </c>
      <c r="F20" s="78">
        <f t="shared" si="1"/>
        <v>0</v>
      </c>
      <c r="G20" s="74" t="str">
        <f t="shared" ref="G20:G22" si="7">SUM(N20*#REF!*#REF!)</f>
        <v>#REF!</v>
      </c>
      <c r="H20" s="74"/>
      <c r="I20" s="80"/>
      <c r="J20" s="76" t="s">
        <v>51</v>
      </c>
      <c r="K20" s="79" t="s">
        <v>43</v>
      </c>
      <c r="L20" s="81">
        <v>3503.0</v>
      </c>
      <c r="M20" s="79" t="s">
        <v>45</v>
      </c>
      <c r="N20" s="103">
        <v>0.005</v>
      </c>
      <c r="O20" s="71" t="s">
        <v>47</v>
      </c>
      <c r="P20" s="86">
        <f t="shared" si="2"/>
        <v>0.62</v>
      </c>
      <c r="Q20" s="71" t="s">
        <v>47</v>
      </c>
      <c r="R20" s="89">
        <f t="shared" si="3"/>
        <v>0.41</v>
      </c>
      <c r="S20" s="78">
        <f t="shared" si="4"/>
        <v>0.001271</v>
      </c>
      <c r="T20" s="88">
        <v>865.0</v>
      </c>
      <c r="U20" s="90">
        <f t="shared" si="5"/>
        <v>1.099415</v>
      </c>
      <c r="V20" s="91">
        <f t="shared" si="6"/>
        <v>0</v>
      </c>
      <c r="W20" s="1"/>
      <c r="X20" s="1"/>
      <c r="Y20" s="1"/>
      <c r="Z20" s="1"/>
    </row>
    <row r="21" ht="15.75" hidden="1" customHeight="1">
      <c r="A21" s="1"/>
      <c r="B21" s="68">
        <v>0.01</v>
      </c>
      <c r="C21" s="107">
        <v>0.46</v>
      </c>
      <c r="D21" s="72">
        <v>0.01</v>
      </c>
      <c r="E21" s="109">
        <v>0.12</v>
      </c>
      <c r="F21" s="78">
        <f t="shared" si="1"/>
        <v>0</v>
      </c>
      <c r="G21" s="74" t="str">
        <f t="shared" si="7"/>
        <v>#REF!</v>
      </c>
      <c r="H21" s="74"/>
      <c r="I21" s="80"/>
      <c r="J21" s="76" t="s">
        <v>54</v>
      </c>
      <c r="K21" s="79" t="s">
        <v>43</v>
      </c>
      <c r="L21" s="81">
        <v>3503.0</v>
      </c>
      <c r="M21" s="79" t="s">
        <v>45</v>
      </c>
      <c r="N21" s="83">
        <v>0.025</v>
      </c>
      <c r="O21" s="71" t="s">
        <v>47</v>
      </c>
      <c r="P21" s="86">
        <f t="shared" si="2"/>
        <v>0.47</v>
      </c>
      <c r="Q21" s="71" t="s">
        <v>47</v>
      </c>
      <c r="R21" s="89">
        <f t="shared" si="3"/>
        <v>0.13</v>
      </c>
      <c r="S21" s="78">
        <f t="shared" si="4"/>
        <v>0.0015275</v>
      </c>
      <c r="T21" s="88">
        <v>865.0</v>
      </c>
      <c r="U21" s="90">
        <f t="shared" si="5"/>
        <v>1.3212875</v>
      </c>
      <c r="V21" s="91">
        <f t="shared" si="6"/>
        <v>0</v>
      </c>
      <c r="W21" s="1"/>
      <c r="X21" s="1"/>
      <c r="Y21" s="1"/>
      <c r="Z21" s="1"/>
    </row>
    <row r="22" ht="15.75" hidden="1" customHeight="1">
      <c r="A22" s="1"/>
      <c r="B22" s="68">
        <v>0.01</v>
      </c>
      <c r="C22" s="95">
        <v>1.36</v>
      </c>
      <c r="D22" s="72">
        <v>0.01</v>
      </c>
      <c r="E22" s="96">
        <v>0.05</v>
      </c>
      <c r="F22" s="78">
        <f t="shared" si="1"/>
        <v>0</v>
      </c>
      <c r="G22" s="74" t="str">
        <f t="shared" si="7"/>
        <v>#REF!</v>
      </c>
      <c r="H22" s="74"/>
      <c r="I22" s="80"/>
      <c r="J22" s="76" t="s">
        <v>56</v>
      </c>
      <c r="K22" s="79" t="s">
        <v>43</v>
      </c>
      <c r="L22" s="81">
        <v>3503.0</v>
      </c>
      <c r="M22" s="79" t="s">
        <v>45</v>
      </c>
      <c r="N22" s="103">
        <v>0.005</v>
      </c>
      <c r="O22" s="71" t="s">
        <v>47</v>
      </c>
      <c r="P22" s="86">
        <f t="shared" si="2"/>
        <v>1.37</v>
      </c>
      <c r="Q22" s="71" t="s">
        <v>47</v>
      </c>
      <c r="R22" s="89">
        <f t="shared" si="3"/>
        <v>0.06</v>
      </c>
      <c r="S22" s="78">
        <f t="shared" si="4"/>
        <v>0.000411</v>
      </c>
      <c r="T22" s="88">
        <v>865.0</v>
      </c>
      <c r="U22" s="90">
        <f t="shared" si="5"/>
        <v>0.355515</v>
      </c>
      <c r="V22" s="91">
        <f t="shared" si="6"/>
        <v>0</v>
      </c>
      <c r="W22" s="1"/>
      <c r="X22" s="1"/>
      <c r="Y22" s="1"/>
      <c r="Z22" s="1"/>
    </row>
    <row r="23" ht="15.75" hidden="1" customHeight="1">
      <c r="A23" s="1"/>
      <c r="B23" s="68">
        <v>0.01</v>
      </c>
      <c r="C23" s="95">
        <v>0.53</v>
      </c>
      <c r="D23" s="72">
        <v>0.01</v>
      </c>
      <c r="E23" s="96">
        <v>0.495</v>
      </c>
      <c r="F23" s="78">
        <f t="shared" si="1"/>
        <v>0</v>
      </c>
      <c r="G23" s="74" t="str">
        <f t="shared" ref="G23:G26" si="8">SUM(#REF!*#REF!*N23)</f>
        <v>#REF!</v>
      </c>
      <c r="H23" s="74"/>
      <c r="I23" s="80"/>
      <c r="J23" s="76" t="s">
        <v>60</v>
      </c>
      <c r="K23" s="79" t="s">
        <v>43</v>
      </c>
      <c r="L23" s="81">
        <v>3503.0</v>
      </c>
      <c r="M23" s="79" t="s">
        <v>45</v>
      </c>
      <c r="N23" s="83">
        <v>0.07</v>
      </c>
      <c r="O23" s="71" t="s">
        <v>47</v>
      </c>
      <c r="P23" s="86">
        <f t="shared" si="2"/>
        <v>0.54</v>
      </c>
      <c r="Q23" s="71" t="s">
        <v>47</v>
      </c>
      <c r="R23" s="89">
        <f t="shared" si="3"/>
        <v>0.505</v>
      </c>
      <c r="S23" s="78">
        <f t="shared" si="4"/>
        <v>0.019089</v>
      </c>
      <c r="T23" s="88">
        <v>865.0</v>
      </c>
      <c r="U23" s="90">
        <f t="shared" si="5"/>
        <v>16.511985</v>
      </c>
      <c r="V23" s="91">
        <f t="shared" si="6"/>
        <v>0</v>
      </c>
      <c r="W23" s="23"/>
      <c r="X23" s="1"/>
      <c r="Y23" s="1"/>
      <c r="Z23" s="1"/>
    </row>
    <row r="24" ht="15.75" customHeight="1">
      <c r="A24" s="1"/>
      <c r="B24" s="68">
        <v>0.01</v>
      </c>
      <c r="C24" s="95">
        <v>0.47</v>
      </c>
      <c r="D24" s="72">
        <v>0.01</v>
      </c>
      <c r="E24" s="96">
        <v>0.385</v>
      </c>
      <c r="F24" s="78">
        <f t="shared" si="1"/>
        <v>0</v>
      </c>
      <c r="G24" s="74" t="str">
        <f t="shared" si="8"/>
        <v>#REF!</v>
      </c>
      <c r="H24" s="74"/>
      <c r="I24" s="80"/>
      <c r="J24" s="76" t="s">
        <v>64</v>
      </c>
      <c r="K24" s="79" t="s">
        <v>43</v>
      </c>
      <c r="L24" s="81">
        <v>3503.0</v>
      </c>
      <c r="M24" s="79" t="s">
        <v>45</v>
      </c>
      <c r="N24" s="118">
        <v>0.06</v>
      </c>
      <c r="O24" s="71" t="s">
        <v>47</v>
      </c>
      <c r="P24" s="86">
        <f t="shared" si="2"/>
        <v>0.48</v>
      </c>
      <c r="Q24" s="71" t="s">
        <v>47</v>
      </c>
      <c r="R24" s="89">
        <f t="shared" si="3"/>
        <v>0.395</v>
      </c>
      <c r="S24" s="78">
        <f t="shared" si="4"/>
        <v>0.011376</v>
      </c>
      <c r="T24" s="88">
        <v>865.0</v>
      </c>
      <c r="U24" s="90">
        <f t="shared" si="5"/>
        <v>9.84024</v>
      </c>
      <c r="V24" s="91">
        <f t="shared" si="6"/>
        <v>0</v>
      </c>
      <c r="W24" s="23"/>
      <c r="X24" s="1"/>
      <c r="Y24" s="1"/>
      <c r="Z24" s="1"/>
    </row>
    <row r="25" ht="15.75" customHeight="1">
      <c r="A25" s="1"/>
      <c r="B25" s="68">
        <v>0.01</v>
      </c>
      <c r="C25" s="95">
        <v>0.58</v>
      </c>
      <c r="D25" s="72">
        <v>0.01</v>
      </c>
      <c r="E25" s="96">
        <v>0.5</v>
      </c>
      <c r="F25" s="78">
        <f t="shared" si="1"/>
        <v>0</v>
      </c>
      <c r="G25" s="74" t="str">
        <f t="shared" si="8"/>
        <v>#REF!</v>
      </c>
      <c r="H25" s="74"/>
      <c r="I25" s="80"/>
      <c r="J25" s="76" t="s">
        <v>71</v>
      </c>
      <c r="K25" s="79" t="s">
        <v>43</v>
      </c>
      <c r="L25" s="81">
        <v>3503.0</v>
      </c>
      <c r="M25" s="79" t="s">
        <v>45</v>
      </c>
      <c r="N25" s="121">
        <v>0.06</v>
      </c>
      <c r="O25" s="71" t="s">
        <v>47</v>
      </c>
      <c r="P25" s="86">
        <f t="shared" si="2"/>
        <v>0.59</v>
      </c>
      <c r="Q25" s="71" t="s">
        <v>47</v>
      </c>
      <c r="R25" s="89">
        <f t="shared" si="3"/>
        <v>0.51</v>
      </c>
      <c r="S25" s="78">
        <f t="shared" si="4"/>
        <v>0.018054</v>
      </c>
      <c r="T25" s="88">
        <v>865.0</v>
      </c>
      <c r="U25" s="90">
        <f t="shared" si="5"/>
        <v>15.61671</v>
      </c>
      <c r="V25" s="91">
        <f t="shared" si="6"/>
        <v>0</v>
      </c>
      <c r="W25" s="23"/>
      <c r="X25" s="1"/>
      <c r="Y25" s="1"/>
      <c r="Z25" s="1"/>
    </row>
    <row r="26" ht="15.75" customHeight="1">
      <c r="A26" s="1"/>
      <c r="B26" s="68">
        <v>0.01</v>
      </c>
      <c r="C26" s="95">
        <v>0.5</v>
      </c>
      <c r="D26" s="72">
        <v>0.01</v>
      </c>
      <c r="E26" s="96">
        <v>0.305</v>
      </c>
      <c r="F26" s="78">
        <f t="shared" si="1"/>
        <v>0</v>
      </c>
      <c r="G26" s="74" t="str">
        <f t="shared" si="8"/>
        <v>#REF!</v>
      </c>
      <c r="H26" s="74"/>
      <c r="I26" s="80"/>
      <c r="J26" s="76" t="s">
        <v>73</v>
      </c>
      <c r="K26" s="79" t="s">
        <v>43</v>
      </c>
      <c r="L26" s="81">
        <v>3503.0</v>
      </c>
      <c r="M26" s="79" t="s">
        <v>45</v>
      </c>
      <c r="N26" s="118">
        <v>0.05</v>
      </c>
      <c r="O26" s="71" t="s">
        <v>47</v>
      </c>
      <c r="P26" s="86">
        <f t="shared" si="2"/>
        <v>0.51</v>
      </c>
      <c r="Q26" s="71" t="s">
        <v>47</v>
      </c>
      <c r="R26" s="89">
        <f t="shared" si="3"/>
        <v>0.315</v>
      </c>
      <c r="S26" s="78">
        <f t="shared" si="4"/>
        <v>0.0080325</v>
      </c>
      <c r="T26" s="88">
        <v>865.0</v>
      </c>
      <c r="U26" s="90">
        <f t="shared" si="5"/>
        <v>6.9481125</v>
      </c>
      <c r="V26" s="91">
        <f t="shared" si="6"/>
        <v>0</v>
      </c>
      <c r="W26" s="23"/>
      <c r="X26" s="1"/>
      <c r="Y26" s="1"/>
      <c r="Z26" s="1"/>
    </row>
    <row r="27" ht="15.75" customHeight="1">
      <c r="A27" s="1"/>
      <c r="B27" s="68">
        <v>0.01</v>
      </c>
      <c r="C27" s="95">
        <v>0.67</v>
      </c>
      <c r="D27" s="72">
        <v>0.01</v>
      </c>
      <c r="E27" s="96">
        <v>0.54</v>
      </c>
      <c r="F27" s="78">
        <f t="shared" si="1"/>
        <v>0</v>
      </c>
      <c r="G27" s="74" t="str">
        <f>SUM(N27*#REF!*#REF!)</f>
        <v>#REF!</v>
      </c>
      <c r="H27" s="74"/>
      <c r="I27" s="80"/>
      <c r="J27" s="76" t="s">
        <v>76</v>
      </c>
      <c r="K27" s="79" t="s">
        <v>43</v>
      </c>
      <c r="L27" s="81">
        <v>3503.0</v>
      </c>
      <c r="M27" s="79" t="s">
        <v>45</v>
      </c>
      <c r="N27" s="121">
        <v>0.05</v>
      </c>
      <c r="O27" s="71" t="s">
        <v>47</v>
      </c>
      <c r="P27" s="86">
        <f t="shared" si="2"/>
        <v>0.68</v>
      </c>
      <c r="Q27" s="71" t="s">
        <v>47</v>
      </c>
      <c r="R27" s="89">
        <f t="shared" si="3"/>
        <v>0.55</v>
      </c>
      <c r="S27" s="78">
        <f t="shared" si="4"/>
        <v>0.0187</v>
      </c>
      <c r="T27" s="88">
        <v>865.0</v>
      </c>
      <c r="U27" s="90">
        <f t="shared" si="5"/>
        <v>16.1755</v>
      </c>
      <c r="V27" s="91">
        <f t="shared" si="6"/>
        <v>0</v>
      </c>
      <c r="W27" s="1"/>
      <c r="X27" s="1"/>
      <c r="Y27" s="1"/>
      <c r="Z27" s="1"/>
    </row>
    <row r="28" ht="15.75" customHeight="1">
      <c r="A28" s="1"/>
      <c r="B28" s="68">
        <v>0.01</v>
      </c>
      <c r="C28" s="95">
        <v>0.46</v>
      </c>
      <c r="D28" s="72">
        <v>0.01</v>
      </c>
      <c r="E28" s="96">
        <v>0.345</v>
      </c>
      <c r="F28" s="78">
        <f t="shared" si="1"/>
        <v>0</v>
      </c>
      <c r="G28" s="74" t="str">
        <f t="shared" ref="G28:G41" si="9">SUM(#REF!*#REF!*N28)</f>
        <v>#REF!</v>
      </c>
      <c r="H28" s="74"/>
      <c r="I28" s="80"/>
      <c r="J28" s="76" t="s">
        <v>78</v>
      </c>
      <c r="K28" s="79" t="s">
        <v>43</v>
      </c>
      <c r="L28" s="81">
        <v>3503.0</v>
      </c>
      <c r="M28" s="79" t="s">
        <v>45</v>
      </c>
      <c r="N28" s="118">
        <v>0.06</v>
      </c>
      <c r="O28" s="71" t="s">
        <v>47</v>
      </c>
      <c r="P28" s="86">
        <f t="shared" si="2"/>
        <v>0.47</v>
      </c>
      <c r="Q28" s="71" t="s">
        <v>47</v>
      </c>
      <c r="R28" s="89">
        <f t="shared" si="3"/>
        <v>0.355</v>
      </c>
      <c r="S28" s="78">
        <f t="shared" si="4"/>
        <v>0.010011</v>
      </c>
      <c r="T28" s="88">
        <v>865.0</v>
      </c>
      <c r="U28" s="90">
        <f t="shared" si="5"/>
        <v>8.659515</v>
      </c>
      <c r="V28" s="91">
        <f t="shared" si="6"/>
        <v>0</v>
      </c>
      <c r="W28" s="23"/>
      <c r="X28" s="1"/>
      <c r="Y28" s="1"/>
      <c r="Z28" s="1"/>
    </row>
    <row r="29" ht="15.75" customHeight="1">
      <c r="A29" s="1"/>
      <c r="B29" s="68">
        <v>0.01</v>
      </c>
      <c r="C29" s="95">
        <v>0.74</v>
      </c>
      <c r="D29" s="72">
        <v>0.01</v>
      </c>
      <c r="E29" s="96">
        <v>0.495</v>
      </c>
      <c r="F29" s="78">
        <f t="shared" si="1"/>
        <v>0</v>
      </c>
      <c r="G29" s="74" t="str">
        <f t="shared" si="9"/>
        <v>#REF!</v>
      </c>
      <c r="H29" s="74"/>
      <c r="I29" s="80"/>
      <c r="J29" s="76" t="s">
        <v>80</v>
      </c>
      <c r="K29" s="79" t="s">
        <v>43</v>
      </c>
      <c r="L29" s="81">
        <v>3503.0</v>
      </c>
      <c r="M29" s="79" t="s">
        <v>45</v>
      </c>
      <c r="N29" s="121">
        <v>0.1</v>
      </c>
      <c r="O29" s="71" t="s">
        <v>47</v>
      </c>
      <c r="P29" s="86">
        <f t="shared" si="2"/>
        <v>0.75</v>
      </c>
      <c r="Q29" s="71" t="s">
        <v>47</v>
      </c>
      <c r="R29" s="89">
        <f t="shared" si="3"/>
        <v>0.505</v>
      </c>
      <c r="S29" s="78">
        <f t="shared" si="4"/>
        <v>0.037875</v>
      </c>
      <c r="T29" s="88">
        <v>865.0</v>
      </c>
      <c r="U29" s="90">
        <f t="shared" si="5"/>
        <v>32.761875</v>
      </c>
      <c r="V29" s="91">
        <f t="shared" si="6"/>
        <v>0</v>
      </c>
      <c r="W29" s="23"/>
      <c r="X29" s="1"/>
      <c r="Y29" s="1"/>
      <c r="Z29" s="1"/>
    </row>
    <row r="30" ht="15.75" customHeight="1">
      <c r="A30" s="1"/>
      <c r="B30" s="68">
        <v>0.01</v>
      </c>
      <c r="C30" s="95">
        <v>0.52</v>
      </c>
      <c r="D30" s="72">
        <v>0.01</v>
      </c>
      <c r="E30" s="96">
        <v>0.5</v>
      </c>
      <c r="F30" s="78">
        <f t="shared" si="1"/>
        <v>0</v>
      </c>
      <c r="G30" s="74" t="str">
        <f t="shared" si="9"/>
        <v>#REF!</v>
      </c>
      <c r="H30" s="74"/>
      <c r="I30" s="80"/>
      <c r="J30" s="76" t="s">
        <v>83</v>
      </c>
      <c r="K30" s="79" t="s">
        <v>43</v>
      </c>
      <c r="L30" s="81">
        <v>3503.0</v>
      </c>
      <c r="M30" s="79" t="s">
        <v>45</v>
      </c>
      <c r="N30" s="118">
        <v>0.01</v>
      </c>
      <c r="O30" s="71" t="s">
        <v>47</v>
      </c>
      <c r="P30" s="86">
        <f t="shared" si="2"/>
        <v>0.53</v>
      </c>
      <c r="Q30" s="71" t="s">
        <v>47</v>
      </c>
      <c r="R30" s="89">
        <f t="shared" si="3"/>
        <v>0.51</v>
      </c>
      <c r="S30" s="78">
        <f t="shared" si="4"/>
        <v>0.002703</v>
      </c>
      <c r="T30" s="88">
        <v>865.0</v>
      </c>
      <c r="U30" s="90">
        <f t="shared" si="5"/>
        <v>2.338095</v>
      </c>
      <c r="V30" s="91">
        <f t="shared" si="6"/>
        <v>0</v>
      </c>
      <c r="W30" s="23"/>
      <c r="X30" s="1"/>
      <c r="Y30" s="1"/>
      <c r="Z30" s="1"/>
    </row>
    <row r="31" ht="15.75" customHeight="1">
      <c r="A31" s="1"/>
      <c r="B31" s="68">
        <v>0.01</v>
      </c>
      <c r="C31" s="107">
        <v>1.0</v>
      </c>
      <c r="D31" s="72">
        <v>0.01</v>
      </c>
      <c r="E31" s="109">
        <v>0.505</v>
      </c>
      <c r="F31" s="78">
        <f t="shared" si="1"/>
        <v>0</v>
      </c>
      <c r="G31" s="74" t="str">
        <f t="shared" si="9"/>
        <v>#REF!</v>
      </c>
      <c r="H31" s="74"/>
      <c r="I31" s="80"/>
      <c r="J31" s="76" t="s">
        <v>85</v>
      </c>
      <c r="K31" s="79" t="s">
        <v>43</v>
      </c>
      <c r="L31" s="81">
        <v>3503.0</v>
      </c>
      <c r="M31" s="79" t="s">
        <v>45</v>
      </c>
      <c r="N31" s="118">
        <v>0.02</v>
      </c>
      <c r="O31" s="71" t="s">
        <v>47</v>
      </c>
      <c r="P31" s="86">
        <f t="shared" si="2"/>
        <v>1.01</v>
      </c>
      <c r="Q31" s="71" t="s">
        <v>47</v>
      </c>
      <c r="R31" s="89">
        <f t="shared" si="3"/>
        <v>0.515</v>
      </c>
      <c r="S31" s="78">
        <f t="shared" si="4"/>
        <v>0.010403</v>
      </c>
      <c r="T31" s="88">
        <v>865.0</v>
      </c>
      <c r="U31" s="90">
        <f t="shared" si="5"/>
        <v>8.998595</v>
      </c>
      <c r="V31" s="91">
        <f t="shared" si="6"/>
        <v>0</v>
      </c>
      <c r="W31" s="23"/>
      <c r="X31" s="1"/>
      <c r="Y31" s="1"/>
      <c r="Z31" s="1"/>
    </row>
    <row r="32" ht="15.75" customHeight="1">
      <c r="A32" s="1"/>
      <c r="B32" s="68">
        <v>0.01</v>
      </c>
      <c r="C32" s="95">
        <v>0.44</v>
      </c>
      <c r="D32" s="72">
        <v>0.01</v>
      </c>
      <c r="E32" s="96">
        <v>0.39</v>
      </c>
      <c r="F32" s="78">
        <f t="shared" si="1"/>
        <v>0</v>
      </c>
      <c r="G32" s="74" t="str">
        <f t="shared" si="9"/>
        <v>#REF!</v>
      </c>
      <c r="H32" s="74"/>
      <c r="I32" s="80"/>
      <c r="J32" s="76" t="s">
        <v>87</v>
      </c>
      <c r="K32" s="79" t="s">
        <v>43</v>
      </c>
      <c r="L32" s="81">
        <v>3503.0</v>
      </c>
      <c r="M32" s="79" t="s">
        <v>45</v>
      </c>
      <c r="N32" s="121">
        <v>0.02</v>
      </c>
      <c r="O32" s="71" t="s">
        <v>47</v>
      </c>
      <c r="P32" s="86">
        <f t="shared" si="2"/>
        <v>0.45</v>
      </c>
      <c r="Q32" s="71" t="s">
        <v>47</v>
      </c>
      <c r="R32" s="89">
        <f t="shared" si="3"/>
        <v>0.4</v>
      </c>
      <c r="S32" s="78">
        <f t="shared" si="4"/>
        <v>0.0036</v>
      </c>
      <c r="T32" s="88">
        <v>865.0</v>
      </c>
      <c r="U32" s="90">
        <f t="shared" si="5"/>
        <v>3.114</v>
      </c>
      <c r="V32" s="91">
        <f t="shared" si="6"/>
        <v>0</v>
      </c>
      <c r="W32" s="23"/>
      <c r="X32" s="1"/>
      <c r="Y32" s="1"/>
      <c r="Z32" s="1"/>
    </row>
    <row r="33" ht="15.75" customHeight="1">
      <c r="A33" s="1"/>
      <c r="B33" s="68">
        <v>0.01</v>
      </c>
      <c r="C33" s="107">
        <v>0.505</v>
      </c>
      <c r="D33" s="72">
        <v>0.01</v>
      </c>
      <c r="E33" s="109">
        <v>0.43</v>
      </c>
      <c r="F33" s="78">
        <f t="shared" si="1"/>
        <v>0</v>
      </c>
      <c r="G33" s="74" t="str">
        <f t="shared" si="9"/>
        <v>#REF!</v>
      </c>
      <c r="H33" s="74"/>
      <c r="I33" s="80"/>
      <c r="J33" s="76" t="s">
        <v>89</v>
      </c>
      <c r="K33" s="79" t="s">
        <v>43</v>
      </c>
      <c r="L33" s="81">
        <v>3503.0</v>
      </c>
      <c r="M33" s="79" t="s">
        <v>45</v>
      </c>
      <c r="N33" s="118">
        <v>0.05</v>
      </c>
      <c r="O33" s="71" t="s">
        <v>47</v>
      </c>
      <c r="P33" s="86">
        <f t="shared" si="2"/>
        <v>0.515</v>
      </c>
      <c r="Q33" s="71" t="s">
        <v>47</v>
      </c>
      <c r="R33" s="89">
        <f t="shared" si="3"/>
        <v>0.44</v>
      </c>
      <c r="S33" s="78">
        <f t="shared" si="4"/>
        <v>0.01133</v>
      </c>
      <c r="T33" s="88">
        <v>865.0</v>
      </c>
      <c r="U33" s="90">
        <f t="shared" si="5"/>
        <v>9.80045</v>
      </c>
      <c r="V33" s="91">
        <f t="shared" si="6"/>
        <v>0</v>
      </c>
      <c r="W33" s="23"/>
      <c r="X33" s="1"/>
      <c r="Y33" s="1"/>
      <c r="Z33" s="1"/>
    </row>
    <row r="34" ht="15.75" customHeight="1">
      <c r="A34" s="1"/>
      <c r="B34" s="68">
        <v>0.01</v>
      </c>
      <c r="C34" s="95">
        <v>0.43</v>
      </c>
      <c r="D34" s="72">
        <v>0.01</v>
      </c>
      <c r="E34" s="96">
        <v>0.385</v>
      </c>
      <c r="F34" s="78">
        <f t="shared" si="1"/>
        <v>0</v>
      </c>
      <c r="G34" s="74" t="str">
        <f t="shared" si="9"/>
        <v>#REF!</v>
      </c>
      <c r="H34" s="74"/>
      <c r="I34" s="80"/>
      <c r="J34" s="76" t="s">
        <v>91</v>
      </c>
      <c r="K34" s="79" t="s">
        <v>43</v>
      </c>
      <c r="L34" s="81">
        <v>3503.0</v>
      </c>
      <c r="M34" s="79" t="s">
        <v>45</v>
      </c>
      <c r="N34" s="121">
        <v>0.1</v>
      </c>
      <c r="O34" s="71" t="s">
        <v>47</v>
      </c>
      <c r="P34" s="86">
        <f t="shared" si="2"/>
        <v>0.44</v>
      </c>
      <c r="Q34" s="71" t="s">
        <v>47</v>
      </c>
      <c r="R34" s="89">
        <f t="shared" si="3"/>
        <v>0.395</v>
      </c>
      <c r="S34" s="78">
        <f t="shared" si="4"/>
        <v>0.01738</v>
      </c>
      <c r="T34" s="88">
        <v>865.0</v>
      </c>
      <c r="U34" s="90">
        <f t="shared" si="5"/>
        <v>15.0337</v>
      </c>
      <c r="V34" s="91">
        <f t="shared" si="6"/>
        <v>0</v>
      </c>
      <c r="W34" s="23"/>
      <c r="X34" s="1"/>
      <c r="Y34" s="1"/>
      <c r="Z34" s="1"/>
    </row>
    <row r="35" ht="15.75" customHeight="1">
      <c r="A35" s="1"/>
      <c r="B35" s="110">
        <v>0.01</v>
      </c>
      <c r="C35" s="107">
        <v>0.32</v>
      </c>
      <c r="D35" s="72">
        <v>0.01</v>
      </c>
      <c r="E35" s="109">
        <v>0.07</v>
      </c>
      <c r="F35" s="78">
        <f t="shared" si="1"/>
        <v>0</v>
      </c>
      <c r="G35" s="74" t="str">
        <f t="shared" si="9"/>
        <v>#REF!</v>
      </c>
      <c r="H35" s="74"/>
      <c r="I35" s="80"/>
      <c r="J35" s="76" t="s">
        <v>94</v>
      </c>
      <c r="K35" s="79" t="s">
        <v>43</v>
      </c>
      <c r="L35" s="81">
        <v>3503.0</v>
      </c>
      <c r="M35" s="79" t="s">
        <v>45</v>
      </c>
      <c r="N35" s="118">
        <v>0.02</v>
      </c>
      <c r="O35" s="71" t="s">
        <v>47</v>
      </c>
      <c r="P35" s="86">
        <f t="shared" si="2"/>
        <v>0.33</v>
      </c>
      <c r="Q35" s="71" t="s">
        <v>47</v>
      </c>
      <c r="R35" s="89">
        <f t="shared" si="3"/>
        <v>0.08</v>
      </c>
      <c r="S35" s="78">
        <f t="shared" si="4"/>
        <v>0.000528</v>
      </c>
      <c r="T35" s="88">
        <v>865.0</v>
      </c>
      <c r="U35" s="90">
        <f t="shared" si="5"/>
        <v>0.45672</v>
      </c>
      <c r="V35" s="91">
        <f t="shared" si="6"/>
        <v>0</v>
      </c>
      <c r="W35" s="23"/>
      <c r="X35" s="1"/>
      <c r="Y35" s="1"/>
      <c r="Z35" s="1"/>
    </row>
    <row r="36" ht="15.75" customHeight="1">
      <c r="A36" s="1"/>
      <c r="B36" s="68">
        <v>0.01</v>
      </c>
      <c r="C36" s="95">
        <v>0.46</v>
      </c>
      <c r="D36" s="72">
        <v>0.01</v>
      </c>
      <c r="E36" s="96">
        <v>0.14</v>
      </c>
      <c r="F36" s="78">
        <f t="shared" si="1"/>
        <v>0</v>
      </c>
      <c r="G36" s="74" t="str">
        <f t="shared" si="9"/>
        <v>#REF!</v>
      </c>
      <c r="H36" s="74"/>
      <c r="I36" s="75"/>
      <c r="J36" s="76" t="s">
        <v>96</v>
      </c>
      <c r="K36" s="79" t="s">
        <v>43</v>
      </c>
      <c r="L36" s="81">
        <v>3503.0</v>
      </c>
      <c r="M36" s="79" t="s">
        <v>45</v>
      </c>
      <c r="N36" s="118">
        <v>0.02</v>
      </c>
      <c r="O36" s="71" t="s">
        <v>47</v>
      </c>
      <c r="P36" s="86">
        <f t="shared" si="2"/>
        <v>0.47</v>
      </c>
      <c r="Q36" s="71" t="s">
        <v>47</v>
      </c>
      <c r="R36" s="89">
        <f t="shared" si="3"/>
        <v>0.15</v>
      </c>
      <c r="S36" s="78">
        <f t="shared" si="4"/>
        <v>0.00141</v>
      </c>
      <c r="T36" s="88">
        <v>865.0</v>
      </c>
      <c r="U36" s="90">
        <f t="shared" si="5"/>
        <v>1.21965</v>
      </c>
      <c r="V36" s="91">
        <f t="shared" si="6"/>
        <v>0</v>
      </c>
      <c r="W36" s="23"/>
      <c r="X36" s="1"/>
      <c r="Y36" s="1"/>
      <c r="Z36" s="1"/>
    </row>
    <row r="37" ht="15.75" customHeight="1">
      <c r="A37" s="1"/>
      <c r="B37" s="68">
        <v>0.01</v>
      </c>
      <c r="C37" s="107">
        <v>0.46</v>
      </c>
      <c r="D37" s="72">
        <v>0.01</v>
      </c>
      <c r="E37" s="109">
        <v>0.12</v>
      </c>
      <c r="F37" s="78">
        <f t="shared" si="1"/>
        <v>0</v>
      </c>
      <c r="G37" s="74" t="str">
        <f t="shared" si="9"/>
        <v>#REF!</v>
      </c>
      <c r="H37" s="74"/>
      <c r="I37" s="75"/>
      <c r="J37" s="76" t="s">
        <v>98</v>
      </c>
      <c r="K37" s="79" t="s">
        <v>43</v>
      </c>
      <c r="L37" s="81">
        <v>3503.0</v>
      </c>
      <c r="M37" s="79" t="s">
        <v>45</v>
      </c>
      <c r="N37" s="118">
        <v>0.02</v>
      </c>
      <c r="O37" s="71" t="s">
        <v>47</v>
      </c>
      <c r="P37" s="86">
        <f t="shared" si="2"/>
        <v>0.47</v>
      </c>
      <c r="Q37" s="71" t="s">
        <v>47</v>
      </c>
      <c r="R37" s="89">
        <f t="shared" si="3"/>
        <v>0.13</v>
      </c>
      <c r="S37" s="78">
        <f t="shared" si="4"/>
        <v>0.001222</v>
      </c>
      <c r="T37" s="88">
        <v>865.0</v>
      </c>
      <c r="U37" s="90">
        <f t="shared" si="5"/>
        <v>1.05703</v>
      </c>
      <c r="V37" s="91">
        <f t="shared" si="6"/>
        <v>0</v>
      </c>
      <c r="W37" s="23"/>
      <c r="X37" s="1"/>
      <c r="Y37" s="1"/>
      <c r="Z37" s="1"/>
    </row>
    <row r="38" ht="15.75" customHeight="1">
      <c r="A38" s="1"/>
      <c r="B38" s="68">
        <v>0.01</v>
      </c>
      <c r="C38" s="107">
        <v>0.58</v>
      </c>
      <c r="D38" s="72">
        <v>0.01</v>
      </c>
      <c r="E38" s="109">
        <v>0.5</v>
      </c>
      <c r="F38" s="78">
        <f t="shared" si="1"/>
        <v>0</v>
      </c>
      <c r="G38" s="74" t="str">
        <f t="shared" si="9"/>
        <v>#REF!</v>
      </c>
      <c r="H38" s="74"/>
      <c r="I38" s="75"/>
      <c r="J38" s="76" t="s">
        <v>100</v>
      </c>
      <c r="K38" s="79" t="s">
        <v>43</v>
      </c>
      <c r="L38" s="81">
        <v>3503.0</v>
      </c>
      <c r="M38" s="79" t="s">
        <v>45</v>
      </c>
      <c r="N38" s="118">
        <v>0.06</v>
      </c>
      <c r="O38" s="71" t="s">
        <v>47</v>
      </c>
      <c r="P38" s="86">
        <f t="shared" si="2"/>
        <v>0.59</v>
      </c>
      <c r="Q38" s="71" t="s">
        <v>47</v>
      </c>
      <c r="R38" s="89">
        <f t="shared" si="3"/>
        <v>0.51</v>
      </c>
      <c r="S38" s="78">
        <f t="shared" si="4"/>
        <v>0.018054</v>
      </c>
      <c r="T38" s="88">
        <v>865.0</v>
      </c>
      <c r="U38" s="90">
        <f t="shared" si="5"/>
        <v>15.61671</v>
      </c>
      <c r="V38" s="91">
        <f t="shared" si="6"/>
        <v>0</v>
      </c>
      <c r="W38" s="23"/>
      <c r="X38" s="1"/>
      <c r="Y38" s="1"/>
      <c r="Z38" s="1"/>
    </row>
    <row r="39" ht="15.75" customHeight="1">
      <c r="A39" s="1"/>
      <c r="B39" s="68">
        <v>0.01</v>
      </c>
      <c r="C39" s="107">
        <v>0.51</v>
      </c>
      <c r="D39" s="72">
        <v>0.01</v>
      </c>
      <c r="E39" s="109">
        <v>0.31</v>
      </c>
      <c r="F39" s="78">
        <f t="shared" si="1"/>
        <v>0</v>
      </c>
      <c r="G39" s="74" t="str">
        <f t="shared" si="9"/>
        <v>#REF!</v>
      </c>
      <c r="H39" s="74"/>
      <c r="I39" s="111"/>
      <c r="J39" s="112" t="s">
        <v>102</v>
      </c>
      <c r="K39" s="79" t="s">
        <v>43</v>
      </c>
      <c r="L39" s="81">
        <v>3503.0</v>
      </c>
      <c r="M39" s="79" t="s">
        <v>45</v>
      </c>
      <c r="N39" s="118">
        <v>0.05</v>
      </c>
      <c r="O39" s="71" t="s">
        <v>47</v>
      </c>
      <c r="P39" s="86">
        <f t="shared" si="2"/>
        <v>0.52</v>
      </c>
      <c r="Q39" s="71" t="s">
        <v>47</v>
      </c>
      <c r="R39" s="89">
        <f t="shared" si="3"/>
        <v>0.32</v>
      </c>
      <c r="S39" s="78">
        <f t="shared" si="4"/>
        <v>0.00832</v>
      </c>
      <c r="T39" s="88">
        <v>865.0</v>
      </c>
      <c r="U39" s="90">
        <f t="shared" si="5"/>
        <v>7.1968</v>
      </c>
      <c r="V39" s="91">
        <f t="shared" si="6"/>
        <v>0</v>
      </c>
      <c r="W39" s="23"/>
      <c r="X39" s="1"/>
      <c r="Y39" s="1"/>
      <c r="Z39" s="1"/>
    </row>
    <row r="40" ht="15.75" customHeight="1">
      <c r="A40" s="1"/>
      <c r="B40" s="68">
        <v>0.01</v>
      </c>
      <c r="C40" s="107">
        <v>0.47</v>
      </c>
      <c r="D40" s="72">
        <v>0.01</v>
      </c>
      <c r="E40" s="109">
        <v>0.385</v>
      </c>
      <c r="F40" s="78">
        <f t="shared" si="1"/>
        <v>0</v>
      </c>
      <c r="G40" s="74" t="str">
        <f t="shared" si="9"/>
        <v>#REF!</v>
      </c>
      <c r="H40" s="74"/>
      <c r="I40" s="75"/>
      <c r="J40" s="76" t="s">
        <v>104</v>
      </c>
      <c r="K40" s="79" t="s">
        <v>43</v>
      </c>
      <c r="L40" s="81">
        <v>3503.0</v>
      </c>
      <c r="M40" s="79" t="s">
        <v>45</v>
      </c>
      <c r="N40" s="118">
        <v>0.06</v>
      </c>
      <c r="O40" s="71" t="s">
        <v>47</v>
      </c>
      <c r="P40" s="86">
        <f t="shared" si="2"/>
        <v>0.48</v>
      </c>
      <c r="Q40" s="71" t="s">
        <v>47</v>
      </c>
      <c r="R40" s="89">
        <f t="shared" si="3"/>
        <v>0.395</v>
      </c>
      <c r="S40" s="78">
        <f t="shared" si="4"/>
        <v>0.011376</v>
      </c>
      <c r="T40" s="88">
        <v>865.0</v>
      </c>
      <c r="U40" s="90">
        <f t="shared" si="5"/>
        <v>9.84024</v>
      </c>
      <c r="V40" s="91">
        <f t="shared" si="6"/>
        <v>0</v>
      </c>
      <c r="W40" s="23"/>
      <c r="X40" s="1"/>
      <c r="Y40" s="1"/>
      <c r="Z40" s="1"/>
    </row>
    <row r="41" ht="15.75" customHeight="1">
      <c r="A41" s="1"/>
      <c r="B41" s="68">
        <v>0.01</v>
      </c>
      <c r="C41" s="107">
        <v>0.52</v>
      </c>
      <c r="D41" s="72">
        <v>0.01</v>
      </c>
      <c r="E41" s="109">
        <v>0.5</v>
      </c>
      <c r="F41" s="78">
        <f t="shared" si="1"/>
        <v>0</v>
      </c>
      <c r="G41" s="74" t="str">
        <f t="shared" si="9"/>
        <v>#REF!</v>
      </c>
      <c r="H41" s="74"/>
      <c r="I41" s="75"/>
      <c r="J41" s="76" t="s">
        <v>105</v>
      </c>
      <c r="K41" s="79" t="s">
        <v>43</v>
      </c>
      <c r="L41" s="81">
        <v>3503.0</v>
      </c>
      <c r="M41" s="79" t="s">
        <v>45</v>
      </c>
      <c r="N41" s="118">
        <v>0.01</v>
      </c>
      <c r="O41" s="95" t="s">
        <v>47</v>
      </c>
      <c r="P41" s="85">
        <f t="shared" si="2"/>
        <v>0.53</v>
      </c>
      <c r="Q41" s="95" t="s">
        <v>47</v>
      </c>
      <c r="R41" s="122">
        <f t="shared" si="3"/>
        <v>0.51</v>
      </c>
      <c r="S41" s="78">
        <f t="shared" si="4"/>
        <v>0.002703</v>
      </c>
      <c r="T41" s="88">
        <v>865.0</v>
      </c>
      <c r="U41" s="90">
        <f t="shared" si="5"/>
        <v>2.338095</v>
      </c>
      <c r="V41" s="91">
        <f t="shared" si="6"/>
        <v>0</v>
      </c>
      <c r="W41" s="23"/>
      <c r="X41" s="1"/>
      <c r="Y41" s="1"/>
      <c r="Z41" s="1"/>
    </row>
    <row r="42" ht="15.75" customHeight="1">
      <c r="A42" s="1"/>
      <c r="B42" s="68"/>
      <c r="C42" s="107"/>
      <c r="D42" s="72"/>
      <c r="E42" s="109"/>
      <c r="F42" s="78"/>
      <c r="G42" s="74"/>
      <c r="H42" s="74"/>
      <c r="I42" s="75"/>
      <c r="J42" s="123" t="s">
        <v>107</v>
      </c>
      <c r="K42" s="124" t="s">
        <v>43</v>
      </c>
      <c r="L42" s="125">
        <v>3503.0</v>
      </c>
      <c r="M42" s="124" t="s">
        <v>45</v>
      </c>
      <c r="N42" s="126">
        <v>0.005</v>
      </c>
      <c r="O42" s="127" t="s">
        <v>109</v>
      </c>
      <c r="P42" s="128">
        <v>0.37</v>
      </c>
      <c r="Q42" s="127" t="s">
        <v>109</v>
      </c>
      <c r="R42" s="129">
        <v>0.07</v>
      </c>
      <c r="S42" s="78"/>
      <c r="T42" s="88"/>
      <c r="U42" s="90"/>
      <c r="V42" s="91"/>
      <c r="W42" s="23"/>
      <c r="X42" s="1"/>
      <c r="Y42" s="1"/>
      <c r="Z42" s="1"/>
    </row>
    <row r="43" ht="15.75" customHeight="1">
      <c r="A43" s="1"/>
      <c r="B43" s="68"/>
      <c r="C43" s="107"/>
      <c r="D43" s="72"/>
      <c r="E43" s="109"/>
      <c r="F43" s="78"/>
      <c r="G43" s="74"/>
      <c r="H43" s="74"/>
      <c r="I43" s="75"/>
      <c r="J43" s="76" t="s">
        <v>42</v>
      </c>
      <c r="K43" s="79" t="s">
        <v>43</v>
      </c>
      <c r="L43" s="81">
        <v>3503.0</v>
      </c>
      <c r="M43" s="82" t="s">
        <v>45</v>
      </c>
      <c r="N43" s="118">
        <v>0.0</v>
      </c>
      <c r="O43" s="71" t="s">
        <v>47</v>
      </c>
      <c r="P43" s="86">
        <f t="shared" ref="P43:P74" si="10">SUM(C43+B43)</f>
        <v>0</v>
      </c>
      <c r="Q43" s="71" t="s">
        <v>47</v>
      </c>
      <c r="R43" s="89">
        <f t="shared" ref="R43:R74" si="11">SUM(E43+D43)</f>
        <v>0</v>
      </c>
      <c r="S43" s="78">
        <f t="shared" ref="S43:S74" si="12">SUM(N43*P43*R43)</f>
        <v>0</v>
      </c>
      <c r="T43" s="88">
        <v>865.0</v>
      </c>
      <c r="U43" s="90">
        <f t="shared" ref="U43:U74" si="13">SUM(S43*T43)</f>
        <v>0</v>
      </c>
      <c r="V43" s="91">
        <f t="shared" ref="V43:V74" si="14">SUM(I43*U43)</f>
        <v>0</v>
      </c>
      <c r="W43" s="23"/>
      <c r="X43" s="1"/>
      <c r="Y43" s="1"/>
      <c r="Z43" s="1"/>
    </row>
    <row r="44" ht="15.75" customHeight="1">
      <c r="A44" s="1"/>
      <c r="B44" s="68"/>
      <c r="C44" s="107"/>
      <c r="D44" s="72"/>
      <c r="E44" s="109"/>
      <c r="F44" s="78"/>
      <c r="G44" s="74"/>
      <c r="H44" s="74"/>
      <c r="I44" s="75"/>
      <c r="J44" s="76" t="s">
        <v>49</v>
      </c>
      <c r="K44" s="79" t="s">
        <v>43</v>
      </c>
      <c r="L44" s="81">
        <v>3503.0</v>
      </c>
      <c r="M44" s="82" t="s">
        <v>45</v>
      </c>
      <c r="N44" s="118">
        <v>0.0</v>
      </c>
      <c r="O44" s="71" t="s">
        <v>47</v>
      </c>
      <c r="P44" s="86">
        <f t="shared" si="10"/>
        <v>0</v>
      </c>
      <c r="Q44" s="71" t="s">
        <v>47</v>
      </c>
      <c r="R44" s="89">
        <f t="shared" si="11"/>
        <v>0</v>
      </c>
      <c r="S44" s="78">
        <f t="shared" si="12"/>
        <v>0</v>
      </c>
      <c r="T44" s="88">
        <v>865.0</v>
      </c>
      <c r="U44" s="90">
        <f t="shared" si="13"/>
        <v>0</v>
      </c>
      <c r="V44" s="91">
        <f t="shared" si="14"/>
        <v>0</v>
      </c>
      <c r="W44" s="23"/>
      <c r="X44" s="1"/>
      <c r="Y44" s="1"/>
      <c r="Z44" s="1"/>
    </row>
    <row r="45" ht="15.75" customHeight="1">
      <c r="A45" s="1"/>
      <c r="B45" s="68"/>
      <c r="C45" s="107"/>
      <c r="D45" s="72"/>
      <c r="E45" s="109"/>
      <c r="F45" s="78"/>
      <c r="G45" s="74"/>
      <c r="H45" s="74"/>
      <c r="I45" s="75"/>
      <c r="J45" s="76" t="s">
        <v>50</v>
      </c>
      <c r="K45" s="79" t="s">
        <v>43</v>
      </c>
      <c r="L45" s="81">
        <v>3503.0</v>
      </c>
      <c r="M45" s="82" t="s">
        <v>45</v>
      </c>
      <c r="N45" s="118">
        <v>0.0</v>
      </c>
      <c r="O45" s="71" t="s">
        <v>47</v>
      </c>
      <c r="P45" s="86">
        <f t="shared" si="10"/>
        <v>0</v>
      </c>
      <c r="Q45" s="71" t="s">
        <v>47</v>
      </c>
      <c r="R45" s="89">
        <f t="shared" si="11"/>
        <v>0</v>
      </c>
      <c r="S45" s="78">
        <f t="shared" si="12"/>
        <v>0</v>
      </c>
      <c r="T45" s="88">
        <v>865.0</v>
      </c>
      <c r="U45" s="90">
        <f t="shared" si="13"/>
        <v>0</v>
      </c>
      <c r="V45" s="91">
        <f t="shared" si="14"/>
        <v>0</v>
      </c>
      <c r="W45" s="23"/>
      <c r="X45" s="1"/>
      <c r="Y45" s="1"/>
      <c r="Z45" s="1"/>
    </row>
    <row r="46" ht="15.75" customHeight="1">
      <c r="A46" s="1"/>
      <c r="B46" s="68"/>
      <c r="C46" s="107"/>
      <c r="D46" s="72"/>
      <c r="E46" s="109"/>
      <c r="F46" s="78"/>
      <c r="G46" s="74"/>
      <c r="H46" s="74"/>
      <c r="I46" s="75"/>
      <c r="J46" s="76" t="s">
        <v>52</v>
      </c>
      <c r="K46" s="79" t="s">
        <v>43</v>
      </c>
      <c r="L46" s="81">
        <v>3503.0</v>
      </c>
      <c r="M46" s="82" t="s">
        <v>45</v>
      </c>
      <c r="N46" s="118">
        <v>0.0</v>
      </c>
      <c r="O46" s="71" t="s">
        <v>47</v>
      </c>
      <c r="P46" s="86">
        <f t="shared" si="10"/>
        <v>0</v>
      </c>
      <c r="Q46" s="71" t="s">
        <v>47</v>
      </c>
      <c r="R46" s="89">
        <f t="shared" si="11"/>
        <v>0</v>
      </c>
      <c r="S46" s="78">
        <f t="shared" si="12"/>
        <v>0</v>
      </c>
      <c r="T46" s="88">
        <v>865.0</v>
      </c>
      <c r="U46" s="90">
        <f t="shared" si="13"/>
        <v>0</v>
      </c>
      <c r="V46" s="91">
        <f t="shared" si="14"/>
        <v>0</v>
      </c>
      <c r="W46" s="23"/>
      <c r="X46" s="1"/>
      <c r="Y46" s="1"/>
      <c r="Z46" s="1"/>
    </row>
    <row r="47" ht="15.75" customHeight="1">
      <c r="A47" s="1"/>
      <c r="B47" s="68"/>
      <c r="C47" s="107"/>
      <c r="D47" s="72"/>
      <c r="E47" s="109"/>
      <c r="F47" s="78"/>
      <c r="G47" s="74"/>
      <c r="H47" s="74"/>
      <c r="I47" s="75"/>
      <c r="J47" s="76" t="s">
        <v>53</v>
      </c>
      <c r="K47" s="79" t="s">
        <v>43</v>
      </c>
      <c r="L47" s="81">
        <v>3503.0</v>
      </c>
      <c r="M47" s="82" t="s">
        <v>45</v>
      </c>
      <c r="N47" s="118">
        <v>0.0</v>
      </c>
      <c r="O47" s="71" t="s">
        <v>47</v>
      </c>
      <c r="P47" s="86">
        <f t="shared" si="10"/>
        <v>0</v>
      </c>
      <c r="Q47" s="71" t="s">
        <v>47</v>
      </c>
      <c r="R47" s="89">
        <f t="shared" si="11"/>
        <v>0</v>
      </c>
      <c r="S47" s="78">
        <f t="shared" si="12"/>
        <v>0</v>
      </c>
      <c r="T47" s="88">
        <v>865.0</v>
      </c>
      <c r="U47" s="90">
        <f t="shared" si="13"/>
        <v>0</v>
      </c>
      <c r="V47" s="91">
        <f t="shared" si="14"/>
        <v>0</v>
      </c>
      <c r="W47" s="23"/>
      <c r="X47" s="1"/>
      <c r="Y47" s="1"/>
      <c r="Z47" s="1"/>
    </row>
    <row r="48" ht="15.75" customHeight="1">
      <c r="A48" s="1"/>
      <c r="B48" s="68"/>
      <c r="C48" s="107"/>
      <c r="D48" s="72"/>
      <c r="E48" s="109"/>
      <c r="F48" s="78"/>
      <c r="G48" s="74"/>
      <c r="H48" s="74"/>
      <c r="I48" s="75"/>
      <c r="J48" s="76" t="s">
        <v>55</v>
      </c>
      <c r="K48" s="79" t="s">
        <v>43</v>
      </c>
      <c r="L48" s="81">
        <v>3503.0</v>
      </c>
      <c r="M48" s="82" t="s">
        <v>45</v>
      </c>
      <c r="N48" s="118">
        <v>0.0</v>
      </c>
      <c r="O48" s="71" t="s">
        <v>47</v>
      </c>
      <c r="P48" s="86">
        <f t="shared" si="10"/>
        <v>0</v>
      </c>
      <c r="Q48" s="71" t="s">
        <v>47</v>
      </c>
      <c r="R48" s="89">
        <f t="shared" si="11"/>
        <v>0</v>
      </c>
      <c r="S48" s="78">
        <f t="shared" si="12"/>
        <v>0</v>
      </c>
      <c r="T48" s="88">
        <v>865.0</v>
      </c>
      <c r="U48" s="90">
        <f t="shared" si="13"/>
        <v>0</v>
      </c>
      <c r="V48" s="91">
        <f t="shared" si="14"/>
        <v>0</v>
      </c>
      <c r="W48" s="23"/>
      <c r="X48" s="1"/>
      <c r="Y48" s="1"/>
      <c r="Z48" s="1"/>
    </row>
    <row r="49" ht="15.75" customHeight="1">
      <c r="A49" s="1"/>
      <c r="B49" s="68"/>
      <c r="C49" s="107"/>
      <c r="D49" s="72"/>
      <c r="E49" s="109"/>
      <c r="F49" s="78"/>
      <c r="G49" s="74"/>
      <c r="H49" s="74"/>
      <c r="I49" s="75"/>
      <c r="J49" s="76" t="s">
        <v>57</v>
      </c>
      <c r="K49" s="79" t="s">
        <v>43</v>
      </c>
      <c r="L49" s="81">
        <v>3503.0</v>
      </c>
      <c r="M49" s="82" t="s">
        <v>45</v>
      </c>
      <c r="N49" s="118">
        <v>0.0</v>
      </c>
      <c r="O49" s="71" t="s">
        <v>47</v>
      </c>
      <c r="P49" s="86">
        <f t="shared" si="10"/>
        <v>0</v>
      </c>
      <c r="Q49" s="71" t="s">
        <v>47</v>
      </c>
      <c r="R49" s="89">
        <f t="shared" si="11"/>
        <v>0</v>
      </c>
      <c r="S49" s="78">
        <f t="shared" si="12"/>
        <v>0</v>
      </c>
      <c r="T49" s="88">
        <v>865.0</v>
      </c>
      <c r="U49" s="90">
        <f t="shared" si="13"/>
        <v>0</v>
      </c>
      <c r="V49" s="91">
        <f t="shared" si="14"/>
        <v>0</v>
      </c>
      <c r="W49" s="23"/>
      <c r="X49" s="1"/>
      <c r="Y49" s="1"/>
      <c r="Z49" s="1"/>
    </row>
    <row r="50" ht="15.75" customHeight="1">
      <c r="A50" s="1"/>
      <c r="B50" s="68"/>
      <c r="C50" s="107"/>
      <c r="D50" s="72"/>
      <c r="E50" s="109"/>
      <c r="F50" s="78"/>
      <c r="G50" s="74"/>
      <c r="H50" s="74"/>
      <c r="I50" s="75"/>
      <c r="J50" s="76" t="s">
        <v>59</v>
      </c>
      <c r="K50" s="79" t="s">
        <v>43</v>
      </c>
      <c r="L50" s="81">
        <v>3503.0</v>
      </c>
      <c r="M50" s="82" t="s">
        <v>45</v>
      </c>
      <c r="N50" s="118">
        <v>0.0</v>
      </c>
      <c r="O50" s="71" t="s">
        <v>47</v>
      </c>
      <c r="P50" s="86">
        <f t="shared" si="10"/>
        <v>0</v>
      </c>
      <c r="Q50" s="71" t="s">
        <v>47</v>
      </c>
      <c r="R50" s="89">
        <f t="shared" si="11"/>
        <v>0</v>
      </c>
      <c r="S50" s="78">
        <f t="shared" si="12"/>
        <v>0</v>
      </c>
      <c r="T50" s="88">
        <v>865.0</v>
      </c>
      <c r="U50" s="90">
        <f t="shared" si="13"/>
        <v>0</v>
      </c>
      <c r="V50" s="91">
        <f t="shared" si="14"/>
        <v>0</v>
      </c>
      <c r="W50" s="23"/>
      <c r="X50" s="1"/>
      <c r="Y50" s="1"/>
      <c r="Z50" s="1"/>
    </row>
    <row r="51" ht="15.75" customHeight="1">
      <c r="A51" s="1"/>
      <c r="B51" s="68"/>
      <c r="C51" s="107"/>
      <c r="D51" s="72"/>
      <c r="E51" s="109"/>
      <c r="F51" s="78"/>
      <c r="G51" s="74"/>
      <c r="H51" s="74"/>
      <c r="I51" s="75"/>
      <c r="J51" s="76" t="s">
        <v>61</v>
      </c>
      <c r="K51" s="79" t="s">
        <v>43</v>
      </c>
      <c r="L51" s="81">
        <v>3503.0</v>
      </c>
      <c r="M51" s="82" t="s">
        <v>45</v>
      </c>
      <c r="N51" s="118">
        <v>0.0</v>
      </c>
      <c r="O51" s="71" t="s">
        <v>47</v>
      </c>
      <c r="P51" s="86">
        <f t="shared" si="10"/>
        <v>0</v>
      </c>
      <c r="Q51" s="71" t="s">
        <v>47</v>
      </c>
      <c r="R51" s="89">
        <f t="shared" si="11"/>
        <v>0</v>
      </c>
      <c r="S51" s="78">
        <f t="shared" si="12"/>
        <v>0</v>
      </c>
      <c r="T51" s="88">
        <v>865.0</v>
      </c>
      <c r="U51" s="90">
        <f t="shared" si="13"/>
        <v>0</v>
      </c>
      <c r="V51" s="91">
        <f t="shared" si="14"/>
        <v>0</v>
      </c>
      <c r="W51" s="23"/>
      <c r="X51" s="1"/>
      <c r="Y51" s="1"/>
      <c r="Z51" s="1"/>
    </row>
    <row r="52" ht="15.75" customHeight="1">
      <c r="A52" s="1"/>
      <c r="B52" s="68"/>
      <c r="C52" s="107"/>
      <c r="D52" s="72"/>
      <c r="E52" s="109"/>
      <c r="F52" s="78"/>
      <c r="G52" s="74"/>
      <c r="H52" s="74"/>
      <c r="I52" s="75"/>
      <c r="J52" s="76" t="s">
        <v>65</v>
      </c>
      <c r="K52" s="79" t="s">
        <v>43</v>
      </c>
      <c r="L52" s="81">
        <v>3503.0</v>
      </c>
      <c r="M52" s="82" t="s">
        <v>45</v>
      </c>
      <c r="N52" s="118">
        <v>0.0</v>
      </c>
      <c r="O52" s="71" t="s">
        <v>47</v>
      </c>
      <c r="P52" s="86">
        <f t="shared" si="10"/>
        <v>0</v>
      </c>
      <c r="Q52" s="71" t="s">
        <v>47</v>
      </c>
      <c r="R52" s="89">
        <f t="shared" si="11"/>
        <v>0</v>
      </c>
      <c r="S52" s="78">
        <f t="shared" si="12"/>
        <v>0</v>
      </c>
      <c r="T52" s="88">
        <v>865.0</v>
      </c>
      <c r="U52" s="90">
        <f t="shared" si="13"/>
        <v>0</v>
      </c>
      <c r="V52" s="91">
        <f t="shared" si="14"/>
        <v>0</v>
      </c>
      <c r="W52" s="23"/>
      <c r="X52" s="1"/>
      <c r="Y52" s="1"/>
      <c r="Z52" s="1"/>
    </row>
    <row r="53" ht="15.75" customHeight="1">
      <c r="A53" s="1"/>
      <c r="B53" s="68"/>
      <c r="C53" s="107"/>
      <c r="D53" s="72"/>
      <c r="E53" s="109"/>
      <c r="F53" s="78"/>
      <c r="G53" s="74"/>
      <c r="H53" s="74"/>
      <c r="I53" s="75"/>
      <c r="J53" s="76" t="s">
        <v>68</v>
      </c>
      <c r="K53" s="79" t="s">
        <v>43</v>
      </c>
      <c r="L53" s="81">
        <v>3503.0</v>
      </c>
      <c r="M53" s="82" t="s">
        <v>45</v>
      </c>
      <c r="N53" s="118">
        <v>0.0</v>
      </c>
      <c r="O53" s="71" t="s">
        <v>47</v>
      </c>
      <c r="P53" s="86">
        <f t="shared" si="10"/>
        <v>0</v>
      </c>
      <c r="Q53" s="71" t="s">
        <v>47</v>
      </c>
      <c r="R53" s="89">
        <f t="shared" si="11"/>
        <v>0</v>
      </c>
      <c r="S53" s="78">
        <f t="shared" si="12"/>
        <v>0</v>
      </c>
      <c r="T53" s="88">
        <v>865.0</v>
      </c>
      <c r="U53" s="90">
        <f t="shared" si="13"/>
        <v>0</v>
      </c>
      <c r="V53" s="91">
        <f t="shared" si="14"/>
        <v>0</v>
      </c>
      <c r="W53" s="23"/>
      <c r="X53" s="1"/>
      <c r="Y53" s="1"/>
      <c r="Z53" s="1"/>
    </row>
    <row r="54" ht="15.75" customHeight="1">
      <c r="A54" s="1"/>
      <c r="B54" s="68"/>
      <c r="C54" s="107"/>
      <c r="D54" s="72"/>
      <c r="E54" s="109"/>
      <c r="F54" s="78"/>
      <c r="G54" s="74"/>
      <c r="H54" s="74"/>
      <c r="I54" s="75"/>
      <c r="J54" s="76" t="s">
        <v>69</v>
      </c>
      <c r="K54" s="79" t="s">
        <v>43</v>
      </c>
      <c r="L54" s="81">
        <v>3503.0</v>
      </c>
      <c r="M54" s="82" t="s">
        <v>45</v>
      </c>
      <c r="N54" s="118">
        <v>0.0</v>
      </c>
      <c r="O54" s="71" t="s">
        <v>47</v>
      </c>
      <c r="P54" s="86">
        <f t="shared" si="10"/>
        <v>0</v>
      </c>
      <c r="Q54" s="71" t="s">
        <v>47</v>
      </c>
      <c r="R54" s="89">
        <f t="shared" si="11"/>
        <v>0</v>
      </c>
      <c r="S54" s="78">
        <f t="shared" si="12"/>
        <v>0</v>
      </c>
      <c r="T54" s="88">
        <v>865.0</v>
      </c>
      <c r="U54" s="90">
        <f t="shared" si="13"/>
        <v>0</v>
      </c>
      <c r="V54" s="91">
        <f t="shared" si="14"/>
        <v>0</v>
      </c>
      <c r="W54" s="23"/>
      <c r="X54" s="1"/>
      <c r="Y54" s="1"/>
      <c r="Z54" s="1"/>
    </row>
    <row r="55" ht="15.75" customHeight="1">
      <c r="A55" s="1"/>
      <c r="B55" s="68"/>
      <c r="C55" s="107"/>
      <c r="D55" s="72"/>
      <c r="E55" s="109"/>
      <c r="F55" s="78"/>
      <c r="G55" s="74"/>
      <c r="H55" s="74"/>
      <c r="I55" s="75"/>
      <c r="J55" s="76" t="s">
        <v>72</v>
      </c>
      <c r="K55" s="79" t="s">
        <v>43</v>
      </c>
      <c r="L55" s="81">
        <v>3503.0</v>
      </c>
      <c r="M55" s="82" t="s">
        <v>45</v>
      </c>
      <c r="N55" s="118">
        <v>0.0</v>
      </c>
      <c r="O55" s="71" t="s">
        <v>47</v>
      </c>
      <c r="P55" s="86">
        <f t="shared" si="10"/>
        <v>0</v>
      </c>
      <c r="Q55" s="71" t="s">
        <v>47</v>
      </c>
      <c r="R55" s="89">
        <f t="shared" si="11"/>
        <v>0</v>
      </c>
      <c r="S55" s="78">
        <f t="shared" si="12"/>
        <v>0</v>
      </c>
      <c r="T55" s="88">
        <v>865.0</v>
      </c>
      <c r="U55" s="90">
        <f t="shared" si="13"/>
        <v>0</v>
      </c>
      <c r="V55" s="91">
        <f t="shared" si="14"/>
        <v>0</v>
      </c>
      <c r="W55" s="23"/>
      <c r="X55" s="1"/>
      <c r="Y55" s="1"/>
      <c r="Z55" s="1"/>
    </row>
    <row r="56" ht="15.75" customHeight="1">
      <c r="A56" s="1"/>
      <c r="B56" s="68"/>
      <c r="C56" s="107"/>
      <c r="D56" s="72"/>
      <c r="E56" s="109"/>
      <c r="F56" s="78"/>
      <c r="G56" s="74"/>
      <c r="H56" s="74"/>
      <c r="I56" s="75"/>
      <c r="J56" s="76" t="s">
        <v>74</v>
      </c>
      <c r="K56" s="79" t="s">
        <v>43</v>
      </c>
      <c r="L56" s="81">
        <v>3503.0</v>
      </c>
      <c r="M56" s="82" t="s">
        <v>45</v>
      </c>
      <c r="N56" s="118">
        <v>0.0</v>
      </c>
      <c r="O56" s="71" t="s">
        <v>47</v>
      </c>
      <c r="P56" s="86">
        <f t="shared" si="10"/>
        <v>0</v>
      </c>
      <c r="Q56" s="71" t="s">
        <v>47</v>
      </c>
      <c r="R56" s="89">
        <f t="shared" si="11"/>
        <v>0</v>
      </c>
      <c r="S56" s="78">
        <f t="shared" si="12"/>
        <v>0</v>
      </c>
      <c r="T56" s="88">
        <v>865.0</v>
      </c>
      <c r="U56" s="90">
        <f t="shared" si="13"/>
        <v>0</v>
      </c>
      <c r="V56" s="91">
        <f t="shared" si="14"/>
        <v>0</v>
      </c>
      <c r="W56" s="23"/>
      <c r="X56" s="1"/>
      <c r="Y56" s="1"/>
      <c r="Z56" s="1"/>
    </row>
    <row r="57" ht="15.75" customHeight="1">
      <c r="A57" s="1"/>
      <c r="B57" s="68"/>
      <c r="C57" s="107"/>
      <c r="D57" s="72"/>
      <c r="E57" s="109"/>
      <c r="F57" s="78"/>
      <c r="G57" s="74"/>
      <c r="H57" s="74"/>
      <c r="I57" s="75"/>
      <c r="J57" s="76" t="s">
        <v>75</v>
      </c>
      <c r="K57" s="79" t="s">
        <v>43</v>
      </c>
      <c r="L57" s="81">
        <v>3503.0</v>
      </c>
      <c r="M57" s="82" t="s">
        <v>45</v>
      </c>
      <c r="N57" s="118">
        <v>0.0</v>
      </c>
      <c r="O57" s="71" t="s">
        <v>47</v>
      </c>
      <c r="P57" s="86">
        <f t="shared" si="10"/>
        <v>0</v>
      </c>
      <c r="Q57" s="71" t="s">
        <v>47</v>
      </c>
      <c r="R57" s="89">
        <f t="shared" si="11"/>
        <v>0</v>
      </c>
      <c r="S57" s="78">
        <f t="shared" si="12"/>
        <v>0</v>
      </c>
      <c r="T57" s="88">
        <v>865.0</v>
      </c>
      <c r="U57" s="90">
        <f t="shared" si="13"/>
        <v>0</v>
      </c>
      <c r="V57" s="91">
        <f t="shared" si="14"/>
        <v>0</v>
      </c>
      <c r="W57" s="23"/>
      <c r="X57" s="1"/>
      <c r="Y57" s="1"/>
      <c r="Z57" s="1"/>
    </row>
    <row r="58" ht="15.75" customHeight="1">
      <c r="A58" s="1"/>
      <c r="B58" s="68"/>
      <c r="C58" s="107"/>
      <c r="D58" s="72"/>
      <c r="E58" s="109"/>
      <c r="F58" s="78"/>
      <c r="G58" s="74"/>
      <c r="H58" s="74"/>
      <c r="I58" s="75"/>
      <c r="J58" s="76" t="s">
        <v>77</v>
      </c>
      <c r="K58" s="79" t="s">
        <v>43</v>
      </c>
      <c r="L58" s="81">
        <v>3503.0</v>
      </c>
      <c r="M58" s="82" t="s">
        <v>45</v>
      </c>
      <c r="N58" s="118">
        <v>0.0</v>
      </c>
      <c r="O58" s="71" t="s">
        <v>47</v>
      </c>
      <c r="P58" s="86">
        <f t="shared" si="10"/>
        <v>0</v>
      </c>
      <c r="Q58" s="71" t="s">
        <v>47</v>
      </c>
      <c r="R58" s="89">
        <f t="shared" si="11"/>
        <v>0</v>
      </c>
      <c r="S58" s="78">
        <f t="shared" si="12"/>
        <v>0</v>
      </c>
      <c r="T58" s="88">
        <v>865.0</v>
      </c>
      <c r="U58" s="90">
        <f t="shared" si="13"/>
        <v>0</v>
      </c>
      <c r="V58" s="91">
        <f t="shared" si="14"/>
        <v>0</v>
      </c>
      <c r="W58" s="23"/>
      <c r="X58" s="1"/>
      <c r="Y58" s="1"/>
      <c r="Z58" s="1"/>
    </row>
    <row r="59" ht="15.75" customHeight="1">
      <c r="A59" s="1"/>
      <c r="B59" s="68"/>
      <c r="C59" s="107"/>
      <c r="D59" s="72"/>
      <c r="E59" s="109"/>
      <c r="F59" s="78"/>
      <c r="G59" s="74"/>
      <c r="H59" s="74"/>
      <c r="I59" s="75"/>
      <c r="J59" s="76" t="s">
        <v>79</v>
      </c>
      <c r="K59" s="79" t="s">
        <v>43</v>
      </c>
      <c r="L59" s="81">
        <v>3503.0</v>
      </c>
      <c r="M59" s="82" t="s">
        <v>45</v>
      </c>
      <c r="N59" s="118">
        <v>0.0</v>
      </c>
      <c r="O59" s="71" t="s">
        <v>47</v>
      </c>
      <c r="P59" s="86">
        <f t="shared" si="10"/>
        <v>0</v>
      </c>
      <c r="Q59" s="71" t="s">
        <v>47</v>
      </c>
      <c r="R59" s="89">
        <f t="shared" si="11"/>
        <v>0</v>
      </c>
      <c r="S59" s="78">
        <f t="shared" si="12"/>
        <v>0</v>
      </c>
      <c r="T59" s="88">
        <v>865.0</v>
      </c>
      <c r="U59" s="90">
        <f t="shared" si="13"/>
        <v>0</v>
      </c>
      <c r="V59" s="91">
        <f t="shared" si="14"/>
        <v>0</v>
      </c>
      <c r="W59" s="23"/>
      <c r="X59" s="1"/>
      <c r="Y59" s="1"/>
      <c r="Z59" s="1"/>
    </row>
    <row r="60" ht="15.75" customHeight="1">
      <c r="A60" s="1"/>
      <c r="B60" s="68"/>
      <c r="C60" s="107"/>
      <c r="D60" s="72"/>
      <c r="E60" s="109"/>
      <c r="F60" s="78"/>
      <c r="G60" s="74"/>
      <c r="H60" s="74"/>
      <c r="I60" s="75"/>
      <c r="J60" s="76" t="s">
        <v>81</v>
      </c>
      <c r="K60" s="79" t="s">
        <v>43</v>
      </c>
      <c r="L60" s="81">
        <v>3503.0</v>
      </c>
      <c r="M60" s="82" t="s">
        <v>45</v>
      </c>
      <c r="N60" s="118">
        <v>0.0</v>
      </c>
      <c r="O60" s="71" t="s">
        <v>47</v>
      </c>
      <c r="P60" s="86">
        <f t="shared" si="10"/>
        <v>0</v>
      </c>
      <c r="Q60" s="71" t="s">
        <v>47</v>
      </c>
      <c r="R60" s="89">
        <f t="shared" si="11"/>
        <v>0</v>
      </c>
      <c r="S60" s="78">
        <f t="shared" si="12"/>
        <v>0</v>
      </c>
      <c r="T60" s="88">
        <v>865.0</v>
      </c>
      <c r="U60" s="90">
        <f t="shared" si="13"/>
        <v>0</v>
      </c>
      <c r="V60" s="91">
        <f t="shared" si="14"/>
        <v>0</v>
      </c>
      <c r="W60" s="23"/>
      <c r="X60" s="1"/>
      <c r="Y60" s="1"/>
      <c r="Z60" s="1"/>
    </row>
    <row r="61" ht="15.75" customHeight="1">
      <c r="A61" s="1"/>
      <c r="B61" s="68"/>
      <c r="C61" s="107"/>
      <c r="D61" s="72"/>
      <c r="E61" s="109"/>
      <c r="F61" s="78"/>
      <c r="G61" s="74"/>
      <c r="H61" s="74"/>
      <c r="I61" s="75"/>
      <c r="J61" s="76" t="s">
        <v>82</v>
      </c>
      <c r="K61" s="79" t="s">
        <v>43</v>
      </c>
      <c r="L61" s="81">
        <v>3503.0</v>
      </c>
      <c r="M61" s="82" t="s">
        <v>45</v>
      </c>
      <c r="N61" s="118">
        <v>0.0</v>
      </c>
      <c r="O61" s="71" t="s">
        <v>47</v>
      </c>
      <c r="P61" s="86">
        <f t="shared" si="10"/>
        <v>0</v>
      </c>
      <c r="Q61" s="71" t="s">
        <v>47</v>
      </c>
      <c r="R61" s="89">
        <f t="shared" si="11"/>
        <v>0</v>
      </c>
      <c r="S61" s="78">
        <f t="shared" si="12"/>
        <v>0</v>
      </c>
      <c r="T61" s="88">
        <v>865.0</v>
      </c>
      <c r="U61" s="90">
        <f t="shared" si="13"/>
        <v>0</v>
      </c>
      <c r="V61" s="91">
        <f t="shared" si="14"/>
        <v>0</v>
      </c>
      <c r="W61" s="23"/>
      <c r="X61" s="1"/>
      <c r="Y61" s="1"/>
      <c r="Z61" s="1"/>
    </row>
    <row r="62" ht="15.75" customHeight="1">
      <c r="A62" s="1"/>
      <c r="B62" s="68"/>
      <c r="C62" s="107"/>
      <c r="D62" s="72"/>
      <c r="E62" s="109"/>
      <c r="F62" s="78"/>
      <c r="G62" s="74"/>
      <c r="H62" s="74"/>
      <c r="I62" s="75"/>
      <c r="J62" s="76" t="s">
        <v>84</v>
      </c>
      <c r="K62" s="79" t="s">
        <v>43</v>
      </c>
      <c r="L62" s="81">
        <v>3503.0</v>
      </c>
      <c r="M62" s="82" t="s">
        <v>45</v>
      </c>
      <c r="N62" s="118">
        <v>0.0</v>
      </c>
      <c r="O62" s="71" t="s">
        <v>47</v>
      </c>
      <c r="P62" s="86">
        <f t="shared" si="10"/>
        <v>0</v>
      </c>
      <c r="Q62" s="71" t="s">
        <v>47</v>
      </c>
      <c r="R62" s="89">
        <f t="shared" si="11"/>
        <v>0</v>
      </c>
      <c r="S62" s="78">
        <f t="shared" si="12"/>
        <v>0</v>
      </c>
      <c r="T62" s="88">
        <v>865.0</v>
      </c>
      <c r="U62" s="90">
        <f t="shared" si="13"/>
        <v>0</v>
      </c>
      <c r="V62" s="91">
        <f t="shared" si="14"/>
        <v>0</v>
      </c>
      <c r="W62" s="23"/>
      <c r="X62" s="1"/>
      <c r="Y62" s="1"/>
      <c r="Z62" s="1"/>
    </row>
    <row r="63" ht="15.75" customHeight="1">
      <c r="A63" s="1"/>
      <c r="B63" s="68"/>
      <c r="C63" s="107"/>
      <c r="D63" s="72"/>
      <c r="E63" s="109"/>
      <c r="F63" s="78"/>
      <c r="G63" s="74"/>
      <c r="H63" s="74"/>
      <c r="I63" s="75"/>
      <c r="J63" s="76" t="s">
        <v>86</v>
      </c>
      <c r="K63" s="79" t="s">
        <v>43</v>
      </c>
      <c r="L63" s="81">
        <v>3503.0</v>
      </c>
      <c r="M63" s="82" t="s">
        <v>45</v>
      </c>
      <c r="N63" s="118">
        <v>0.0</v>
      </c>
      <c r="O63" s="71" t="s">
        <v>47</v>
      </c>
      <c r="P63" s="86">
        <f t="shared" si="10"/>
        <v>0</v>
      </c>
      <c r="Q63" s="71" t="s">
        <v>47</v>
      </c>
      <c r="R63" s="89">
        <f t="shared" si="11"/>
        <v>0</v>
      </c>
      <c r="S63" s="78">
        <f t="shared" si="12"/>
        <v>0</v>
      </c>
      <c r="T63" s="88">
        <v>865.0</v>
      </c>
      <c r="U63" s="90">
        <f t="shared" si="13"/>
        <v>0</v>
      </c>
      <c r="V63" s="91">
        <f t="shared" si="14"/>
        <v>0</v>
      </c>
      <c r="W63" s="23"/>
      <c r="X63" s="1"/>
      <c r="Y63" s="1"/>
      <c r="Z63" s="1"/>
    </row>
    <row r="64" ht="15.75" customHeight="1">
      <c r="A64" s="1"/>
      <c r="B64" s="68"/>
      <c r="C64" s="107"/>
      <c r="D64" s="72"/>
      <c r="E64" s="109"/>
      <c r="F64" s="78"/>
      <c r="G64" s="74"/>
      <c r="H64" s="74"/>
      <c r="I64" s="75"/>
      <c r="J64" s="76" t="s">
        <v>88</v>
      </c>
      <c r="K64" s="79" t="s">
        <v>43</v>
      </c>
      <c r="L64" s="81">
        <v>3503.0</v>
      </c>
      <c r="M64" s="82" t="s">
        <v>45</v>
      </c>
      <c r="N64" s="118">
        <v>0.0</v>
      </c>
      <c r="O64" s="71" t="s">
        <v>47</v>
      </c>
      <c r="P64" s="86">
        <f t="shared" si="10"/>
        <v>0</v>
      </c>
      <c r="Q64" s="71" t="s">
        <v>47</v>
      </c>
      <c r="R64" s="89">
        <f t="shared" si="11"/>
        <v>0</v>
      </c>
      <c r="S64" s="78">
        <f t="shared" si="12"/>
        <v>0</v>
      </c>
      <c r="T64" s="88">
        <v>865.0</v>
      </c>
      <c r="U64" s="90">
        <f t="shared" si="13"/>
        <v>0</v>
      </c>
      <c r="V64" s="91">
        <f t="shared" si="14"/>
        <v>0</v>
      </c>
      <c r="W64" s="23"/>
      <c r="X64" s="1"/>
      <c r="Y64" s="1"/>
      <c r="Z64" s="1"/>
    </row>
    <row r="65" ht="15.75" customHeight="1">
      <c r="A65" s="1"/>
      <c r="B65" s="68"/>
      <c r="C65" s="107"/>
      <c r="D65" s="72"/>
      <c r="E65" s="109"/>
      <c r="F65" s="78"/>
      <c r="G65" s="74"/>
      <c r="H65" s="74"/>
      <c r="I65" s="75"/>
      <c r="J65" s="76" t="s">
        <v>90</v>
      </c>
      <c r="K65" s="79" t="s">
        <v>43</v>
      </c>
      <c r="L65" s="81">
        <v>3503.0</v>
      </c>
      <c r="M65" s="82" t="s">
        <v>45</v>
      </c>
      <c r="N65" s="118">
        <v>0.0</v>
      </c>
      <c r="O65" s="71" t="s">
        <v>47</v>
      </c>
      <c r="P65" s="86">
        <f t="shared" si="10"/>
        <v>0</v>
      </c>
      <c r="Q65" s="71" t="s">
        <v>47</v>
      </c>
      <c r="R65" s="89">
        <f t="shared" si="11"/>
        <v>0</v>
      </c>
      <c r="S65" s="78">
        <f t="shared" si="12"/>
        <v>0</v>
      </c>
      <c r="T65" s="88">
        <v>865.0</v>
      </c>
      <c r="U65" s="90">
        <f t="shared" si="13"/>
        <v>0</v>
      </c>
      <c r="V65" s="91">
        <f t="shared" si="14"/>
        <v>0</v>
      </c>
      <c r="W65" s="23"/>
      <c r="X65" s="1"/>
      <c r="Y65" s="1"/>
      <c r="Z65" s="1"/>
    </row>
    <row r="66" ht="15.75" customHeight="1">
      <c r="A66" s="1"/>
      <c r="B66" s="68"/>
      <c r="C66" s="107"/>
      <c r="D66" s="72"/>
      <c r="E66" s="109"/>
      <c r="F66" s="78"/>
      <c r="G66" s="74"/>
      <c r="H66" s="74"/>
      <c r="I66" s="75"/>
      <c r="J66" s="76" t="s">
        <v>92</v>
      </c>
      <c r="K66" s="79" t="s">
        <v>43</v>
      </c>
      <c r="L66" s="81">
        <v>3503.0</v>
      </c>
      <c r="M66" s="82" t="s">
        <v>45</v>
      </c>
      <c r="N66" s="118">
        <v>0.0</v>
      </c>
      <c r="O66" s="71" t="s">
        <v>47</v>
      </c>
      <c r="P66" s="86">
        <f t="shared" si="10"/>
        <v>0</v>
      </c>
      <c r="Q66" s="71" t="s">
        <v>47</v>
      </c>
      <c r="R66" s="89">
        <f t="shared" si="11"/>
        <v>0</v>
      </c>
      <c r="S66" s="78">
        <f t="shared" si="12"/>
        <v>0</v>
      </c>
      <c r="T66" s="88">
        <v>865.0</v>
      </c>
      <c r="U66" s="90">
        <f t="shared" si="13"/>
        <v>0</v>
      </c>
      <c r="V66" s="91">
        <f t="shared" si="14"/>
        <v>0</v>
      </c>
      <c r="W66" s="23"/>
      <c r="X66" s="1"/>
      <c r="Y66" s="1"/>
      <c r="Z66" s="1"/>
    </row>
    <row r="67" ht="15.75" customHeight="1">
      <c r="A67" s="1"/>
      <c r="B67" s="68"/>
      <c r="C67" s="107"/>
      <c r="D67" s="72"/>
      <c r="E67" s="109"/>
      <c r="F67" s="78"/>
      <c r="G67" s="74"/>
      <c r="H67" s="74"/>
      <c r="I67" s="75"/>
      <c r="J67" s="76" t="s">
        <v>93</v>
      </c>
      <c r="K67" s="79" t="s">
        <v>43</v>
      </c>
      <c r="L67" s="81">
        <v>3503.0</v>
      </c>
      <c r="M67" s="82" t="s">
        <v>45</v>
      </c>
      <c r="N67" s="118">
        <v>0.0</v>
      </c>
      <c r="O67" s="71" t="s">
        <v>47</v>
      </c>
      <c r="P67" s="86">
        <f t="shared" si="10"/>
        <v>0</v>
      </c>
      <c r="Q67" s="71" t="s">
        <v>47</v>
      </c>
      <c r="R67" s="89">
        <f t="shared" si="11"/>
        <v>0</v>
      </c>
      <c r="S67" s="78">
        <f t="shared" si="12"/>
        <v>0</v>
      </c>
      <c r="T67" s="88">
        <v>865.0</v>
      </c>
      <c r="U67" s="90">
        <f t="shared" si="13"/>
        <v>0</v>
      </c>
      <c r="V67" s="91">
        <f t="shared" si="14"/>
        <v>0</v>
      </c>
      <c r="W67" s="23"/>
      <c r="X67" s="1"/>
      <c r="Y67" s="1"/>
      <c r="Z67" s="1"/>
    </row>
    <row r="68" ht="15.75" customHeight="1">
      <c r="A68" s="1"/>
      <c r="B68" s="68"/>
      <c r="C68" s="107"/>
      <c r="D68" s="72"/>
      <c r="E68" s="109"/>
      <c r="F68" s="78"/>
      <c r="G68" s="74"/>
      <c r="H68" s="74"/>
      <c r="I68" s="75"/>
      <c r="J68" s="76" t="s">
        <v>95</v>
      </c>
      <c r="K68" s="79" t="s">
        <v>43</v>
      </c>
      <c r="L68" s="81">
        <v>3503.0</v>
      </c>
      <c r="M68" s="82" t="s">
        <v>45</v>
      </c>
      <c r="N68" s="118">
        <v>0.0</v>
      </c>
      <c r="O68" s="71" t="s">
        <v>47</v>
      </c>
      <c r="P68" s="86">
        <f t="shared" si="10"/>
        <v>0</v>
      </c>
      <c r="Q68" s="71" t="s">
        <v>47</v>
      </c>
      <c r="R68" s="89">
        <f t="shared" si="11"/>
        <v>0</v>
      </c>
      <c r="S68" s="78">
        <f t="shared" si="12"/>
        <v>0</v>
      </c>
      <c r="T68" s="88">
        <v>865.0</v>
      </c>
      <c r="U68" s="90">
        <f t="shared" si="13"/>
        <v>0</v>
      </c>
      <c r="V68" s="91">
        <f t="shared" si="14"/>
        <v>0</v>
      </c>
      <c r="W68" s="23"/>
      <c r="X68" s="1"/>
      <c r="Y68" s="1"/>
      <c r="Z68" s="1"/>
    </row>
    <row r="69" ht="15.75" customHeight="1">
      <c r="A69" s="1"/>
      <c r="B69" s="68"/>
      <c r="C69" s="107"/>
      <c r="D69" s="72"/>
      <c r="E69" s="109"/>
      <c r="F69" s="78"/>
      <c r="G69" s="74"/>
      <c r="H69" s="74"/>
      <c r="I69" s="75"/>
      <c r="J69" s="76" t="s">
        <v>97</v>
      </c>
      <c r="K69" s="79" t="s">
        <v>43</v>
      </c>
      <c r="L69" s="81">
        <v>3503.0</v>
      </c>
      <c r="M69" s="82" t="s">
        <v>45</v>
      </c>
      <c r="N69" s="118">
        <v>0.0</v>
      </c>
      <c r="O69" s="71" t="s">
        <v>47</v>
      </c>
      <c r="P69" s="86">
        <f t="shared" si="10"/>
        <v>0</v>
      </c>
      <c r="Q69" s="71" t="s">
        <v>47</v>
      </c>
      <c r="R69" s="89">
        <f t="shared" si="11"/>
        <v>0</v>
      </c>
      <c r="S69" s="78">
        <f t="shared" si="12"/>
        <v>0</v>
      </c>
      <c r="T69" s="88">
        <v>865.0</v>
      </c>
      <c r="U69" s="90">
        <f t="shared" si="13"/>
        <v>0</v>
      </c>
      <c r="V69" s="91">
        <f t="shared" si="14"/>
        <v>0</v>
      </c>
      <c r="W69" s="23"/>
      <c r="X69" s="1"/>
      <c r="Y69" s="1"/>
      <c r="Z69" s="1"/>
    </row>
    <row r="70" ht="15.75" customHeight="1">
      <c r="A70" s="1"/>
      <c r="B70" s="68"/>
      <c r="C70" s="107"/>
      <c r="D70" s="72"/>
      <c r="E70" s="109"/>
      <c r="F70" s="78"/>
      <c r="G70" s="74"/>
      <c r="H70" s="74"/>
      <c r="I70" s="75"/>
      <c r="J70" s="76" t="s">
        <v>99</v>
      </c>
      <c r="K70" s="79" t="s">
        <v>43</v>
      </c>
      <c r="L70" s="81">
        <v>3503.0</v>
      </c>
      <c r="M70" s="82" t="s">
        <v>45</v>
      </c>
      <c r="N70" s="118">
        <v>0.0</v>
      </c>
      <c r="O70" s="71" t="s">
        <v>47</v>
      </c>
      <c r="P70" s="86">
        <f t="shared" si="10"/>
        <v>0</v>
      </c>
      <c r="Q70" s="71" t="s">
        <v>47</v>
      </c>
      <c r="R70" s="89">
        <f t="shared" si="11"/>
        <v>0</v>
      </c>
      <c r="S70" s="78">
        <f t="shared" si="12"/>
        <v>0</v>
      </c>
      <c r="T70" s="88">
        <v>865.0</v>
      </c>
      <c r="U70" s="90">
        <f t="shared" si="13"/>
        <v>0</v>
      </c>
      <c r="V70" s="91">
        <f t="shared" si="14"/>
        <v>0</v>
      </c>
      <c r="W70" s="23"/>
      <c r="X70" s="1"/>
      <c r="Y70" s="1"/>
      <c r="Z70" s="1"/>
    </row>
    <row r="71" ht="15.75" customHeight="1">
      <c r="A71" s="1"/>
      <c r="B71" s="68"/>
      <c r="C71" s="107"/>
      <c r="D71" s="72"/>
      <c r="E71" s="109"/>
      <c r="F71" s="78"/>
      <c r="G71" s="74"/>
      <c r="H71" s="74"/>
      <c r="I71" s="75"/>
      <c r="J71" s="76" t="s">
        <v>101</v>
      </c>
      <c r="K71" s="79" t="s">
        <v>43</v>
      </c>
      <c r="L71" s="81">
        <v>3503.0</v>
      </c>
      <c r="M71" s="82" t="s">
        <v>45</v>
      </c>
      <c r="N71" s="118">
        <v>0.0</v>
      </c>
      <c r="O71" s="71" t="s">
        <v>47</v>
      </c>
      <c r="P71" s="86">
        <f t="shared" si="10"/>
        <v>0</v>
      </c>
      <c r="Q71" s="71" t="s">
        <v>47</v>
      </c>
      <c r="R71" s="89">
        <f t="shared" si="11"/>
        <v>0</v>
      </c>
      <c r="S71" s="78">
        <f t="shared" si="12"/>
        <v>0</v>
      </c>
      <c r="T71" s="88">
        <v>865.0</v>
      </c>
      <c r="U71" s="90">
        <f t="shared" si="13"/>
        <v>0</v>
      </c>
      <c r="V71" s="91">
        <f t="shared" si="14"/>
        <v>0</v>
      </c>
      <c r="W71" s="23"/>
      <c r="X71" s="1"/>
      <c r="Y71" s="1"/>
      <c r="Z71" s="1"/>
    </row>
    <row r="72" ht="15.75" customHeight="1">
      <c r="A72" s="1"/>
      <c r="B72" s="68"/>
      <c r="C72" s="107"/>
      <c r="D72" s="72"/>
      <c r="E72" s="109"/>
      <c r="F72" s="78"/>
      <c r="G72" s="74"/>
      <c r="H72" s="74"/>
      <c r="I72" s="75"/>
      <c r="J72" s="112" t="s">
        <v>103</v>
      </c>
      <c r="K72" s="79" t="s">
        <v>43</v>
      </c>
      <c r="L72" s="81">
        <v>3503.0</v>
      </c>
      <c r="M72" s="82" t="s">
        <v>45</v>
      </c>
      <c r="N72" s="118">
        <v>0.0</v>
      </c>
      <c r="O72" s="71" t="s">
        <v>47</v>
      </c>
      <c r="P72" s="86">
        <f t="shared" si="10"/>
        <v>0</v>
      </c>
      <c r="Q72" s="71" t="s">
        <v>47</v>
      </c>
      <c r="R72" s="89">
        <f t="shared" si="11"/>
        <v>0</v>
      </c>
      <c r="S72" s="78">
        <f t="shared" si="12"/>
        <v>0</v>
      </c>
      <c r="T72" s="88">
        <v>865.0</v>
      </c>
      <c r="U72" s="90">
        <f t="shared" si="13"/>
        <v>0</v>
      </c>
      <c r="V72" s="91">
        <f t="shared" si="14"/>
        <v>0</v>
      </c>
      <c r="W72" s="23"/>
      <c r="X72" s="1"/>
      <c r="Y72" s="1"/>
      <c r="Z72" s="1"/>
    </row>
    <row r="73" ht="15.75" customHeight="1">
      <c r="A73" s="1"/>
      <c r="B73" s="68"/>
      <c r="C73" s="107"/>
      <c r="D73" s="72"/>
      <c r="E73" s="109"/>
      <c r="F73" s="78"/>
      <c r="G73" s="74"/>
      <c r="H73" s="74"/>
      <c r="I73" s="75"/>
      <c r="J73" s="112" t="s">
        <v>106</v>
      </c>
      <c r="K73" s="79" t="s">
        <v>43</v>
      </c>
      <c r="L73" s="81">
        <v>3503.0</v>
      </c>
      <c r="M73" s="82" t="s">
        <v>45</v>
      </c>
      <c r="N73" s="118">
        <v>0.0</v>
      </c>
      <c r="O73" s="71" t="s">
        <v>47</v>
      </c>
      <c r="P73" s="86">
        <f t="shared" si="10"/>
        <v>0</v>
      </c>
      <c r="Q73" s="71" t="s">
        <v>47</v>
      </c>
      <c r="R73" s="89">
        <f t="shared" si="11"/>
        <v>0</v>
      </c>
      <c r="S73" s="78">
        <f t="shared" si="12"/>
        <v>0</v>
      </c>
      <c r="T73" s="88">
        <v>865.0</v>
      </c>
      <c r="U73" s="90">
        <f t="shared" si="13"/>
        <v>0</v>
      </c>
      <c r="V73" s="91">
        <f t="shared" si="14"/>
        <v>0</v>
      </c>
      <c r="W73" s="23"/>
      <c r="X73" s="1"/>
      <c r="Y73" s="1"/>
      <c r="Z73" s="1"/>
    </row>
    <row r="74" ht="15.75" customHeight="1">
      <c r="A74" s="1"/>
      <c r="B74" s="68"/>
      <c r="C74" s="107"/>
      <c r="D74" s="72"/>
      <c r="E74" s="109"/>
      <c r="F74" s="78"/>
      <c r="G74" s="74"/>
      <c r="H74" s="74"/>
      <c r="I74" s="75"/>
      <c r="J74" s="112" t="s">
        <v>108</v>
      </c>
      <c r="K74" s="79" t="s">
        <v>43</v>
      </c>
      <c r="L74" s="81">
        <v>3503.0</v>
      </c>
      <c r="M74" s="82" t="s">
        <v>45</v>
      </c>
      <c r="N74" s="118">
        <v>0.0</v>
      </c>
      <c r="O74" s="71" t="s">
        <v>47</v>
      </c>
      <c r="P74" s="86">
        <f t="shared" si="10"/>
        <v>0</v>
      </c>
      <c r="Q74" s="71" t="s">
        <v>47</v>
      </c>
      <c r="R74" s="89">
        <f t="shared" si="11"/>
        <v>0</v>
      </c>
      <c r="S74" s="78">
        <f t="shared" si="12"/>
        <v>0</v>
      </c>
      <c r="T74" s="88">
        <v>865.0</v>
      </c>
      <c r="U74" s="90">
        <f t="shared" si="13"/>
        <v>0</v>
      </c>
      <c r="V74" s="91">
        <f t="shared" si="14"/>
        <v>0</v>
      </c>
      <c r="W74" s="23"/>
      <c r="X74" s="1"/>
      <c r="Y74" s="1"/>
      <c r="Z74" s="1"/>
    </row>
    <row r="75" ht="15.75" customHeight="1">
      <c r="A75" s="1"/>
      <c r="B75" s="68"/>
      <c r="C75" s="107"/>
      <c r="D75" s="72"/>
      <c r="E75" s="109"/>
      <c r="F75" s="78"/>
      <c r="G75" s="74"/>
      <c r="H75" s="74"/>
      <c r="I75" s="75"/>
      <c r="J75" s="132" t="s">
        <v>110</v>
      </c>
      <c r="K75" s="124" t="s">
        <v>43</v>
      </c>
      <c r="L75" s="125">
        <v>3503.0</v>
      </c>
      <c r="M75" s="124" t="s">
        <v>45</v>
      </c>
      <c r="N75" s="118"/>
      <c r="O75" s="71"/>
      <c r="P75" s="86"/>
      <c r="Q75" s="71"/>
      <c r="R75" s="89"/>
      <c r="S75" s="78"/>
      <c r="T75" s="88"/>
      <c r="U75" s="90"/>
      <c r="V75" s="91"/>
      <c r="W75" s="23"/>
      <c r="X75" s="1"/>
      <c r="Y75" s="1"/>
      <c r="Z75" s="1"/>
    </row>
    <row r="76" ht="15.75" customHeight="1">
      <c r="A76" s="1"/>
      <c r="B76" s="68"/>
      <c r="C76" s="107"/>
      <c r="D76" s="72"/>
      <c r="E76" s="109"/>
      <c r="F76" s="78"/>
      <c r="G76" s="74"/>
      <c r="H76" s="74"/>
      <c r="I76" s="75"/>
      <c r="J76" s="93" t="s">
        <v>48</v>
      </c>
      <c r="K76" s="94" t="s">
        <v>43</v>
      </c>
      <c r="L76" s="97">
        <v>3503.0</v>
      </c>
      <c r="M76" s="79" t="s">
        <v>45</v>
      </c>
      <c r="N76" s="118">
        <v>0.0</v>
      </c>
      <c r="O76" s="71" t="s">
        <v>47</v>
      </c>
      <c r="P76" s="86">
        <f>SUM(C76+B76)</f>
        <v>0</v>
      </c>
      <c r="Q76" s="71" t="s">
        <v>47</v>
      </c>
      <c r="R76" s="89">
        <f>SUM(E76+D76)</f>
        <v>0</v>
      </c>
      <c r="S76" s="78">
        <f>SUM(N76*P76*R76)</f>
        <v>0</v>
      </c>
      <c r="T76" s="88">
        <v>865.0</v>
      </c>
      <c r="U76" s="90">
        <f>SUM(S76*T76)</f>
        <v>0</v>
      </c>
      <c r="V76" s="91">
        <f>SUM(I76*U76)</f>
        <v>0</v>
      </c>
      <c r="W76" s="23"/>
      <c r="X76" s="1"/>
      <c r="Y76" s="1"/>
      <c r="Z76" s="1"/>
    </row>
    <row r="77" ht="15.75" customHeight="1">
      <c r="A77" s="1"/>
      <c r="B77" s="68"/>
      <c r="C77" s="107"/>
      <c r="D77" s="72"/>
      <c r="E77" s="109"/>
      <c r="F77" s="78"/>
      <c r="G77" s="74"/>
      <c r="H77" s="74"/>
      <c r="I77" s="75"/>
      <c r="J77" s="76"/>
      <c r="K77" s="79"/>
      <c r="L77" s="81"/>
      <c r="M77" s="79"/>
      <c r="N77" s="103"/>
      <c r="O77" s="95"/>
      <c r="P77" s="85"/>
      <c r="Q77" s="95"/>
      <c r="R77" s="122"/>
      <c r="S77" s="78"/>
      <c r="T77" s="88"/>
      <c r="U77" s="90"/>
      <c r="V77" s="91"/>
      <c r="W77" s="23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3"/>
      <c r="Q78" s="1"/>
      <c r="R78" s="3"/>
      <c r="S78" s="1"/>
      <c r="T78" s="1"/>
      <c r="U78" s="1"/>
      <c r="V78" s="1"/>
      <c r="W78" s="1"/>
      <c r="X78" s="1"/>
      <c r="Y78" s="1"/>
      <c r="Z78" s="1"/>
    </row>
    <row r="79" ht="15.75" hidden="1" customHeight="1">
      <c r="A79" s="1"/>
      <c r="B79" s="5"/>
      <c r="C79" s="108"/>
      <c r="D79" s="110"/>
      <c r="E79" s="133"/>
      <c r="F79" s="3"/>
      <c r="G79" s="74"/>
      <c r="H79" s="74"/>
      <c r="I79" s="111"/>
      <c r="J79" s="112"/>
      <c r="K79" s="79"/>
      <c r="L79" s="81"/>
      <c r="M79" s="79"/>
      <c r="N79" s="106"/>
      <c r="O79" s="81"/>
      <c r="P79" s="134"/>
      <c r="Q79" s="68"/>
      <c r="R79" s="135"/>
      <c r="S79" s="87"/>
      <c r="T79" s="88"/>
      <c r="U79" s="90">
        <f>SUM(S79*T79)</f>
        <v>0</v>
      </c>
      <c r="V79" s="91">
        <f>SUM(I79*U79)</f>
        <v>0</v>
      </c>
      <c r="W79" s="1"/>
      <c r="X79" s="1"/>
      <c r="Y79" s="1"/>
      <c r="Z79" s="1"/>
    </row>
    <row r="80" ht="15.75" hidden="1" customHeight="1">
      <c r="A80" s="1"/>
      <c r="B80" s="1"/>
      <c r="C80" s="1"/>
      <c r="D80" s="110"/>
      <c r="E80" s="72"/>
      <c r="F80" s="72"/>
      <c r="G80" s="74"/>
      <c r="H80" s="74"/>
      <c r="I80" s="111"/>
      <c r="J80" s="112"/>
      <c r="K80" s="79"/>
      <c r="L80" s="81"/>
      <c r="M80" s="79"/>
      <c r="N80" s="106"/>
      <c r="O80" s="5"/>
      <c r="P80" s="108"/>
      <c r="Q80" s="110"/>
      <c r="R80" s="108"/>
      <c r="S80" s="87"/>
      <c r="T80" s="88"/>
      <c r="U80" s="88"/>
      <c r="V80" s="88"/>
      <c r="W80" s="1"/>
      <c r="X80" s="1"/>
      <c r="Y80" s="1"/>
      <c r="Z80" s="1"/>
    </row>
    <row r="81" ht="4.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3"/>
      <c r="Q81" s="1"/>
      <c r="R81" s="3"/>
      <c r="S81" s="3"/>
      <c r="T81" s="1"/>
      <c r="U81" s="3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14" t="s">
        <v>58</v>
      </c>
      <c r="Q82" s="6"/>
      <c r="R82" s="6"/>
      <c r="S82" s="115">
        <f>SUM(F19:F77)</f>
        <v>0</v>
      </c>
      <c r="T82" s="1"/>
      <c r="U82" s="115"/>
      <c r="V82" s="116">
        <f>SUM(V19:V80)</f>
        <v>0</v>
      </c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5" t="s">
        <v>62</v>
      </c>
      <c r="J83" s="6"/>
      <c r="K83" s="6"/>
      <c r="L83" s="6"/>
      <c r="M83" s="1" t="s">
        <v>63</v>
      </c>
      <c r="N83" s="117" t="s">
        <v>111</v>
      </c>
      <c r="O83" s="8"/>
      <c r="P83" s="8"/>
      <c r="Q83" s="8"/>
      <c r="R83" s="8"/>
      <c r="S83" s="8"/>
      <c r="T83" s="8"/>
      <c r="U83" s="8"/>
      <c r="V83" s="1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79" t="s">
        <v>66</v>
      </c>
      <c r="J84" s="8"/>
      <c r="K84" s="8"/>
      <c r="L84" s="11"/>
      <c r="M84" s="1"/>
      <c r="N84" s="117" t="s">
        <v>112</v>
      </c>
      <c r="O84" s="8"/>
      <c r="P84" s="8"/>
      <c r="Q84" s="8"/>
      <c r="R84" s="8"/>
      <c r="S84" s="8"/>
      <c r="T84" s="8"/>
      <c r="U84" s="8"/>
      <c r="V84" s="1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5" t="s">
        <v>67</v>
      </c>
      <c r="J85" s="6"/>
      <c r="K85" s="6"/>
      <c r="L85" s="6"/>
      <c r="M85" s="1"/>
      <c r="N85" s="117"/>
      <c r="O85" s="8"/>
      <c r="P85" s="8"/>
      <c r="Q85" s="8"/>
      <c r="R85" s="8"/>
      <c r="S85" s="8"/>
      <c r="T85" s="8"/>
      <c r="U85" s="8"/>
      <c r="V85" s="1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19" t="s">
        <v>70</v>
      </c>
      <c r="J86" s="120"/>
      <c r="K86" s="120"/>
      <c r="L86" s="120"/>
      <c r="M86" s="1"/>
      <c r="N86" s="117"/>
      <c r="O86" s="8"/>
      <c r="P86" s="8"/>
      <c r="Q86" s="8"/>
      <c r="R86" s="8"/>
      <c r="S86" s="8"/>
      <c r="T86" s="8"/>
      <c r="U86" s="8"/>
      <c r="V86" s="1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3"/>
      <c r="Q87" s="1"/>
      <c r="R87" s="3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3"/>
      <c r="Q88" s="1"/>
      <c r="R88" s="3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3"/>
      <c r="Q89" s="1"/>
      <c r="R89" s="3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3"/>
      <c r="Q90" s="1"/>
      <c r="R90" s="3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3"/>
      <c r="Q91" s="1"/>
      <c r="R91" s="3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3"/>
      <c r="Q92" s="1"/>
      <c r="R92" s="3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3"/>
      <c r="Q93" s="1"/>
      <c r="R93" s="3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3"/>
      <c r="Q94" s="1"/>
      <c r="R94" s="3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3"/>
      <c r="Q95" s="1"/>
      <c r="R95" s="3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3"/>
      <c r="Q96" s="1"/>
      <c r="R96" s="3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3"/>
      <c r="Q97" s="1"/>
      <c r="R97" s="3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3"/>
      <c r="Q98" s="1"/>
      <c r="R98" s="3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3"/>
      <c r="Q99" s="1"/>
      <c r="R99" s="3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3"/>
      <c r="Q100" s="1"/>
      <c r="R100" s="3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3"/>
      <c r="Q101" s="1"/>
      <c r="R101" s="3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3"/>
      <c r="Q102" s="1"/>
      <c r="R102" s="3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3"/>
      <c r="Q103" s="1"/>
      <c r="R103" s="3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3"/>
      <c r="Q104" s="1"/>
      <c r="R104" s="3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3"/>
      <c r="Q105" s="1"/>
      <c r="R105" s="3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3"/>
      <c r="Q106" s="1"/>
      <c r="R106" s="3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3"/>
      <c r="Q107" s="1"/>
      <c r="R107" s="3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3"/>
      <c r="Q108" s="1"/>
      <c r="R108" s="3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3"/>
      <c r="Q109" s="1"/>
      <c r="R109" s="3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3"/>
      <c r="Q110" s="1"/>
      <c r="R110" s="3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3"/>
      <c r="Q111" s="1"/>
      <c r="R111" s="3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3"/>
      <c r="Q112" s="1"/>
      <c r="R112" s="3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3"/>
      <c r="Q113" s="1"/>
      <c r="R113" s="3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3"/>
      <c r="Q114" s="1"/>
      <c r="R114" s="3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3"/>
      <c r="Q115" s="1"/>
      <c r="R115" s="3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3"/>
      <c r="Q116" s="1"/>
      <c r="R116" s="3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3"/>
      <c r="Q117" s="1"/>
      <c r="R117" s="3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3"/>
      <c r="Q118" s="1"/>
      <c r="R118" s="3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3"/>
      <c r="Q119" s="1"/>
      <c r="R119" s="3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3"/>
      <c r="Q120" s="1"/>
      <c r="R120" s="3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3"/>
      <c r="Q121" s="1"/>
      <c r="R121" s="3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3"/>
      <c r="Q122" s="1"/>
      <c r="R122" s="3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3"/>
      <c r="Q123" s="1"/>
      <c r="R123" s="3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3"/>
      <c r="Q124" s="1"/>
      <c r="R124" s="3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3"/>
      <c r="Q125" s="1"/>
      <c r="R125" s="3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3"/>
      <c r="Q126" s="1"/>
      <c r="R126" s="3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3"/>
      <c r="Q127" s="1"/>
      <c r="R127" s="3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3"/>
      <c r="Q128" s="1"/>
      <c r="R128" s="3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3"/>
      <c r="Q129" s="1"/>
      <c r="R129" s="3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3"/>
      <c r="Q130" s="1"/>
      <c r="R130" s="3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3"/>
      <c r="Q131" s="1"/>
      <c r="R131" s="3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3"/>
      <c r="Q132" s="1"/>
      <c r="R132" s="3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3"/>
      <c r="Q133" s="1"/>
      <c r="R133" s="3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3"/>
      <c r="Q134" s="1"/>
      <c r="R134" s="3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3"/>
      <c r="Q135" s="1"/>
      <c r="R135" s="3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3"/>
      <c r="Q136" s="1"/>
      <c r="R136" s="3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3"/>
      <c r="Q137" s="1"/>
      <c r="R137" s="3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3"/>
      <c r="Q138" s="1"/>
      <c r="R138" s="3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3"/>
      <c r="Q139" s="1"/>
      <c r="R139" s="3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3"/>
      <c r="Q140" s="1"/>
      <c r="R140" s="3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3"/>
      <c r="Q141" s="1"/>
      <c r="R141" s="3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3"/>
      <c r="Q142" s="1"/>
      <c r="R142" s="3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3"/>
      <c r="Q143" s="1"/>
      <c r="R143" s="3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3"/>
      <c r="Q144" s="1"/>
      <c r="R144" s="3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3"/>
      <c r="Q145" s="1"/>
      <c r="R145" s="3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3"/>
      <c r="Q146" s="1"/>
      <c r="R146" s="3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3"/>
      <c r="Q147" s="1"/>
      <c r="R147" s="3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3"/>
      <c r="Q148" s="1"/>
      <c r="R148" s="3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3"/>
      <c r="Q149" s="1"/>
      <c r="R149" s="3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3"/>
      <c r="Q150" s="1"/>
      <c r="R150" s="3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3"/>
      <c r="Q151" s="1"/>
      <c r="R151" s="3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3"/>
      <c r="Q152" s="1"/>
      <c r="R152" s="3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3"/>
      <c r="Q153" s="1"/>
      <c r="R153" s="3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3"/>
      <c r="Q154" s="1"/>
      <c r="R154" s="3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3"/>
      <c r="Q155" s="1"/>
      <c r="R155" s="3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3"/>
      <c r="Q156" s="1"/>
      <c r="R156" s="3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3"/>
      <c r="Q157" s="1"/>
      <c r="R157" s="3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3"/>
      <c r="Q158" s="1"/>
      <c r="R158" s="3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3"/>
      <c r="Q159" s="1"/>
      <c r="R159" s="3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3"/>
      <c r="Q160" s="1"/>
      <c r="R160" s="3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3"/>
      <c r="Q161" s="1"/>
      <c r="R161" s="3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3"/>
      <c r="Q162" s="1"/>
      <c r="R162" s="3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3"/>
      <c r="Q163" s="1"/>
      <c r="R163" s="3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3"/>
      <c r="Q164" s="1"/>
      <c r="R164" s="3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3"/>
      <c r="Q165" s="1"/>
      <c r="R165" s="3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3"/>
      <c r="Q166" s="1"/>
      <c r="R166" s="3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3"/>
      <c r="Q167" s="1"/>
      <c r="R167" s="3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3"/>
      <c r="Q168" s="1"/>
      <c r="R168" s="3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3"/>
      <c r="Q169" s="1"/>
      <c r="R169" s="3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3"/>
      <c r="Q170" s="1"/>
      <c r="R170" s="3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3"/>
      <c r="Q171" s="1"/>
      <c r="R171" s="3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3"/>
      <c r="Q172" s="1"/>
      <c r="R172" s="3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3"/>
      <c r="Q173" s="1"/>
      <c r="R173" s="3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3"/>
      <c r="Q174" s="1"/>
      <c r="R174" s="3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3"/>
      <c r="Q175" s="1"/>
      <c r="R175" s="3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3"/>
      <c r="Q176" s="1"/>
      <c r="R176" s="3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3"/>
      <c r="Q177" s="1"/>
      <c r="R177" s="3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3"/>
      <c r="Q178" s="1"/>
      <c r="R178" s="3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3"/>
      <c r="Q179" s="1"/>
      <c r="R179" s="3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3"/>
      <c r="Q180" s="1"/>
      <c r="R180" s="3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3"/>
      <c r="Q181" s="1"/>
      <c r="R181" s="3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3"/>
      <c r="Q182" s="1"/>
      <c r="R182" s="3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3"/>
      <c r="Q183" s="1"/>
      <c r="R183" s="3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3"/>
      <c r="Q184" s="1"/>
      <c r="R184" s="3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3"/>
      <c r="Q185" s="1"/>
      <c r="R185" s="3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3"/>
      <c r="Q186" s="1"/>
      <c r="R186" s="3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3"/>
      <c r="Q187" s="1"/>
      <c r="R187" s="3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3"/>
      <c r="Q188" s="1"/>
      <c r="R188" s="3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3"/>
      <c r="Q189" s="1"/>
      <c r="R189" s="3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3"/>
      <c r="Q190" s="1"/>
      <c r="R190" s="3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3"/>
      <c r="Q191" s="1"/>
      <c r="R191" s="3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3"/>
      <c r="Q192" s="1"/>
      <c r="R192" s="3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3"/>
      <c r="Q193" s="1"/>
      <c r="R193" s="3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3"/>
      <c r="Q194" s="1"/>
      <c r="R194" s="3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3"/>
      <c r="Q195" s="1"/>
      <c r="R195" s="3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3"/>
      <c r="Q196" s="1"/>
      <c r="R196" s="3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3"/>
      <c r="Q197" s="1"/>
      <c r="R197" s="3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3"/>
      <c r="Q198" s="1"/>
      <c r="R198" s="3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3"/>
      <c r="Q199" s="1"/>
      <c r="R199" s="3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3"/>
      <c r="Q200" s="1"/>
      <c r="R200" s="3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3"/>
      <c r="Q201" s="1"/>
      <c r="R201" s="3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3"/>
      <c r="Q202" s="1"/>
      <c r="R202" s="3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3"/>
      <c r="Q203" s="1"/>
      <c r="R203" s="3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3"/>
      <c r="Q204" s="1"/>
      <c r="R204" s="3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3"/>
      <c r="Q205" s="1"/>
      <c r="R205" s="3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3"/>
      <c r="Q206" s="1"/>
      <c r="R206" s="3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3"/>
      <c r="Q207" s="1"/>
      <c r="R207" s="3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3"/>
      <c r="Q208" s="1"/>
      <c r="R208" s="3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3"/>
      <c r="Q209" s="1"/>
      <c r="R209" s="3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3"/>
      <c r="Q210" s="1"/>
      <c r="R210" s="3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3"/>
      <c r="Q211" s="1"/>
      <c r="R211" s="3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3"/>
      <c r="Q212" s="1"/>
      <c r="R212" s="3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3"/>
      <c r="Q213" s="1"/>
      <c r="R213" s="3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3"/>
      <c r="Q214" s="1"/>
      <c r="R214" s="3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3"/>
      <c r="Q215" s="1"/>
      <c r="R215" s="3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3"/>
      <c r="Q216" s="1"/>
      <c r="R216" s="3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3"/>
      <c r="Q217" s="1"/>
      <c r="R217" s="3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3"/>
      <c r="Q218" s="1"/>
      <c r="R218" s="3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3"/>
      <c r="Q219" s="1"/>
      <c r="R219" s="3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3"/>
      <c r="Q220" s="1"/>
      <c r="R220" s="3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3"/>
      <c r="Q221" s="1"/>
      <c r="R221" s="3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3"/>
      <c r="Q222" s="1"/>
      <c r="R222" s="3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3"/>
      <c r="Q223" s="1"/>
      <c r="R223" s="3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3"/>
      <c r="Q224" s="1"/>
      <c r="R224" s="3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3"/>
      <c r="Q225" s="1"/>
      <c r="R225" s="3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3"/>
      <c r="Q226" s="1"/>
      <c r="R226" s="3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3"/>
      <c r="Q227" s="1"/>
      <c r="R227" s="3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3"/>
      <c r="Q228" s="1"/>
      <c r="R228" s="3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3"/>
      <c r="Q229" s="1"/>
      <c r="R229" s="3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3"/>
      <c r="Q230" s="1"/>
      <c r="R230" s="3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3"/>
      <c r="Q231" s="1"/>
      <c r="R231" s="3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3"/>
      <c r="Q232" s="1"/>
      <c r="R232" s="3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3"/>
      <c r="Q233" s="1"/>
      <c r="R233" s="3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3"/>
      <c r="Q234" s="1"/>
      <c r="R234" s="3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3"/>
      <c r="Q235" s="1"/>
      <c r="R235" s="3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3"/>
      <c r="Q236" s="1"/>
      <c r="R236" s="3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3"/>
      <c r="Q237" s="1"/>
      <c r="R237" s="3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3"/>
      <c r="Q238" s="1"/>
      <c r="R238" s="3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3"/>
      <c r="Q239" s="1"/>
      <c r="R239" s="3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3"/>
      <c r="Q240" s="1"/>
      <c r="R240" s="3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3"/>
      <c r="Q241" s="1"/>
      <c r="R241" s="3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3"/>
      <c r="Q242" s="1"/>
      <c r="R242" s="3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3"/>
      <c r="Q243" s="1"/>
      <c r="R243" s="3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3"/>
      <c r="Q244" s="1"/>
      <c r="R244" s="3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3"/>
      <c r="Q245" s="1"/>
      <c r="R245" s="3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3"/>
      <c r="Q246" s="1"/>
      <c r="R246" s="3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3"/>
      <c r="Q247" s="1"/>
      <c r="R247" s="3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3"/>
      <c r="Q248" s="1"/>
      <c r="R248" s="3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3"/>
      <c r="Q249" s="1"/>
      <c r="R249" s="3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3"/>
      <c r="Q250" s="1"/>
      <c r="R250" s="3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3"/>
      <c r="Q251" s="1"/>
      <c r="R251" s="3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3"/>
      <c r="Q252" s="1"/>
      <c r="R252" s="3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3"/>
      <c r="Q253" s="1"/>
      <c r="R253" s="3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3"/>
      <c r="Q254" s="1"/>
      <c r="R254" s="3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3"/>
      <c r="Q255" s="1"/>
      <c r="R255" s="3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3"/>
      <c r="Q256" s="1"/>
      <c r="R256" s="3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3"/>
      <c r="Q257" s="1"/>
      <c r="R257" s="3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3"/>
      <c r="Q258" s="1"/>
      <c r="R258" s="3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3"/>
      <c r="Q259" s="1"/>
      <c r="R259" s="3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3"/>
      <c r="Q260" s="1"/>
      <c r="R260" s="3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3"/>
      <c r="Q261" s="1"/>
      <c r="R261" s="3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3"/>
      <c r="Q262" s="1"/>
      <c r="R262" s="3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3"/>
      <c r="Q263" s="1"/>
      <c r="R263" s="3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3"/>
      <c r="Q264" s="1"/>
      <c r="R264" s="3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3"/>
      <c r="Q265" s="1"/>
      <c r="R265" s="3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3"/>
      <c r="Q266" s="1"/>
      <c r="R266" s="3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3"/>
      <c r="Q267" s="1"/>
      <c r="R267" s="3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3"/>
      <c r="Q268" s="1"/>
      <c r="R268" s="3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3"/>
      <c r="Q269" s="1"/>
      <c r="R269" s="3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3"/>
      <c r="Q270" s="1"/>
      <c r="R270" s="3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3"/>
      <c r="Q271" s="1"/>
      <c r="R271" s="3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3"/>
      <c r="Q272" s="1"/>
      <c r="R272" s="3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3"/>
      <c r="Q273" s="1"/>
      <c r="R273" s="3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3"/>
      <c r="Q274" s="1"/>
      <c r="R274" s="3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3"/>
      <c r="Q275" s="1"/>
      <c r="R275" s="3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3"/>
      <c r="Q276" s="1"/>
      <c r="R276" s="3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3"/>
      <c r="Q277" s="1"/>
      <c r="R277" s="3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3"/>
      <c r="Q278" s="1"/>
      <c r="R278" s="3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3"/>
      <c r="Q279" s="1"/>
      <c r="R279" s="3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3"/>
      <c r="Q280" s="1"/>
      <c r="R280" s="3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3"/>
      <c r="Q281" s="1"/>
      <c r="R281" s="3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3"/>
      <c r="Q282" s="1"/>
      <c r="R282" s="3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3"/>
      <c r="Q283" s="1"/>
      <c r="R283" s="3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3"/>
      <c r="Q284" s="1"/>
      <c r="R284" s="3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3"/>
      <c r="Q285" s="1"/>
      <c r="R285" s="3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3"/>
      <c r="Q286" s="1"/>
      <c r="R286" s="3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3"/>
      <c r="Q287" s="1"/>
      <c r="R287" s="3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3"/>
      <c r="Q288" s="1"/>
      <c r="R288" s="3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3"/>
      <c r="Q289" s="1"/>
      <c r="R289" s="3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3"/>
      <c r="Q290" s="1"/>
      <c r="R290" s="3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3"/>
      <c r="Q291" s="1"/>
      <c r="R291" s="3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3"/>
      <c r="Q292" s="1"/>
      <c r="R292" s="3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3"/>
      <c r="Q293" s="1"/>
      <c r="R293" s="3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3"/>
      <c r="Q294" s="1"/>
      <c r="R294" s="3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3"/>
      <c r="Q295" s="1"/>
      <c r="R295" s="3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3"/>
      <c r="Q296" s="1"/>
      <c r="R296" s="3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3"/>
      <c r="Q297" s="1"/>
      <c r="R297" s="3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3"/>
      <c r="Q298" s="1"/>
      <c r="R298" s="3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3"/>
      <c r="Q299" s="1"/>
      <c r="R299" s="3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3"/>
      <c r="Q300" s="1"/>
      <c r="R300" s="3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3"/>
      <c r="Q301" s="1"/>
      <c r="R301" s="3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3"/>
      <c r="Q302" s="1"/>
      <c r="R302" s="3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3"/>
      <c r="Q303" s="1"/>
      <c r="R303" s="3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3"/>
      <c r="Q304" s="1"/>
      <c r="R304" s="3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3"/>
      <c r="Q305" s="1"/>
      <c r="R305" s="3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3"/>
      <c r="Q306" s="1"/>
      <c r="R306" s="3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3"/>
      <c r="Q307" s="1"/>
      <c r="R307" s="3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3"/>
      <c r="Q308" s="1"/>
      <c r="R308" s="3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3"/>
      <c r="Q309" s="1"/>
      <c r="R309" s="3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3"/>
      <c r="Q310" s="1"/>
      <c r="R310" s="3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3"/>
      <c r="Q311" s="1"/>
      <c r="R311" s="3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3"/>
      <c r="Q312" s="1"/>
      <c r="R312" s="3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3"/>
      <c r="Q313" s="1"/>
      <c r="R313" s="3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3"/>
      <c r="Q314" s="1"/>
      <c r="R314" s="3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3"/>
      <c r="Q315" s="1"/>
      <c r="R315" s="3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3"/>
      <c r="Q316" s="1"/>
      <c r="R316" s="3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3"/>
      <c r="Q317" s="1"/>
      <c r="R317" s="3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3"/>
      <c r="Q318" s="1"/>
      <c r="R318" s="3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3"/>
      <c r="Q319" s="1"/>
      <c r="R319" s="3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3"/>
      <c r="Q320" s="1"/>
      <c r="R320" s="3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3"/>
      <c r="Q321" s="1"/>
      <c r="R321" s="3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3"/>
      <c r="Q322" s="1"/>
      <c r="R322" s="3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3"/>
      <c r="Q323" s="1"/>
      <c r="R323" s="3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3"/>
      <c r="Q324" s="1"/>
      <c r="R324" s="3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3"/>
      <c r="Q325" s="1"/>
      <c r="R325" s="3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3"/>
      <c r="Q326" s="1"/>
      <c r="R326" s="3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3"/>
      <c r="Q327" s="1"/>
      <c r="R327" s="3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3"/>
      <c r="Q328" s="1"/>
      <c r="R328" s="3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3"/>
      <c r="Q329" s="1"/>
      <c r="R329" s="3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3"/>
      <c r="Q330" s="1"/>
      <c r="R330" s="3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3"/>
      <c r="Q331" s="1"/>
      <c r="R331" s="3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3"/>
      <c r="Q332" s="1"/>
      <c r="R332" s="3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3"/>
      <c r="Q333" s="1"/>
      <c r="R333" s="3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3"/>
      <c r="Q334" s="1"/>
      <c r="R334" s="3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3"/>
      <c r="Q335" s="1"/>
      <c r="R335" s="3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3"/>
      <c r="Q336" s="1"/>
      <c r="R336" s="3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3"/>
      <c r="Q337" s="1"/>
      <c r="R337" s="3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3"/>
      <c r="Q338" s="1"/>
      <c r="R338" s="3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3"/>
      <c r="Q339" s="1"/>
      <c r="R339" s="3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3"/>
      <c r="Q340" s="1"/>
      <c r="R340" s="3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3"/>
      <c r="Q341" s="1"/>
      <c r="R341" s="3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3"/>
      <c r="Q342" s="1"/>
      <c r="R342" s="3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3"/>
      <c r="Q343" s="1"/>
      <c r="R343" s="3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3"/>
      <c r="Q344" s="1"/>
      <c r="R344" s="3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3"/>
      <c r="Q345" s="1"/>
      <c r="R345" s="3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3"/>
      <c r="Q346" s="1"/>
      <c r="R346" s="3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3"/>
      <c r="Q347" s="1"/>
      <c r="R347" s="3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3"/>
      <c r="Q348" s="1"/>
      <c r="R348" s="3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3"/>
      <c r="Q349" s="1"/>
      <c r="R349" s="3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3"/>
      <c r="Q350" s="1"/>
      <c r="R350" s="3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3"/>
      <c r="Q351" s="1"/>
      <c r="R351" s="3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3"/>
      <c r="Q352" s="1"/>
      <c r="R352" s="3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3"/>
      <c r="Q353" s="1"/>
      <c r="R353" s="3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3"/>
      <c r="Q354" s="1"/>
      <c r="R354" s="3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3"/>
      <c r="Q355" s="1"/>
      <c r="R355" s="3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3"/>
      <c r="Q356" s="1"/>
      <c r="R356" s="3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3"/>
      <c r="Q357" s="1"/>
      <c r="R357" s="3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3"/>
      <c r="Q358" s="1"/>
      <c r="R358" s="3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3"/>
      <c r="Q359" s="1"/>
      <c r="R359" s="3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3"/>
      <c r="Q360" s="1"/>
      <c r="R360" s="3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3"/>
      <c r="Q361" s="1"/>
      <c r="R361" s="3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3"/>
      <c r="Q362" s="1"/>
      <c r="R362" s="3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3"/>
      <c r="Q363" s="1"/>
      <c r="R363" s="3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3"/>
      <c r="Q364" s="1"/>
      <c r="R364" s="3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3"/>
      <c r="Q365" s="1"/>
      <c r="R365" s="3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3"/>
      <c r="Q366" s="1"/>
      <c r="R366" s="3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3"/>
      <c r="Q367" s="1"/>
      <c r="R367" s="3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3"/>
      <c r="Q368" s="1"/>
      <c r="R368" s="3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3"/>
      <c r="Q369" s="1"/>
      <c r="R369" s="3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3"/>
      <c r="Q370" s="1"/>
      <c r="R370" s="3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3"/>
      <c r="Q371" s="1"/>
      <c r="R371" s="3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3"/>
      <c r="Q372" s="1"/>
      <c r="R372" s="3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3"/>
      <c r="Q373" s="1"/>
      <c r="R373" s="3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3"/>
      <c r="Q374" s="1"/>
      <c r="R374" s="3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3"/>
      <c r="Q375" s="1"/>
      <c r="R375" s="3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3"/>
      <c r="Q376" s="1"/>
      <c r="R376" s="3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3"/>
      <c r="Q377" s="1"/>
      <c r="R377" s="3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3"/>
      <c r="Q378" s="1"/>
      <c r="R378" s="3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3"/>
      <c r="Q379" s="1"/>
      <c r="R379" s="3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3"/>
      <c r="Q380" s="1"/>
      <c r="R380" s="3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3"/>
      <c r="Q381" s="1"/>
      <c r="R381" s="3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3"/>
      <c r="Q382" s="1"/>
      <c r="R382" s="3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3"/>
      <c r="Q383" s="1"/>
      <c r="R383" s="3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3"/>
      <c r="Q384" s="1"/>
      <c r="R384" s="3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3"/>
      <c r="Q385" s="1"/>
      <c r="R385" s="3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3"/>
      <c r="Q386" s="1"/>
      <c r="R386" s="3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3"/>
      <c r="Q387" s="1"/>
      <c r="R387" s="3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3"/>
      <c r="Q388" s="1"/>
      <c r="R388" s="3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3"/>
      <c r="Q389" s="1"/>
      <c r="R389" s="3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3"/>
      <c r="Q390" s="1"/>
      <c r="R390" s="3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3"/>
      <c r="Q391" s="1"/>
      <c r="R391" s="3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3"/>
      <c r="Q392" s="1"/>
      <c r="R392" s="3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3"/>
      <c r="Q393" s="1"/>
      <c r="R393" s="3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3"/>
      <c r="Q394" s="1"/>
      <c r="R394" s="3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3"/>
      <c r="Q395" s="1"/>
      <c r="R395" s="3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3"/>
      <c r="Q396" s="1"/>
      <c r="R396" s="3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3"/>
      <c r="Q397" s="1"/>
      <c r="R397" s="3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3"/>
      <c r="Q398" s="1"/>
      <c r="R398" s="3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3"/>
      <c r="Q399" s="1"/>
      <c r="R399" s="3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3"/>
      <c r="Q400" s="1"/>
      <c r="R400" s="3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3"/>
      <c r="Q401" s="1"/>
      <c r="R401" s="3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3"/>
      <c r="Q402" s="1"/>
      <c r="R402" s="3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3"/>
      <c r="Q403" s="1"/>
      <c r="R403" s="3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3"/>
      <c r="Q404" s="1"/>
      <c r="R404" s="3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3"/>
      <c r="Q405" s="1"/>
      <c r="R405" s="3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3"/>
      <c r="Q406" s="1"/>
      <c r="R406" s="3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3"/>
      <c r="Q407" s="1"/>
      <c r="R407" s="3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3"/>
      <c r="Q408" s="1"/>
      <c r="R408" s="3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3"/>
      <c r="Q409" s="1"/>
      <c r="R409" s="3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3"/>
      <c r="Q410" s="1"/>
      <c r="R410" s="3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3"/>
      <c r="Q411" s="1"/>
      <c r="R411" s="3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3"/>
      <c r="Q412" s="1"/>
      <c r="R412" s="3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3"/>
      <c r="Q413" s="1"/>
      <c r="R413" s="3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3"/>
      <c r="Q414" s="1"/>
      <c r="R414" s="3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3"/>
      <c r="Q415" s="1"/>
      <c r="R415" s="3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3"/>
      <c r="Q416" s="1"/>
      <c r="R416" s="3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3"/>
      <c r="Q417" s="1"/>
      <c r="R417" s="3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3"/>
      <c r="Q418" s="1"/>
      <c r="R418" s="3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3"/>
      <c r="Q419" s="1"/>
      <c r="R419" s="3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3"/>
      <c r="Q420" s="1"/>
      <c r="R420" s="3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3"/>
      <c r="Q421" s="1"/>
      <c r="R421" s="3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3"/>
      <c r="Q422" s="1"/>
      <c r="R422" s="3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3"/>
      <c r="Q423" s="1"/>
      <c r="R423" s="3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3"/>
      <c r="Q424" s="1"/>
      <c r="R424" s="3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3"/>
      <c r="Q425" s="1"/>
      <c r="R425" s="3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3"/>
      <c r="Q426" s="1"/>
      <c r="R426" s="3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3"/>
      <c r="Q427" s="1"/>
      <c r="R427" s="3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3"/>
      <c r="Q428" s="1"/>
      <c r="R428" s="3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3"/>
      <c r="Q429" s="1"/>
      <c r="R429" s="3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3"/>
      <c r="Q430" s="1"/>
      <c r="R430" s="3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3"/>
      <c r="Q431" s="1"/>
      <c r="R431" s="3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3"/>
      <c r="Q432" s="1"/>
      <c r="R432" s="3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3"/>
      <c r="Q433" s="1"/>
      <c r="R433" s="3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3"/>
      <c r="Q434" s="1"/>
      <c r="R434" s="3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3"/>
      <c r="Q435" s="1"/>
      <c r="R435" s="3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3"/>
      <c r="Q436" s="1"/>
      <c r="R436" s="3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3"/>
      <c r="Q437" s="1"/>
      <c r="R437" s="3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3"/>
      <c r="Q438" s="1"/>
      <c r="R438" s="3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3"/>
      <c r="Q439" s="1"/>
      <c r="R439" s="3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3"/>
      <c r="Q440" s="1"/>
      <c r="R440" s="3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3"/>
      <c r="Q441" s="1"/>
      <c r="R441" s="3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3"/>
      <c r="Q442" s="1"/>
      <c r="R442" s="3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3"/>
      <c r="Q443" s="1"/>
      <c r="R443" s="3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3"/>
      <c r="Q444" s="1"/>
      <c r="R444" s="3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3"/>
      <c r="Q445" s="1"/>
      <c r="R445" s="3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3"/>
      <c r="Q446" s="1"/>
      <c r="R446" s="3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3"/>
      <c r="Q447" s="1"/>
      <c r="R447" s="3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3"/>
      <c r="Q448" s="1"/>
      <c r="R448" s="3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3"/>
      <c r="Q449" s="1"/>
      <c r="R449" s="3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3"/>
      <c r="Q450" s="1"/>
      <c r="R450" s="3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3"/>
      <c r="Q451" s="1"/>
      <c r="R451" s="3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3"/>
      <c r="Q452" s="1"/>
      <c r="R452" s="3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3"/>
      <c r="Q453" s="1"/>
      <c r="R453" s="3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3"/>
      <c r="Q454" s="1"/>
      <c r="R454" s="3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3"/>
      <c r="Q455" s="1"/>
      <c r="R455" s="3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3"/>
      <c r="Q456" s="1"/>
      <c r="R456" s="3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3"/>
      <c r="Q457" s="1"/>
      <c r="R457" s="3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3"/>
      <c r="Q458" s="1"/>
      <c r="R458" s="3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3"/>
      <c r="Q459" s="1"/>
      <c r="R459" s="3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3"/>
      <c r="Q460" s="1"/>
      <c r="R460" s="3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3"/>
      <c r="Q461" s="1"/>
      <c r="R461" s="3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3"/>
      <c r="Q462" s="1"/>
      <c r="R462" s="3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3"/>
      <c r="Q463" s="1"/>
      <c r="R463" s="3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3"/>
      <c r="Q464" s="1"/>
      <c r="R464" s="3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3"/>
      <c r="Q465" s="1"/>
      <c r="R465" s="3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3"/>
      <c r="Q466" s="1"/>
      <c r="R466" s="3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3"/>
      <c r="Q467" s="1"/>
      <c r="R467" s="3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3"/>
      <c r="Q468" s="1"/>
      <c r="R468" s="3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3"/>
      <c r="Q469" s="1"/>
      <c r="R469" s="3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3"/>
      <c r="Q470" s="1"/>
      <c r="R470" s="3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3"/>
      <c r="Q471" s="1"/>
      <c r="R471" s="3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3"/>
      <c r="Q472" s="1"/>
      <c r="R472" s="3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3"/>
      <c r="Q473" s="1"/>
      <c r="R473" s="3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3"/>
      <c r="Q474" s="1"/>
      <c r="R474" s="3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3"/>
      <c r="Q475" s="1"/>
      <c r="R475" s="3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3"/>
      <c r="Q476" s="1"/>
      <c r="R476" s="3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3"/>
      <c r="Q477" s="1"/>
      <c r="R477" s="3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3"/>
      <c r="Q478" s="1"/>
      <c r="R478" s="3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3"/>
      <c r="Q479" s="1"/>
      <c r="R479" s="3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3"/>
      <c r="Q480" s="1"/>
      <c r="R480" s="3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3"/>
      <c r="Q481" s="1"/>
      <c r="R481" s="3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3"/>
      <c r="Q482" s="1"/>
      <c r="R482" s="3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3"/>
      <c r="Q483" s="1"/>
      <c r="R483" s="3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3"/>
      <c r="Q484" s="1"/>
      <c r="R484" s="3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3"/>
      <c r="Q485" s="1"/>
      <c r="R485" s="3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3"/>
      <c r="Q486" s="1"/>
      <c r="R486" s="3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3"/>
      <c r="Q487" s="1"/>
      <c r="R487" s="3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3"/>
      <c r="Q488" s="1"/>
      <c r="R488" s="3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3"/>
      <c r="Q489" s="1"/>
      <c r="R489" s="3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3"/>
      <c r="Q490" s="1"/>
      <c r="R490" s="3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3"/>
      <c r="Q491" s="1"/>
      <c r="R491" s="3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3"/>
      <c r="Q492" s="1"/>
      <c r="R492" s="3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3"/>
      <c r="Q493" s="1"/>
      <c r="R493" s="3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3"/>
      <c r="Q494" s="1"/>
      <c r="R494" s="3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3"/>
      <c r="Q495" s="1"/>
      <c r="R495" s="3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3"/>
      <c r="Q496" s="1"/>
      <c r="R496" s="3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3"/>
      <c r="Q497" s="1"/>
      <c r="R497" s="3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3"/>
      <c r="Q498" s="1"/>
      <c r="R498" s="3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3"/>
      <c r="Q499" s="1"/>
      <c r="R499" s="3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3"/>
      <c r="Q500" s="1"/>
      <c r="R500" s="3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3"/>
      <c r="Q501" s="1"/>
      <c r="R501" s="3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3"/>
      <c r="Q502" s="1"/>
      <c r="R502" s="3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3"/>
      <c r="Q503" s="1"/>
      <c r="R503" s="3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3"/>
      <c r="Q504" s="1"/>
      <c r="R504" s="3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3"/>
      <c r="Q505" s="1"/>
      <c r="R505" s="3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3"/>
      <c r="Q506" s="1"/>
      <c r="R506" s="3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3"/>
      <c r="Q507" s="1"/>
      <c r="R507" s="3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3"/>
      <c r="Q508" s="1"/>
      <c r="R508" s="3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3"/>
      <c r="Q509" s="1"/>
      <c r="R509" s="3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3"/>
      <c r="Q510" s="1"/>
      <c r="R510" s="3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3"/>
      <c r="Q511" s="1"/>
      <c r="R511" s="3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3"/>
      <c r="Q512" s="1"/>
      <c r="R512" s="3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3"/>
      <c r="Q513" s="1"/>
      <c r="R513" s="3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3"/>
      <c r="Q514" s="1"/>
      <c r="R514" s="3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3"/>
      <c r="Q515" s="1"/>
      <c r="R515" s="3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3"/>
      <c r="Q516" s="1"/>
      <c r="R516" s="3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3"/>
      <c r="Q517" s="1"/>
      <c r="R517" s="3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3"/>
      <c r="Q518" s="1"/>
      <c r="R518" s="3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3"/>
      <c r="Q519" s="1"/>
      <c r="R519" s="3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3"/>
      <c r="Q520" s="1"/>
      <c r="R520" s="3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3"/>
      <c r="Q521" s="1"/>
      <c r="R521" s="3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3"/>
      <c r="Q522" s="1"/>
      <c r="R522" s="3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3"/>
      <c r="Q523" s="1"/>
      <c r="R523" s="3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3"/>
      <c r="Q524" s="1"/>
      <c r="R524" s="3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3"/>
      <c r="Q525" s="1"/>
      <c r="R525" s="3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3"/>
      <c r="Q526" s="1"/>
      <c r="R526" s="3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3"/>
      <c r="Q527" s="1"/>
      <c r="R527" s="3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3"/>
      <c r="Q528" s="1"/>
      <c r="R528" s="3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3"/>
      <c r="Q529" s="1"/>
      <c r="R529" s="3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3"/>
      <c r="Q530" s="1"/>
      <c r="R530" s="3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3"/>
      <c r="Q531" s="1"/>
      <c r="R531" s="3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3"/>
      <c r="Q532" s="1"/>
      <c r="R532" s="3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3"/>
      <c r="Q533" s="1"/>
      <c r="R533" s="3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3"/>
      <c r="Q534" s="1"/>
      <c r="R534" s="3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3"/>
      <c r="Q535" s="1"/>
      <c r="R535" s="3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3"/>
      <c r="Q536" s="1"/>
      <c r="R536" s="3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3"/>
      <c r="Q537" s="1"/>
      <c r="R537" s="3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3"/>
      <c r="Q538" s="1"/>
      <c r="R538" s="3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3"/>
      <c r="Q539" s="1"/>
      <c r="R539" s="3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3"/>
      <c r="Q540" s="1"/>
      <c r="R540" s="3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3"/>
      <c r="Q541" s="1"/>
      <c r="R541" s="3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3"/>
      <c r="Q542" s="1"/>
      <c r="R542" s="3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3"/>
      <c r="Q543" s="1"/>
      <c r="R543" s="3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3"/>
      <c r="Q544" s="1"/>
      <c r="R544" s="3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3"/>
      <c r="Q545" s="1"/>
      <c r="R545" s="3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3"/>
      <c r="Q546" s="1"/>
      <c r="R546" s="3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3"/>
      <c r="Q547" s="1"/>
      <c r="R547" s="3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3"/>
      <c r="Q548" s="1"/>
      <c r="R548" s="3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3"/>
      <c r="Q549" s="1"/>
      <c r="R549" s="3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3"/>
      <c r="Q550" s="1"/>
      <c r="R550" s="3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3"/>
      <c r="Q551" s="1"/>
      <c r="R551" s="3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3"/>
      <c r="Q552" s="1"/>
      <c r="R552" s="3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3"/>
      <c r="Q553" s="1"/>
      <c r="R553" s="3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3"/>
      <c r="Q554" s="1"/>
      <c r="R554" s="3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3"/>
      <c r="Q555" s="1"/>
      <c r="R555" s="3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3"/>
      <c r="Q556" s="1"/>
      <c r="R556" s="3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3"/>
      <c r="Q557" s="1"/>
      <c r="R557" s="3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3"/>
      <c r="Q558" s="1"/>
      <c r="R558" s="3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3"/>
      <c r="Q559" s="1"/>
      <c r="R559" s="3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3"/>
      <c r="Q560" s="1"/>
      <c r="R560" s="3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3"/>
      <c r="Q561" s="1"/>
      <c r="R561" s="3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3"/>
      <c r="Q562" s="1"/>
      <c r="R562" s="3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3"/>
      <c r="Q563" s="1"/>
      <c r="R563" s="3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3"/>
      <c r="Q564" s="1"/>
      <c r="R564" s="3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3"/>
      <c r="Q565" s="1"/>
      <c r="R565" s="3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3"/>
      <c r="Q566" s="1"/>
      <c r="R566" s="3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3"/>
      <c r="Q567" s="1"/>
      <c r="R567" s="3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3"/>
      <c r="Q568" s="1"/>
      <c r="R568" s="3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3"/>
      <c r="Q569" s="1"/>
      <c r="R569" s="3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3"/>
      <c r="Q570" s="1"/>
      <c r="R570" s="3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3"/>
      <c r="Q571" s="1"/>
      <c r="R571" s="3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3"/>
      <c r="Q572" s="1"/>
      <c r="R572" s="3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3"/>
      <c r="Q573" s="1"/>
      <c r="R573" s="3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3"/>
      <c r="Q574" s="1"/>
      <c r="R574" s="3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3"/>
      <c r="Q575" s="1"/>
      <c r="R575" s="3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3"/>
      <c r="Q576" s="1"/>
      <c r="R576" s="3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3"/>
      <c r="Q577" s="1"/>
      <c r="R577" s="3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3"/>
      <c r="Q578" s="1"/>
      <c r="R578" s="3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3"/>
      <c r="Q579" s="1"/>
      <c r="R579" s="3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3"/>
      <c r="Q580" s="1"/>
      <c r="R580" s="3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3"/>
      <c r="Q581" s="1"/>
      <c r="R581" s="3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3"/>
      <c r="Q582" s="1"/>
      <c r="R582" s="3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3"/>
      <c r="Q583" s="1"/>
      <c r="R583" s="3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3"/>
      <c r="Q584" s="1"/>
      <c r="R584" s="3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3"/>
      <c r="Q585" s="1"/>
      <c r="R585" s="3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3"/>
      <c r="Q586" s="1"/>
      <c r="R586" s="3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3"/>
      <c r="Q587" s="1"/>
      <c r="R587" s="3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3"/>
      <c r="Q588" s="1"/>
      <c r="R588" s="3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3"/>
      <c r="Q589" s="1"/>
      <c r="R589" s="3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3"/>
      <c r="Q590" s="1"/>
      <c r="R590" s="3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3"/>
      <c r="Q591" s="1"/>
      <c r="R591" s="3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3"/>
      <c r="Q592" s="1"/>
      <c r="R592" s="3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3"/>
      <c r="Q593" s="1"/>
      <c r="R593" s="3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3"/>
      <c r="Q594" s="1"/>
      <c r="R594" s="3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3"/>
      <c r="Q595" s="1"/>
      <c r="R595" s="3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3"/>
      <c r="Q596" s="1"/>
      <c r="R596" s="3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3"/>
      <c r="Q597" s="1"/>
      <c r="R597" s="3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3"/>
      <c r="Q598" s="1"/>
      <c r="R598" s="3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3"/>
      <c r="Q599" s="1"/>
      <c r="R599" s="3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3"/>
      <c r="Q600" s="1"/>
      <c r="R600" s="3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3"/>
      <c r="Q601" s="1"/>
      <c r="R601" s="3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3"/>
      <c r="Q602" s="1"/>
      <c r="R602" s="3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3"/>
      <c r="Q603" s="1"/>
      <c r="R603" s="3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3"/>
      <c r="Q604" s="1"/>
      <c r="R604" s="3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3"/>
      <c r="Q605" s="1"/>
      <c r="R605" s="3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3"/>
      <c r="Q606" s="1"/>
      <c r="R606" s="3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3"/>
      <c r="Q607" s="1"/>
      <c r="R607" s="3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3"/>
      <c r="Q608" s="1"/>
      <c r="R608" s="3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3"/>
      <c r="Q609" s="1"/>
      <c r="R609" s="3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3"/>
      <c r="Q610" s="1"/>
      <c r="R610" s="3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3"/>
      <c r="Q611" s="1"/>
      <c r="R611" s="3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3"/>
      <c r="Q612" s="1"/>
      <c r="R612" s="3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3"/>
      <c r="Q613" s="1"/>
      <c r="R613" s="3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3"/>
      <c r="Q614" s="1"/>
      <c r="R614" s="3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3"/>
      <c r="Q615" s="1"/>
      <c r="R615" s="3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3"/>
      <c r="Q616" s="1"/>
      <c r="R616" s="3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3"/>
      <c r="Q617" s="1"/>
      <c r="R617" s="3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3"/>
      <c r="Q618" s="1"/>
      <c r="R618" s="3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3"/>
      <c r="Q619" s="1"/>
      <c r="R619" s="3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3"/>
      <c r="Q620" s="1"/>
      <c r="R620" s="3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3"/>
      <c r="Q621" s="1"/>
      <c r="R621" s="3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3"/>
      <c r="Q622" s="1"/>
      <c r="R622" s="3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3"/>
      <c r="Q623" s="1"/>
      <c r="R623" s="3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3"/>
      <c r="Q624" s="1"/>
      <c r="R624" s="3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3"/>
      <c r="Q625" s="1"/>
      <c r="R625" s="3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3"/>
      <c r="Q626" s="1"/>
      <c r="R626" s="3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3"/>
      <c r="Q627" s="1"/>
      <c r="R627" s="3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3"/>
      <c r="Q628" s="1"/>
      <c r="R628" s="3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3"/>
      <c r="Q629" s="1"/>
      <c r="R629" s="3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3"/>
      <c r="Q630" s="1"/>
      <c r="R630" s="3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3"/>
      <c r="Q631" s="1"/>
      <c r="R631" s="3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3"/>
      <c r="Q632" s="1"/>
      <c r="R632" s="3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3"/>
      <c r="Q633" s="1"/>
      <c r="R633" s="3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3"/>
      <c r="Q634" s="1"/>
      <c r="R634" s="3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3"/>
      <c r="Q635" s="1"/>
      <c r="R635" s="3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3"/>
      <c r="Q636" s="1"/>
      <c r="R636" s="3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3"/>
      <c r="Q637" s="1"/>
      <c r="R637" s="3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3"/>
      <c r="Q638" s="1"/>
      <c r="R638" s="3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3"/>
      <c r="Q639" s="1"/>
      <c r="R639" s="3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3"/>
      <c r="Q640" s="1"/>
      <c r="R640" s="3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3"/>
      <c r="Q641" s="1"/>
      <c r="R641" s="3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3"/>
      <c r="Q642" s="1"/>
      <c r="R642" s="3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3"/>
      <c r="Q643" s="1"/>
      <c r="R643" s="3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3"/>
      <c r="Q644" s="1"/>
      <c r="R644" s="3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3"/>
      <c r="Q645" s="1"/>
      <c r="R645" s="3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3"/>
      <c r="Q646" s="1"/>
      <c r="R646" s="3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3"/>
      <c r="Q647" s="1"/>
      <c r="R647" s="3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3"/>
      <c r="Q648" s="1"/>
      <c r="R648" s="3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3"/>
      <c r="Q649" s="1"/>
      <c r="R649" s="3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3"/>
      <c r="Q650" s="1"/>
      <c r="R650" s="3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3"/>
      <c r="Q651" s="1"/>
      <c r="R651" s="3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3"/>
      <c r="Q652" s="1"/>
      <c r="R652" s="3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3"/>
      <c r="Q653" s="1"/>
      <c r="R653" s="3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3"/>
      <c r="Q654" s="1"/>
      <c r="R654" s="3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3"/>
      <c r="Q655" s="1"/>
      <c r="R655" s="3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3"/>
      <c r="Q656" s="1"/>
      <c r="R656" s="3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3"/>
      <c r="Q657" s="1"/>
      <c r="R657" s="3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3"/>
      <c r="Q658" s="1"/>
      <c r="R658" s="3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3"/>
      <c r="Q659" s="1"/>
      <c r="R659" s="3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3"/>
      <c r="Q660" s="1"/>
      <c r="R660" s="3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3"/>
      <c r="Q661" s="1"/>
      <c r="R661" s="3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3"/>
      <c r="Q662" s="1"/>
      <c r="R662" s="3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3"/>
      <c r="Q663" s="1"/>
      <c r="R663" s="3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3"/>
      <c r="Q664" s="1"/>
      <c r="R664" s="3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3"/>
      <c r="Q665" s="1"/>
      <c r="R665" s="3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3"/>
      <c r="Q666" s="1"/>
      <c r="R666" s="3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3"/>
      <c r="Q667" s="1"/>
      <c r="R667" s="3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3"/>
      <c r="Q668" s="1"/>
      <c r="R668" s="3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3"/>
      <c r="Q669" s="1"/>
      <c r="R669" s="3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3"/>
      <c r="Q670" s="1"/>
      <c r="R670" s="3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3"/>
      <c r="Q671" s="1"/>
      <c r="R671" s="3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3"/>
      <c r="Q672" s="1"/>
      <c r="R672" s="3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3"/>
      <c r="Q673" s="1"/>
      <c r="R673" s="3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3"/>
      <c r="Q674" s="1"/>
      <c r="R674" s="3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3"/>
      <c r="Q675" s="1"/>
      <c r="R675" s="3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3"/>
      <c r="Q676" s="1"/>
      <c r="R676" s="3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3"/>
      <c r="Q677" s="1"/>
      <c r="R677" s="3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3"/>
      <c r="Q678" s="1"/>
      <c r="R678" s="3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3"/>
      <c r="Q679" s="1"/>
      <c r="R679" s="3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3"/>
      <c r="Q680" s="1"/>
      <c r="R680" s="3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3"/>
      <c r="Q681" s="1"/>
      <c r="R681" s="3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3"/>
      <c r="Q682" s="1"/>
      <c r="R682" s="3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3"/>
      <c r="Q683" s="1"/>
      <c r="R683" s="3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3"/>
      <c r="Q684" s="1"/>
      <c r="R684" s="3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3"/>
      <c r="Q685" s="1"/>
      <c r="R685" s="3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3"/>
      <c r="Q686" s="1"/>
      <c r="R686" s="3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3"/>
      <c r="Q687" s="1"/>
      <c r="R687" s="3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3"/>
      <c r="Q688" s="1"/>
      <c r="R688" s="3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3"/>
      <c r="Q689" s="1"/>
      <c r="R689" s="3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3"/>
      <c r="Q690" s="1"/>
      <c r="R690" s="3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3"/>
      <c r="Q691" s="1"/>
      <c r="R691" s="3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3"/>
      <c r="Q692" s="1"/>
      <c r="R692" s="3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3"/>
      <c r="Q693" s="1"/>
      <c r="R693" s="3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3"/>
      <c r="Q694" s="1"/>
      <c r="R694" s="3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3"/>
      <c r="Q695" s="1"/>
      <c r="R695" s="3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3"/>
      <c r="Q696" s="1"/>
      <c r="R696" s="3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3"/>
      <c r="Q697" s="1"/>
      <c r="R697" s="3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3"/>
      <c r="Q698" s="1"/>
      <c r="R698" s="3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3"/>
      <c r="Q699" s="1"/>
      <c r="R699" s="3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3"/>
      <c r="Q700" s="1"/>
      <c r="R700" s="3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3"/>
      <c r="Q701" s="1"/>
      <c r="R701" s="3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3"/>
      <c r="Q702" s="1"/>
      <c r="R702" s="3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3"/>
      <c r="Q703" s="1"/>
      <c r="R703" s="3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3"/>
      <c r="Q704" s="1"/>
      <c r="R704" s="3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3"/>
      <c r="Q705" s="1"/>
      <c r="R705" s="3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3"/>
      <c r="Q706" s="1"/>
      <c r="R706" s="3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3"/>
      <c r="Q707" s="1"/>
      <c r="R707" s="3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3"/>
      <c r="Q708" s="1"/>
      <c r="R708" s="3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3"/>
      <c r="Q709" s="1"/>
      <c r="R709" s="3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3"/>
      <c r="Q710" s="1"/>
      <c r="R710" s="3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3"/>
      <c r="Q711" s="1"/>
      <c r="R711" s="3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3"/>
      <c r="Q712" s="1"/>
      <c r="R712" s="3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3"/>
      <c r="Q713" s="1"/>
      <c r="R713" s="3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3"/>
      <c r="Q714" s="1"/>
      <c r="R714" s="3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3"/>
      <c r="Q715" s="1"/>
      <c r="R715" s="3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3"/>
      <c r="Q716" s="1"/>
      <c r="R716" s="3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3"/>
      <c r="Q717" s="1"/>
      <c r="R717" s="3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3"/>
      <c r="Q718" s="1"/>
      <c r="R718" s="3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3"/>
      <c r="Q719" s="1"/>
      <c r="R719" s="3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3"/>
      <c r="Q720" s="1"/>
      <c r="R720" s="3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3"/>
      <c r="Q721" s="1"/>
      <c r="R721" s="3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3"/>
      <c r="Q722" s="1"/>
      <c r="R722" s="3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3"/>
      <c r="Q723" s="1"/>
      <c r="R723" s="3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3"/>
      <c r="Q724" s="1"/>
      <c r="R724" s="3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3"/>
      <c r="Q725" s="1"/>
      <c r="R725" s="3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3"/>
      <c r="Q726" s="1"/>
      <c r="R726" s="3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3"/>
      <c r="Q727" s="1"/>
      <c r="R727" s="3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3"/>
      <c r="Q728" s="1"/>
      <c r="R728" s="3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3"/>
      <c r="Q729" s="1"/>
      <c r="R729" s="3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3"/>
      <c r="Q730" s="1"/>
      <c r="R730" s="3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3"/>
      <c r="Q731" s="1"/>
      <c r="R731" s="3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3"/>
      <c r="Q732" s="1"/>
      <c r="R732" s="3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3"/>
      <c r="Q733" s="1"/>
      <c r="R733" s="3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3"/>
      <c r="Q734" s="1"/>
      <c r="R734" s="3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3"/>
      <c r="Q735" s="1"/>
      <c r="R735" s="3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3"/>
      <c r="Q736" s="1"/>
      <c r="R736" s="3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3"/>
      <c r="Q737" s="1"/>
      <c r="R737" s="3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3"/>
      <c r="Q738" s="1"/>
      <c r="R738" s="3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3"/>
      <c r="Q739" s="1"/>
      <c r="R739" s="3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3"/>
      <c r="Q740" s="1"/>
      <c r="R740" s="3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3"/>
      <c r="Q741" s="1"/>
      <c r="R741" s="3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3"/>
      <c r="Q742" s="1"/>
      <c r="R742" s="3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3"/>
      <c r="Q743" s="1"/>
      <c r="R743" s="3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3"/>
      <c r="Q744" s="1"/>
      <c r="R744" s="3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3"/>
      <c r="Q745" s="1"/>
      <c r="R745" s="3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3"/>
      <c r="Q746" s="1"/>
      <c r="R746" s="3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3"/>
      <c r="Q747" s="1"/>
      <c r="R747" s="3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3"/>
      <c r="Q748" s="1"/>
      <c r="R748" s="3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3"/>
      <c r="Q749" s="1"/>
      <c r="R749" s="3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3"/>
      <c r="Q750" s="1"/>
      <c r="R750" s="3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3"/>
      <c r="Q751" s="1"/>
      <c r="R751" s="3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3"/>
      <c r="Q752" s="1"/>
      <c r="R752" s="3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3"/>
      <c r="Q753" s="1"/>
      <c r="R753" s="3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3"/>
      <c r="Q754" s="1"/>
      <c r="R754" s="3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3"/>
      <c r="Q755" s="1"/>
      <c r="R755" s="3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3"/>
      <c r="Q756" s="1"/>
      <c r="R756" s="3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3"/>
      <c r="Q757" s="1"/>
      <c r="R757" s="3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3"/>
      <c r="Q758" s="1"/>
      <c r="R758" s="3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3"/>
      <c r="Q759" s="1"/>
      <c r="R759" s="3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3"/>
      <c r="Q760" s="1"/>
      <c r="R760" s="3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3"/>
      <c r="Q761" s="1"/>
      <c r="R761" s="3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3"/>
      <c r="Q762" s="1"/>
      <c r="R762" s="3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3"/>
      <c r="Q763" s="1"/>
      <c r="R763" s="3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3"/>
      <c r="Q764" s="1"/>
      <c r="R764" s="3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3"/>
      <c r="Q765" s="1"/>
      <c r="R765" s="3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3"/>
      <c r="Q766" s="1"/>
      <c r="R766" s="3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3"/>
      <c r="Q767" s="1"/>
      <c r="R767" s="3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3"/>
      <c r="Q768" s="1"/>
      <c r="R768" s="3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3"/>
      <c r="Q769" s="1"/>
      <c r="R769" s="3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3"/>
      <c r="Q770" s="1"/>
      <c r="R770" s="3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3"/>
      <c r="Q771" s="1"/>
      <c r="R771" s="3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3"/>
      <c r="Q772" s="1"/>
      <c r="R772" s="3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3"/>
      <c r="Q773" s="1"/>
      <c r="R773" s="3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3"/>
      <c r="Q774" s="1"/>
      <c r="R774" s="3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3"/>
      <c r="Q775" s="1"/>
      <c r="R775" s="3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3"/>
      <c r="Q776" s="1"/>
      <c r="R776" s="3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3"/>
      <c r="Q777" s="1"/>
      <c r="R777" s="3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3"/>
      <c r="Q778" s="1"/>
      <c r="R778" s="3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3"/>
      <c r="Q779" s="1"/>
      <c r="R779" s="3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3"/>
      <c r="Q780" s="1"/>
      <c r="R780" s="3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3"/>
      <c r="Q781" s="1"/>
      <c r="R781" s="3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3"/>
      <c r="Q782" s="1"/>
      <c r="R782" s="3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3"/>
      <c r="Q783" s="1"/>
      <c r="R783" s="3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3"/>
      <c r="Q784" s="1"/>
      <c r="R784" s="3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3"/>
      <c r="Q785" s="1"/>
      <c r="R785" s="3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3"/>
      <c r="Q786" s="1"/>
      <c r="R786" s="3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3"/>
      <c r="Q787" s="1"/>
      <c r="R787" s="3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3"/>
      <c r="Q788" s="1"/>
      <c r="R788" s="3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3"/>
      <c r="Q789" s="1"/>
      <c r="R789" s="3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3"/>
      <c r="Q790" s="1"/>
      <c r="R790" s="3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3"/>
      <c r="Q791" s="1"/>
      <c r="R791" s="3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3"/>
      <c r="Q792" s="1"/>
      <c r="R792" s="3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3"/>
      <c r="Q793" s="1"/>
      <c r="R793" s="3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3"/>
      <c r="Q794" s="1"/>
      <c r="R794" s="3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3"/>
      <c r="Q795" s="1"/>
      <c r="R795" s="3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3"/>
      <c r="Q796" s="1"/>
      <c r="R796" s="3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3"/>
      <c r="Q797" s="1"/>
      <c r="R797" s="3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3"/>
      <c r="Q798" s="1"/>
      <c r="R798" s="3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3"/>
      <c r="Q799" s="1"/>
      <c r="R799" s="3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3"/>
      <c r="Q800" s="1"/>
      <c r="R800" s="3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3"/>
      <c r="Q801" s="1"/>
      <c r="R801" s="3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3"/>
      <c r="Q802" s="1"/>
      <c r="R802" s="3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3"/>
      <c r="Q803" s="1"/>
      <c r="R803" s="3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3"/>
      <c r="Q804" s="1"/>
      <c r="R804" s="3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3"/>
      <c r="Q805" s="1"/>
      <c r="R805" s="3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3"/>
      <c r="Q806" s="1"/>
      <c r="R806" s="3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3"/>
      <c r="Q807" s="1"/>
      <c r="R807" s="3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3"/>
      <c r="Q808" s="1"/>
      <c r="R808" s="3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3"/>
      <c r="Q809" s="1"/>
      <c r="R809" s="3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3"/>
      <c r="Q810" s="1"/>
      <c r="R810" s="3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3"/>
      <c r="Q811" s="1"/>
      <c r="R811" s="3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3"/>
      <c r="Q812" s="1"/>
      <c r="R812" s="3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3"/>
      <c r="Q813" s="1"/>
      <c r="R813" s="3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3"/>
      <c r="Q814" s="1"/>
      <c r="R814" s="3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3"/>
      <c r="Q815" s="1"/>
      <c r="R815" s="3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3"/>
      <c r="Q816" s="1"/>
      <c r="R816" s="3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3"/>
      <c r="Q817" s="1"/>
      <c r="R817" s="3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3"/>
      <c r="Q818" s="1"/>
      <c r="R818" s="3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3"/>
      <c r="Q819" s="1"/>
      <c r="R819" s="3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3"/>
      <c r="Q820" s="1"/>
      <c r="R820" s="3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3"/>
      <c r="Q821" s="1"/>
      <c r="R821" s="3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3"/>
      <c r="Q822" s="1"/>
      <c r="R822" s="3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3"/>
      <c r="Q823" s="1"/>
      <c r="R823" s="3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3"/>
      <c r="Q824" s="1"/>
      <c r="R824" s="3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3"/>
      <c r="Q825" s="1"/>
      <c r="R825" s="3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3"/>
      <c r="Q826" s="1"/>
      <c r="R826" s="3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3"/>
      <c r="Q827" s="1"/>
      <c r="R827" s="3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3"/>
      <c r="Q828" s="1"/>
      <c r="R828" s="3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3"/>
      <c r="Q829" s="1"/>
      <c r="R829" s="3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3"/>
      <c r="Q830" s="1"/>
      <c r="R830" s="3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3"/>
      <c r="Q831" s="1"/>
      <c r="R831" s="3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3"/>
      <c r="Q832" s="1"/>
      <c r="R832" s="3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3"/>
      <c r="Q833" s="1"/>
      <c r="R833" s="3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3"/>
      <c r="Q834" s="1"/>
      <c r="R834" s="3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3"/>
      <c r="Q835" s="1"/>
      <c r="R835" s="3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3"/>
      <c r="Q836" s="1"/>
      <c r="R836" s="3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3"/>
      <c r="Q837" s="1"/>
      <c r="R837" s="3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3"/>
      <c r="Q838" s="1"/>
      <c r="R838" s="3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3"/>
      <c r="Q839" s="1"/>
      <c r="R839" s="3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3"/>
      <c r="Q840" s="1"/>
      <c r="R840" s="3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3"/>
      <c r="Q841" s="1"/>
      <c r="R841" s="3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3"/>
      <c r="Q842" s="1"/>
      <c r="R842" s="3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3"/>
      <c r="Q843" s="1"/>
      <c r="R843" s="3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3"/>
      <c r="Q844" s="1"/>
      <c r="R844" s="3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3"/>
      <c r="Q845" s="1"/>
      <c r="R845" s="3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3"/>
      <c r="Q846" s="1"/>
      <c r="R846" s="3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3"/>
      <c r="Q847" s="1"/>
      <c r="R847" s="3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3"/>
      <c r="Q848" s="1"/>
      <c r="R848" s="3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3"/>
      <c r="Q849" s="1"/>
      <c r="R849" s="3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3"/>
      <c r="Q850" s="1"/>
      <c r="R850" s="3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3"/>
      <c r="Q851" s="1"/>
      <c r="R851" s="3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3"/>
      <c r="Q852" s="1"/>
      <c r="R852" s="3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3"/>
      <c r="Q853" s="1"/>
      <c r="R853" s="3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3"/>
      <c r="Q854" s="1"/>
      <c r="R854" s="3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3"/>
      <c r="Q855" s="1"/>
      <c r="R855" s="3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3"/>
      <c r="Q856" s="1"/>
      <c r="R856" s="3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3"/>
      <c r="Q857" s="1"/>
      <c r="R857" s="3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3"/>
      <c r="Q858" s="1"/>
      <c r="R858" s="3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3"/>
      <c r="Q859" s="1"/>
      <c r="R859" s="3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3"/>
      <c r="Q860" s="1"/>
      <c r="R860" s="3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3"/>
      <c r="Q861" s="1"/>
      <c r="R861" s="3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3"/>
      <c r="Q862" s="1"/>
      <c r="R862" s="3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3"/>
      <c r="Q863" s="1"/>
      <c r="R863" s="3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3"/>
      <c r="Q864" s="1"/>
      <c r="R864" s="3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3"/>
      <c r="Q865" s="1"/>
      <c r="R865" s="3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3"/>
      <c r="Q866" s="1"/>
      <c r="R866" s="3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3"/>
      <c r="Q867" s="1"/>
      <c r="R867" s="3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3"/>
      <c r="Q868" s="1"/>
      <c r="R868" s="3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3"/>
      <c r="Q869" s="1"/>
      <c r="R869" s="3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3"/>
      <c r="Q870" s="1"/>
      <c r="R870" s="3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3"/>
      <c r="Q871" s="1"/>
      <c r="R871" s="3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3"/>
      <c r="Q872" s="1"/>
      <c r="R872" s="3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3"/>
      <c r="Q873" s="1"/>
      <c r="R873" s="3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3"/>
      <c r="Q874" s="1"/>
      <c r="R874" s="3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3"/>
      <c r="Q875" s="1"/>
      <c r="R875" s="3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3"/>
      <c r="Q876" s="1"/>
      <c r="R876" s="3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3"/>
      <c r="Q877" s="1"/>
      <c r="R877" s="3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3"/>
      <c r="Q878" s="1"/>
      <c r="R878" s="3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3"/>
      <c r="Q879" s="1"/>
      <c r="R879" s="3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3"/>
      <c r="Q880" s="1"/>
      <c r="R880" s="3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3"/>
      <c r="Q881" s="1"/>
      <c r="R881" s="3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3"/>
      <c r="Q882" s="1"/>
      <c r="R882" s="3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3"/>
      <c r="Q883" s="1"/>
      <c r="R883" s="3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3"/>
      <c r="Q884" s="1"/>
      <c r="R884" s="3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3"/>
      <c r="Q885" s="1"/>
      <c r="R885" s="3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3"/>
      <c r="Q886" s="1"/>
      <c r="R886" s="3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3"/>
      <c r="Q887" s="1"/>
      <c r="R887" s="3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3"/>
      <c r="Q888" s="1"/>
      <c r="R888" s="3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3"/>
      <c r="Q889" s="1"/>
      <c r="R889" s="3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3"/>
      <c r="Q890" s="1"/>
      <c r="R890" s="3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3"/>
      <c r="Q891" s="1"/>
      <c r="R891" s="3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3"/>
      <c r="Q892" s="1"/>
      <c r="R892" s="3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3"/>
      <c r="Q893" s="1"/>
      <c r="R893" s="3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3"/>
      <c r="Q894" s="1"/>
      <c r="R894" s="3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3"/>
      <c r="Q895" s="1"/>
      <c r="R895" s="3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3"/>
      <c r="Q896" s="1"/>
      <c r="R896" s="3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3"/>
      <c r="Q897" s="1"/>
      <c r="R897" s="3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3"/>
      <c r="Q898" s="1"/>
      <c r="R898" s="3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3"/>
      <c r="Q899" s="1"/>
      <c r="R899" s="3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3"/>
      <c r="Q900" s="1"/>
      <c r="R900" s="3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3"/>
      <c r="Q901" s="1"/>
      <c r="R901" s="3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3"/>
      <c r="Q902" s="1"/>
      <c r="R902" s="3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3"/>
      <c r="Q903" s="1"/>
      <c r="R903" s="3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3"/>
      <c r="Q904" s="1"/>
      <c r="R904" s="3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3"/>
      <c r="Q905" s="1"/>
      <c r="R905" s="3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3"/>
      <c r="Q906" s="1"/>
      <c r="R906" s="3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3"/>
      <c r="Q907" s="1"/>
      <c r="R907" s="3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3"/>
      <c r="Q908" s="1"/>
      <c r="R908" s="3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3"/>
      <c r="Q909" s="1"/>
      <c r="R909" s="3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3"/>
      <c r="Q910" s="1"/>
      <c r="R910" s="3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3"/>
      <c r="Q911" s="1"/>
      <c r="R911" s="3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3"/>
      <c r="Q912" s="1"/>
      <c r="R912" s="3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3"/>
      <c r="Q913" s="1"/>
      <c r="R913" s="3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3"/>
      <c r="Q914" s="1"/>
      <c r="R914" s="3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3"/>
      <c r="Q915" s="1"/>
      <c r="R915" s="3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3"/>
      <c r="Q916" s="1"/>
      <c r="R916" s="3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3"/>
      <c r="Q917" s="1"/>
      <c r="R917" s="3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3"/>
      <c r="Q918" s="1"/>
      <c r="R918" s="3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3"/>
      <c r="Q919" s="1"/>
      <c r="R919" s="3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3"/>
      <c r="Q920" s="1"/>
      <c r="R920" s="3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3"/>
      <c r="Q921" s="1"/>
      <c r="R921" s="3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3"/>
      <c r="Q922" s="1"/>
      <c r="R922" s="3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3"/>
      <c r="Q923" s="1"/>
      <c r="R923" s="3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3"/>
      <c r="Q924" s="1"/>
      <c r="R924" s="3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3"/>
      <c r="Q925" s="1"/>
      <c r="R925" s="3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3"/>
      <c r="Q926" s="1"/>
      <c r="R926" s="3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3"/>
      <c r="Q927" s="1"/>
      <c r="R927" s="3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3"/>
      <c r="Q928" s="1"/>
      <c r="R928" s="3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3"/>
      <c r="Q929" s="1"/>
      <c r="R929" s="3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3"/>
      <c r="Q930" s="1"/>
      <c r="R930" s="3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3"/>
      <c r="Q931" s="1"/>
      <c r="R931" s="3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3"/>
      <c r="Q932" s="1"/>
      <c r="R932" s="3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3"/>
      <c r="Q933" s="1"/>
      <c r="R933" s="3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3"/>
      <c r="Q934" s="1"/>
      <c r="R934" s="3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3"/>
      <c r="Q935" s="1"/>
      <c r="R935" s="3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3"/>
      <c r="Q936" s="1"/>
      <c r="R936" s="3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3"/>
      <c r="Q937" s="1"/>
      <c r="R937" s="3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3"/>
      <c r="Q938" s="1"/>
      <c r="R938" s="3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3"/>
      <c r="Q939" s="1"/>
      <c r="R939" s="3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3"/>
      <c r="Q940" s="1"/>
      <c r="R940" s="3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3"/>
      <c r="Q941" s="1"/>
      <c r="R941" s="3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3"/>
      <c r="Q942" s="1"/>
      <c r="R942" s="3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3"/>
      <c r="Q943" s="1"/>
      <c r="R943" s="3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3"/>
      <c r="Q944" s="1"/>
      <c r="R944" s="3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3"/>
      <c r="Q945" s="1"/>
      <c r="R945" s="3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3"/>
      <c r="Q946" s="1"/>
      <c r="R946" s="3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3"/>
      <c r="Q947" s="1"/>
      <c r="R947" s="3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3"/>
      <c r="Q948" s="1"/>
      <c r="R948" s="3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3"/>
      <c r="Q949" s="1"/>
      <c r="R949" s="3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3"/>
      <c r="Q950" s="1"/>
      <c r="R950" s="3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3"/>
      <c r="Q951" s="1"/>
      <c r="R951" s="3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3"/>
      <c r="Q952" s="1"/>
      <c r="R952" s="3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3"/>
      <c r="Q953" s="1"/>
      <c r="R953" s="3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3"/>
      <c r="Q954" s="1"/>
      <c r="R954" s="3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3"/>
      <c r="Q955" s="1"/>
      <c r="R955" s="3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3"/>
      <c r="Q956" s="1"/>
      <c r="R956" s="3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3"/>
      <c r="Q957" s="1"/>
      <c r="R957" s="3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3"/>
      <c r="Q958" s="1"/>
      <c r="R958" s="3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3"/>
      <c r="Q959" s="1"/>
      <c r="R959" s="3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3"/>
      <c r="Q960" s="1"/>
      <c r="R960" s="3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3"/>
      <c r="Q961" s="1"/>
      <c r="R961" s="3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3"/>
      <c r="Q962" s="1"/>
      <c r="R962" s="3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3"/>
      <c r="Q963" s="1"/>
      <c r="R963" s="3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3"/>
      <c r="Q964" s="1"/>
      <c r="R964" s="3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3"/>
      <c r="Q965" s="1"/>
      <c r="R965" s="3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3"/>
      <c r="Q966" s="1"/>
      <c r="R966" s="3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3"/>
      <c r="Q967" s="1"/>
      <c r="R967" s="3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3"/>
      <c r="Q968" s="1"/>
      <c r="R968" s="3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3"/>
      <c r="Q969" s="1"/>
      <c r="R969" s="3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3"/>
      <c r="Q970" s="1"/>
      <c r="R970" s="3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3"/>
      <c r="Q971" s="1"/>
      <c r="R971" s="3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3"/>
      <c r="Q972" s="1"/>
      <c r="R972" s="3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3"/>
      <c r="Q973" s="1"/>
      <c r="R973" s="3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3"/>
      <c r="Q974" s="1"/>
      <c r="R974" s="3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3"/>
      <c r="Q975" s="1"/>
      <c r="R975" s="3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3"/>
      <c r="Q976" s="1"/>
      <c r="R976" s="3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3"/>
      <c r="Q977" s="1"/>
      <c r="R977" s="3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3"/>
      <c r="Q978" s="1"/>
      <c r="R978" s="3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3"/>
      <c r="Q979" s="1"/>
      <c r="R979" s="3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3"/>
      <c r="Q980" s="1"/>
      <c r="R980" s="3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3"/>
      <c r="Q981" s="1"/>
      <c r="R981" s="3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3"/>
      <c r="Q982" s="1"/>
      <c r="R982" s="3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3"/>
      <c r="Q983" s="1"/>
      <c r="R983" s="3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3"/>
      <c r="Q984" s="1"/>
      <c r="R984" s="3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3"/>
      <c r="Q985" s="1"/>
      <c r="R985" s="3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3"/>
      <c r="Q986" s="1"/>
      <c r="R986" s="3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3"/>
      <c r="Q987" s="1"/>
      <c r="R987" s="3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3"/>
      <c r="Q988" s="1"/>
      <c r="R988" s="3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3"/>
      <c r="Q989" s="1"/>
      <c r="R989" s="3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3"/>
      <c r="Q990" s="1"/>
      <c r="R990" s="3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3"/>
      <c r="Q991" s="1"/>
      <c r="R991" s="3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3"/>
      <c r="Q992" s="1"/>
      <c r="R992" s="3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3"/>
      <c r="Q993" s="1"/>
      <c r="R993" s="3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1"/>
      <c r="O994" s="1"/>
      <c r="P994" s="3"/>
      <c r="Q994" s="1"/>
      <c r="R994" s="3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1"/>
      <c r="O995" s="1"/>
      <c r="P995" s="3"/>
      <c r="Q995" s="1"/>
      <c r="R995" s="3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1"/>
      <c r="O996" s="1"/>
      <c r="P996" s="3"/>
      <c r="Q996" s="1"/>
      <c r="R996" s="3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1"/>
      <c r="O997" s="1"/>
      <c r="P997" s="3"/>
      <c r="Q997" s="1"/>
      <c r="R997" s="3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1"/>
      <c r="L998" s="1"/>
      <c r="M998" s="1"/>
      <c r="N998" s="1"/>
      <c r="O998" s="1"/>
      <c r="P998" s="3"/>
      <c r="Q998" s="1"/>
      <c r="R998" s="3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1"/>
      <c r="L999" s="1"/>
      <c r="M999" s="1"/>
      <c r="N999" s="1"/>
      <c r="O999" s="1"/>
      <c r="P999" s="3"/>
      <c r="Q999" s="1"/>
      <c r="R999" s="3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1"/>
      <c r="L1000" s="1"/>
      <c r="M1000" s="1"/>
      <c r="N1000" s="1"/>
      <c r="O1000" s="1"/>
      <c r="P1000" s="3"/>
      <c r="Q1000" s="1"/>
      <c r="R1000" s="3"/>
      <c r="S1000" s="1"/>
      <c r="T1000" s="1"/>
      <c r="U1000" s="1"/>
      <c r="V1000" s="1"/>
      <c r="W1000" s="1"/>
      <c r="X1000" s="1"/>
      <c r="Y1000" s="1"/>
      <c r="Z1000" s="1"/>
    </row>
  </sheetData>
  <mergeCells count="50">
    <mergeCell ref="N83:V83"/>
    <mergeCell ref="N84:V84"/>
    <mergeCell ref="S17:S18"/>
    <mergeCell ref="T17:T18"/>
    <mergeCell ref="U17:U18"/>
    <mergeCell ref="V17:V18"/>
    <mergeCell ref="P82:R82"/>
    <mergeCell ref="I83:L83"/>
    <mergeCell ref="I84:L84"/>
    <mergeCell ref="L7:Q7"/>
    <mergeCell ref="U7:V7"/>
    <mergeCell ref="M2:S2"/>
    <mergeCell ref="L3:S3"/>
    <mergeCell ref="K4:S4"/>
    <mergeCell ref="K5:S5"/>
    <mergeCell ref="I6:K6"/>
    <mergeCell ref="L6:V6"/>
    <mergeCell ref="I7:J7"/>
    <mergeCell ref="I8:K8"/>
    <mergeCell ref="L8:Q8"/>
    <mergeCell ref="U8:V8"/>
    <mergeCell ref="I9:K9"/>
    <mergeCell ref="L9:Q9"/>
    <mergeCell ref="S9:T9"/>
    <mergeCell ref="U9:V9"/>
    <mergeCell ref="I10:K10"/>
    <mergeCell ref="L10:Q10"/>
    <mergeCell ref="S10:T10"/>
    <mergeCell ref="U10:V10"/>
    <mergeCell ref="L11:Q11"/>
    <mergeCell ref="S11:T11"/>
    <mergeCell ref="U11:V11"/>
    <mergeCell ref="I11:K11"/>
    <mergeCell ref="I12:K12"/>
    <mergeCell ref="L12:Q12"/>
    <mergeCell ref="U12:V12"/>
    <mergeCell ref="I13:K13"/>
    <mergeCell ref="S13:T13"/>
    <mergeCell ref="U13:V13"/>
    <mergeCell ref="L13:Q13"/>
    <mergeCell ref="M15:P15"/>
    <mergeCell ref="I17:I18"/>
    <mergeCell ref="J17:J18"/>
    <mergeCell ref="K17:L18"/>
    <mergeCell ref="M17:M18"/>
    <mergeCell ref="N17:R17"/>
    <mergeCell ref="I85:L85"/>
    <mergeCell ref="N85:V85"/>
    <mergeCell ref="I86:L86"/>
    <mergeCell ref="N86:V86"/>
  </mergeCells>
  <dataValidations>
    <dataValidation type="list" allowBlank="1" showErrorMessage="1" sqref="K19:K77 K79:K80">
      <formula1>"NRM,NR,NRF,NRD,LNC,NRAE,DS"</formula1>
    </dataValidation>
  </dataValidations>
  <printOptions/>
  <pageMargins bottom="0.0" footer="0.0" header="0.0" left="0.2362204724409449" right="0.2362204724409449" top="0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hidden="1" min="2" max="7" width="8.71"/>
    <col customWidth="1" hidden="1" min="8" max="8" width="1.43"/>
    <col customWidth="1" min="9" max="9" width="8.71"/>
    <col customWidth="1" min="10" max="10" width="22.43"/>
    <col customWidth="1" min="11" max="11" width="5.0"/>
    <col customWidth="1" min="12" max="12" width="5.86"/>
    <col customWidth="1" min="13" max="13" width="11.29"/>
    <col customWidth="1" min="14" max="14" width="7.86"/>
    <col customWidth="1" min="15" max="15" width="1.43"/>
    <col customWidth="1" min="16" max="16" width="7.86"/>
    <col customWidth="1" min="17" max="17" width="1.43"/>
    <col customWidth="1" min="18" max="18" width="7.86"/>
    <col customWidth="1" min="19" max="19" width="9.14"/>
    <col customWidth="1" min="20" max="20" width="11.29"/>
    <col customWidth="1" min="21" max="21" width="12.14"/>
    <col customWidth="1" min="22" max="22" width="17.57"/>
    <col customWidth="1" min="23" max="23" width="14.71"/>
    <col customWidth="1" min="24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3"/>
      <c r="Q1" s="1"/>
      <c r="R1" s="3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T2" s="1"/>
      <c r="U2" s="1"/>
      <c r="V2" s="1"/>
      <c r="W2" s="1"/>
      <c r="X2" s="1"/>
      <c r="Y2" s="1"/>
      <c r="Z2" s="1"/>
    </row>
    <row r="3">
      <c r="A3" s="4"/>
      <c r="B3" s="4"/>
      <c r="C3" s="4"/>
      <c r="D3" s="4"/>
      <c r="E3" s="4"/>
      <c r="F3" s="4"/>
      <c r="G3" s="4"/>
      <c r="H3" s="4"/>
      <c r="I3" s="1"/>
      <c r="J3" s="2"/>
      <c r="K3" s="1"/>
      <c r="L3" s="1" t="s">
        <v>0</v>
      </c>
      <c r="T3" s="4"/>
      <c r="U3" s="4"/>
      <c r="V3" s="1"/>
      <c r="W3" s="1"/>
      <c r="X3" s="1"/>
      <c r="Y3" s="1"/>
      <c r="Z3" s="4"/>
    </row>
    <row r="4">
      <c r="A4" s="4"/>
      <c r="B4" s="4"/>
      <c r="C4" s="4"/>
      <c r="D4" s="4"/>
      <c r="E4" s="4"/>
      <c r="F4" s="4"/>
      <c r="G4" s="4"/>
      <c r="H4" s="4"/>
      <c r="I4" s="1"/>
      <c r="J4" s="2"/>
      <c r="K4" s="1" t="s">
        <v>1</v>
      </c>
      <c r="T4" s="4"/>
      <c r="U4" s="4"/>
      <c r="V4" s="1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1"/>
      <c r="J5" s="2"/>
      <c r="K5" s="5" t="s">
        <v>2</v>
      </c>
      <c r="L5" s="6"/>
      <c r="M5" s="6"/>
      <c r="N5" s="6"/>
      <c r="O5" s="6"/>
      <c r="P5" s="6"/>
      <c r="Q5" s="6"/>
      <c r="R5" s="6"/>
      <c r="S5" s="6"/>
      <c r="T5" s="4"/>
      <c r="U5" s="4"/>
      <c r="V5" s="1"/>
      <c r="W5" s="1"/>
      <c r="X5" s="4"/>
      <c r="Y5" s="4"/>
      <c r="Z5" s="4"/>
    </row>
    <row r="6">
      <c r="A6" s="1"/>
      <c r="B6" s="1"/>
      <c r="C6" s="1"/>
      <c r="D6" s="1"/>
      <c r="E6" s="1"/>
      <c r="F6" s="1"/>
      <c r="G6" s="1"/>
      <c r="H6" s="1"/>
      <c r="I6" s="7" t="s">
        <v>3</v>
      </c>
      <c r="J6" s="8"/>
      <c r="K6" s="9"/>
      <c r="L6" s="10" t="s">
        <v>4</v>
      </c>
      <c r="M6" s="8"/>
      <c r="N6" s="8"/>
      <c r="O6" s="8"/>
      <c r="P6" s="8"/>
      <c r="Q6" s="8"/>
      <c r="R6" s="8"/>
      <c r="S6" s="8"/>
      <c r="T6" s="8"/>
      <c r="U6" s="8"/>
      <c r="V6" s="1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7" t="s">
        <v>5</v>
      </c>
      <c r="J7" s="9"/>
      <c r="K7" s="12"/>
      <c r="L7" s="13" t="s">
        <v>6</v>
      </c>
      <c r="M7" s="14"/>
      <c r="N7" s="14"/>
      <c r="O7" s="14"/>
      <c r="P7" s="14"/>
      <c r="Q7" s="15"/>
      <c r="R7" s="16"/>
      <c r="S7" s="17"/>
      <c r="T7" s="18"/>
      <c r="U7" s="19"/>
      <c r="V7" s="20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7" t="s">
        <v>9</v>
      </c>
      <c r="J8" s="8"/>
      <c r="K8" s="9"/>
      <c r="L8" s="10"/>
      <c r="M8" s="8"/>
      <c r="N8" s="8"/>
      <c r="O8" s="8"/>
      <c r="P8" s="8"/>
      <c r="Q8" s="9"/>
      <c r="R8" s="21"/>
      <c r="S8" s="12"/>
      <c r="T8" s="22"/>
      <c r="U8" s="10"/>
      <c r="V8" s="11"/>
      <c r="W8" s="23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7" t="s">
        <v>11</v>
      </c>
      <c r="J9" s="8"/>
      <c r="K9" s="9"/>
      <c r="L9" s="10"/>
      <c r="M9" s="8"/>
      <c r="N9" s="8"/>
      <c r="O9" s="8"/>
      <c r="P9" s="8"/>
      <c r="Q9" s="9"/>
      <c r="R9" s="21"/>
      <c r="S9" s="12"/>
      <c r="T9" s="24"/>
      <c r="U9" s="25"/>
      <c r="V9" s="1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7" t="s">
        <v>14</v>
      </c>
      <c r="J10" s="8"/>
      <c r="K10" s="9"/>
      <c r="L10" s="10"/>
      <c r="M10" s="8"/>
      <c r="N10" s="8"/>
      <c r="O10" s="8"/>
      <c r="P10" s="8"/>
      <c r="Q10" s="9"/>
      <c r="R10" s="21"/>
      <c r="S10" s="12"/>
      <c r="T10" s="22"/>
      <c r="U10" s="10"/>
      <c r="V10" s="1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7" t="s">
        <v>16</v>
      </c>
      <c r="J11" s="8"/>
      <c r="K11" s="9"/>
      <c r="L11" s="26"/>
      <c r="M11" s="9"/>
      <c r="N11" s="28"/>
      <c r="O11" s="28"/>
      <c r="P11" s="26"/>
      <c r="Q11" s="9"/>
      <c r="R11" s="21"/>
      <c r="S11" s="12"/>
      <c r="T11" s="29"/>
      <c r="U11" s="30"/>
      <c r="V11" s="1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7" t="s">
        <v>18</v>
      </c>
      <c r="J12" s="8"/>
      <c r="K12" s="9"/>
      <c r="L12" s="31"/>
      <c r="M12" s="8"/>
      <c r="N12" s="8"/>
      <c r="O12" s="8"/>
      <c r="P12" s="8"/>
      <c r="Q12" s="9"/>
      <c r="R12" s="21"/>
      <c r="S12" s="12" t="s">
        <v>19</v>
      </c>
      <c r="T12" s="32"/>
      <c r="U12" s="34"/>
      <c r="V12" s="1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35" t="s">
        <v>21</v>
      </c>
      <c r="J13" s="36"/>
      <c r="K13" s="36"/>
      <c r="L13" s="36"/>
      <c r="M13" s="36"/>
      <c r="N13" s="36"/>
      <c r="O13" s="36"/>
      <c r="P13" s="36"/>
      <c r="Q13" s="36"/>
      <c r="R13" s="21"/>
      <c r="S13" s="10"/>
      <c r="T13" s="9"/>
      <c r="U13" s="37"/>
      <c r="V13" s="11"/>
      <c r="W13" s="1"/>
      <c r="X13" s="1"/>
      <c r="Y13" s="1"/>
      <c r="Z13" s="1"/>
    </row>
    <row r="14">
      <c r="A14" s="4"/>
      <c r="B14" s="4"/>
      <c r="C14" s="4"/>
      <c r="D14" s="4"/>
      <c r="E14" s="4"/>
      <c r="F14" s="4"/>
      <c r="G14" s="4"/>
      <c r="H14" s="4"/>
      <c r="I14" s="38"/>
      <c r="J14" s="39"/>
      <c r="K14" s="4"/>
      <c r="L14" s="4"/>
      <c r="M14" s="40"/>
      <c r="R14" s="3"/>
      <c r="S14" s="1"/>
      <c r="T14" s="4"/>
      <c r="U14" s="1"/>
      <c r="V14" s="38"/>
      <c r="W14" s="38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1" t="s">
        <v>22</v>
      </c>
      <c r="J15" s="42"/>
      <c r="K15" s="40"/>
      <c r="L15" s="43" t="s">
        <v>25</v>
      </c>
      <c r="S15" s="44"/>
      <c r="T15" s="45"/>
      <c r="U15" s="45"/>
      <c r="V15" s="46"/>
      <c r="W15" s="38"/>
      <c r="X15" s="4"/>
      <c r="Y15" s="4"/>
      <c r="Z15" s="4"/>
    </row>
    <row r="16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"/>
      <c r="M16" s="1"/>
      <c r="N16" s="1"/>
      <c r="O16" s="1"/>
      <c r="P16" s="3"/>
      <c r="Q16" s="1"/>
      <c r="R16" s="3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48" t="s">
        <v>26</v>
      </c>
      <c r="J17" s="48" t="s">
        <v>27</v>
      </c>
      <c r="K17" s="50" t="s">
        <v>28</v>
      </c>
      <c r="L17" s="51"/>
      <c r="M17" s="52" t="s">
        <v>29</v>
      </c>
      <c r="N17" s="53"/>
      <c r="O17" s="53"/>
      <c r="P17" s="54"/>
      <c r="Q17" s="55"/>
      <c r="R17" s="56"/>
      <c r="S17" s="48" t="s">
        <v>30</v>
      </c>
      <c r="T17" s="57" t="s">
        <v>31</v>
      </c>
      <c r="U17" s="57" t="s">
        <v>32</v>
      </c>
      <c r="V17" s="48" t="s">
        <v>34</v>
      </c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59"/>
      <c r="J18" s="59"/>
      <c r="K18" s="60"/>
      <c r="L18" s="61"/>
      <c r="M18" s="62"/>
      <c r="N18" s="66" t="s">
        <v>37</v>
      </c>
      <c r="O18" s="66"/>
      <c r="P18" s="66" t="s">
        <v>38</v>
      </c>
      <c r="Q18" s="64"/>
      <c r="R18" s="66" t="s">
        <v>39</v>
      </c>
      <c r="S18" s="59"/>
      <c r="T18" s="59"/>
      <c r="U18" s="59"/>
      <c r="V18" s="59"/>
      <c r="W18" s="1"/>
      <c r="X18" s="1"/>
      <c r="Y18" s="1"/>
      <c r="Z18" s="1"/>
    </row>
    <row r="19" ht="15.0" hidden="1" customHeight="1">
      <c r="A19" s="1"/>
      <c r="B19" s="1"/>
      <c r="C19" s="1"/>
      <c r="D19" s="68">
        <f>SUM(0.02+N19)</f>
        <v>0.38</v>
      </c>
      <c r="E19" s="70">
        <f t="shared" ref="E19:E20" si="1">SUM(P19)</f>
        <v>0.2</v>
      </c>
      <c r="F19" s="72">
        <v>0.0</v>
      </c>
      <c r="G19" s="77">
        <f t="shared" ref="G19:G20" si="2">SUM(R19)</f>
        <v>0.15</v>
      </c>
      <c r="H19" s="74">
        <f t="shared" ref="H19:H20" si="3">SUM(N19*E19*G19)</f>
        <v>0.0108</v>
      </c>
      <c r="I19" s="80"/>
      <c r="J19" s="76" t="s">
        <v>46</v>
      </c>
      <c r="K19" s="79" t="s">
        <v>43</v>
      </c>
      <c r="L19" s="81">
        <v>3503.0</v>
      </c>
      <c r="M19" s="82" t="s">
        <v>45</v>
      </c>
      <c r="N19" s="84">
        <v>0.36</v>
      </c>
      <c r="O19" s="81" t="s">
        <v>47</v>
      </c>
      <c r="P19" s="70">
        <v>0.2</v>
      </c>
      <c r="Q19" s="68">
        <v>0.15</v>
      </c>
      <c r="R19" s="85">
        <v>0.15</v>
      </c>
      <c r="S19" s="87">
        <f t="shared" ref="S19:S20" si="4">SUM(D19*E19*G19)</f>
        <v>0.0114</v>
      </c>
      <c r="T19" s="88">
        <v>865.0</v>
      </c>
      <c r="U19" s="90">
        <f t="shared" ref="U19:U20" si="5">SUM(S19*T19)</f>
        <v>9.861</v>
      </c>
      <c r="V19" s="91">
        <f t="shared" ref="V19:V20" si="6">SUM(I19*U19)</f>
        <v>0</v>
      </c>
      <c r="W19" s="1"/>
      <c r="X19" s="1"/>
      <c r="Y19" s="1"/>
      <c r="Z19" s="1"/>
    </row>
    <row r="20" ht="15.0" customHeight="1">
      <c r="A20" s="1"/>
      <c r="B20" s="1"/>
      <c r="C20" s="1"/>
      <c r="D20" s="68">
        <v>0.02</v>
      </c>
      <c r="E20" s="70">
        <f t="shared" si="1"/>
        <v>0.31</v>
      </c>
      <c r="F20" s="72">
        <v>0.0</v>
      </c>
      <c r="G20" s="77">
        <f t="shared" si="2"/>
        <v>0.05</v>
      </c>
      <c r="H20" s="74">
        <f t="shared" si="3"/>
        <v>0.007905</v>
      </c>
      <c r="I20" s="92"/>
      <c r="J20" s="93" t="s">
        <v>48</v>
      </c>
      <c r="K20" s="94" t="s">
        <v>43</v>
      </c>
      <c r="L20" s="97">
        <v>3503.0</v>
      </c>
      <c r="M20" s="98" t="s">
        <v>45</v>
      </c>
      <c r="N20" s="99">
        <v>0.51</v>
      </c>
      <c r="O20" s="97" t="s">
        <v>47</v>
      </c>
      <c r="P20" s="100">
        <v>0.31</v>
      </c>
      <c r="Q20" s="101">
        <v>0.15</v>
      </c>
      <c r="R20" s="102">
        <v>0.05</v>
      </c>
      <c r="S20" s="104">
        <f t="shared" si="4"/>
        <v>0.00031</v>
      </c>
      <c r="T20" s="105">
        <v>865.0</v>
      </c>
      <c r="U20" s="90">
        <f t="shared" si="5"/>
        <v>0.26815</v>
      </c>
      <c r="V20" s="91">
        <f t="shared" si="6"/>
        <v>0</v>
      </c>
      <c r="W20" s="1"/>
      <c r="X20" s="1"/>
      <c r="Y20" s="1"/>
      <c r="Z20" s="1"/>
    </row>
    <row r="21" ht="15.75" customHeight="1">
      <c r="A21" s="1"/>
      <c r="B21" s="106"/>
      <c r="C21" s="5"/>
      <c r="D21" s="5"/>
      <c r="E21" s="108"/>
      <c r="F21" s="110"/>
      <c r="G21" s="78"/>
      <c r="H21" s="74"/>
      <c r="I21" s="111"/>
      <c r="J21" s="112"/>
      <c r="K21" s="79"/>
      <c r="L21" s="81"/>
      <c r="M21" s="113"/>
      <c r="N21" s="106"/>
      <c r="O21" s="5"/>
      <c r="P21" s="108"/>
      <c r="Q21" s="110"/>
      <c r="R21" s="85"/>
      <c r="S21" s="88"/>
      <c r="T21" s="88"/>
      <c r="U21" s="88"/>
      <c r="V21" s="82"/>
      <c r="W21" s="1"/>
      <c r="X21" s="1"/>
      <c r="Y21" s="1"/>
      <c r="Z21" s="1"/>
    </row>
    <row r="22" ht="4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1"/>
      <c r="M22" s="1"/>
      <c r="N22" s="1"/>
      <c r="O22" s="1"/>
      <c r="P22" s="3"/>
      <c r="Q22" s="1"/>
      <c r="R22" s="3"/>
      <c r="S22" s="3"/>
      <c r="T22" s="1"/>
      <c r="U22" s="3"/>
      <c r="V22" s="1"/>
      <c r="W22" s="1"/>
      <c r="X22" s="1"/>
      <c r="Y22" s="1"/>
      <c r="Z22" s="1"/>
    </row>
    <row r="23" ht="18.0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1"/>
      <c r="M23" s="1"/>
      <c r="N23" s="1"/>
      <c r="O23" s="1"/>
      <c r="P23" s="114" t="s">
        <v>58</v>
      </c>
      <c r="Q23" s="6"/>
      <c r="R23" s="6"/>
      <c r="S23" s="115">
        <f>SUM(S19:S21)</f>
        <v>0.01171</v>
      </c>
      <c r="T23" s="1"/>
      <c r="U23" s="115"/>
      <c r="V23" s="116">
        <f>SUM(V19:V22)</f>
        <v>0</v>
      </c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5" t="s">
        <v>62</v>
      </c>
      <c r="J24" s="6"/>
      <c r="K24" s="6"/>
      <c r="L24" s="6"/>
      <c r="M24" s="1" t="s">
        <v>63</v>
      </c>
      <c r="N24" s="1"/>
      <c r="O24" s="1"/>
      <c r="P24" s="117">
        <v>2810.0</v>
      </c>
      <c r="Q24" s="8"/>
      <c r="R24" s="8"/>
      <c r="S24" s="8"/>
      <c r="T24" s="8"/>
      <c r="U24" s="8"/>
      <c r="V24" s="1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79" t="s">
        <v>66</v>
      </c>
      <c r="J25" s="8"/>
      <c r="K25" s="8"/>
      <c r="L25" s="11"/>
      <c r="M25" s="1"/>
      <c r="N25" s="1"/>
      <c r="O25" s="1"/>
      <c r="P25" s="117">
        <v>2810.0</v>
      </c>
      <c r="Q25" s="8"/>
      <c r="R25" s="8"/>
      <c r="S25" s="8"/>
      <c r="T25" s="8"/>
      <c r="U25" s="8"/>
      <c r="V25" s="1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5" t="s">
        <v>67</v>
      </c>
      <c r="J26" s="6"/>
      <c r="K26" s="6"/>
      <c r="L26" s="6"/>
      <c r="M26" s="1"/>
      <c r="N26" s="1"/>
      <c r="O26" s="1"/>
      <c r="P26" s="117"/>
      <c r="Q26" s="8"/>
      <c r="R26" s="8"/>
      <c r="S26" s="8"/>
      <c r="T26" s="8"/>
      <c r="U26" s="8"/>
      <c r="V26" s="1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19" t="s">
        <v>70</v>
      </c>
      <c r="J27" s="120"/>
      <c r="K27" s="120"/>
      <c r="L27" s="120"/>
      <c r="M27" s="1"/>
      <c r="N27" s="1"/>
      <c r="O27" s="1"/>
      <c r="P27" s="117"/>
      <c r="Q27" s="8"/>
      <c r="R27" s="8"/>
      <c r="S27" s="8"/>
      <c r="T27" s="8"/>
      <c r="U27" s="8"/>
      <c r="V27" s="1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2"/>
      <c r="K28" s="1"/>
      <c r="L28" s="1"/>
      <c r="M28" s="1"/>
      <c r="N28" s="1"/>
      <c r="O28" s="1"/>
      <c r="P28" s="3"/>
      <c r="Q28" s="1"/>
      <c r="R28" s="3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1"/>
      <c r="L29" s="1"/>
      <c r="M29" s="1"/>
      <c r="N29" s="1"/>
      <c r="O29" s="1"/>
      <c r="P29" s="3"/>
      <c r="Q29" s="1"/>
      <c r="R29" s="3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1"/>
      <c r="L30" s="1"/>
      <c r="M30" s="1"/>
      <c r="N30" s="1"/>
      <c r="O30" s="1"/>
      <c r="P30" s="3"/>
      <c r="Q30" s="1"/>
      <c r="R30" s="3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1"/>
      <c r="L31" s="1"/>
      <c r="M31" s="1"/>
      <c r="N31" s="1"/>
      <c r="O31" s="1"/>
      <c r="P31" s="3"/>
      <c r="Q31" s="1"/>
      <c r="R31" s="3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3"/>
      <c r="Q32" s="1"/>
      <c r="R32" s="3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3"/>
      <c r="Q33" s="1"/>
      <c r="R33" s="3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  <c r="P34" s="3"/>
      <c r="Q34" s="1"/>
      <c r="R34" s="3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1"/>
      <c r="L35" s="1"/>
      <c r="M35" s="1"/>
      <c r="N35" s="1"/>
      <c r="O35" s="1"/>
      <c r="P35" s="3"/>
      <c r="Q35" s="1"/>
      <c r="R35" s="3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1"/>
      <c r="L36" s="1"/>
      <c r="M36" s="1"/>
      <c r="N36" s="1"/>
      <c r="O36" s="1"/>
      <c r="P36" s="3"/>
      <c r="Q36" s="1"/>
      <c r="R36" s="3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1"/>
      <c r="L37" s="1"/>
      <c r="M37" s="1"/>
      <c r="N37" s="1"/>
      <c r="O37" s="1"/>
      <c r="P37" s="3"/>
      <c r="Q37" s="1"/>
      <c r="R37" s="3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  <c r="P38" s="3"/>
      <c r="Q38" s="1"/>
      <c r="R38" s="3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3"/>
      <c r="Q39" s="1"/>
      <c r="R39" s="3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3"/>
      <c r="Q40" s="1"/>
      <c r="R40" s="3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3"/>
      <c r="Q41" s="1"/>
      <c r="R41" s="3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3"/>
      <c r="Q42" s="1"/>
      <c r="R42" s="3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3"/>
      <c r="Q43" s="1"/>
      <c r="R43" s="3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3"/>
      <c r="Q44" s="1"/>
      <c r="R44" s="3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3"/>
      <c r="Q45" s="1"/>
      <c r="R45" s="3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3"/>
      <c r="Q46" s="1"/>
      <c r="R46" s="3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3"/>
      <c r="Q47" s="1"/>
      <c r="R47" s="3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3"/>
      <c r="Q48" s="1"/>
      <c r="R48" s="3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3"/>
      <c r="Q49" s="1"/>
      <c r="R49" s="3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3"/>
      <c r="Q50" s="1"/>
      <c r="R50" s="3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3"/>
      <c r="Q51" s="1"/>
      <c r="R51" s="3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3"/>
      <c r="Q52" s="1"/>
      <c r="R52" s="3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3"/>
      <c r="Q53" s="1"/>
      <c r="R53" s="3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3"/>
      <c r="Q54" s="1"/>
      <c r="R54" s="3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3"/>
      <c r="Q55" s="1"/>
      <c r="R55" s="3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3"/>
      <c r="Q56" s="1"/>
      <c r="R56" s="3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3"/>
      <c r="Q57" s="1"/>
      <c r="R57" s="3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3"/>
      <c r="Q58" s="1"/>
      <c r="R58" s="3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3"/>
      <c r="Q59" s="1"/>
      <c r="R59" s="3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3"/>
      <c r="Q60" s="1"/>
      <c r="R60" s="3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3"/>
      <c r="Q61" s="1"/>
      <c r="R61" s="3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3"/>
      <c r="Q62" s="1"/>
      <c r="R62" s="3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3"/>
      <c r="Q63" s="1"/>
      <c r="R63" s="3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3"/>
      <c r="Q64" s="1"/>
      <c r="R64" s="3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3"/>
      <c r="Q65" s="1"/>
      <c r="R65" s="3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3"/>
      <c r="Q66" s="1"/>
      <c r="R66" s="3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3"/>
      <c r="Q67" s="1"/>
      <c r="R67" s="3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3"/>
      <c r="Q68" s="1"/>
      <c r="R68" s="3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3"/>
      <c r="Q69" s="1"/>
      <c r="R69" s="3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3"/>
      <c r="Q70" s="1"/>
      <c r="R70" s="3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3"/>
      <c r="Q71" s="1"/>
      <c r="R71" s="3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3"/>
      <c r="Q72" s="1"/>
      <c r="R72" s="3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3"/>
      <c r="Q73" s="1"/>
      <c r="R73" s="3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3"/>
      <c r="Q74" s="1"/>
      <c r="R74" s="3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3"/>
      <c r="Q75" s="1"/>
      <c r="R75" s="3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3"/>
      <c r="Q76" s="1"/>
      <c r="R76" s="3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3"/>
      <c r="Q77" s="1"/>
      <c r="R77" s="3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3"/>
      <c r="Q78" s="1"/>
      <c r="R78" s="3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3"/>
      <c r="Q79" s="1"/>
      <c r="R79" s="3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3"/>
      <c r="Q80" s="1"/>
      <c r="R80" s="3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3"/>
      <c r="Q81" s="1"/>
      <c r="R81" s="3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3"/>
      <c r="Q82" s="1"/>
      <c r="R82" s="3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3"/>
      <c r="Q83" s="1"/>
      <c r="R83" s="3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3"/>
      <c r="Q84" s="1"/>
      <c r="R84" s="3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3"/>
      <c r="Q85" s="1"/>
      <c r="R85" s="3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3"/>
      <c r="Q86" s="1"/>
      <c r="R86" s="3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3"/>
      <c r="Q87" s="1"/>
      <c r="R87" s="3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3"/>
      <c r="Q88" s="1"/>
      <c r="R88" s="3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3"/>
      <c r="Q89" s="1"/>
      <c r="R89" s="3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3"/>
      <c r="Q90" s="1"/>
      <c r="R90" s="3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3"/>
      <c r="Q91" s="1"/>
      <c r="R91" s="3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3"/>
      <c r="Q92" s="1"/>
      <c r="R92" s="3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3"/>
      <c r="Q93" s="1"/>
      <c r="R93" s="3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3"/>
      <c r="Q94" s="1"/>
      <c r="R94" s="3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3"/>
      <c r="Q95" s="1"/>
      <c r="R95" s="3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3"/>
      <c r="Q96" s="1"/>
      <c r="R96" s="3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3"/>
      <c r="Q97" s="1"/>
      <c r="R97" s="3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3"/>
      <c r="Q98" s="1"/>
      <c r="R98" s="3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3"/>
      <c r="Q99" s="1"/>
      <c r="R99" s="3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3"/>
      <c r="Q100" s="1"/>
      <c r="R100" s="3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3"/>
      <c r="Q101" s="1"/>
      <c r="R101" s="3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3"/>
      <c r="Q102" s="1"/>
      <c r="R102" s="3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3"/>
      <c r="Q103" s="1"/>
      <c r="R103" s="3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3"/>
      <c r="Q104" s="1"/>
      <c r="R104" s="3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3"/>
      <c r="Q105" s="1"/>
      <c r="R105" s="3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3"/>
      <c r="Q106" s="1"/>
      <c r="R106" s="3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3"/>
      <c r="Q107" s="1"/>
      <c r="R107" s="3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3"/>
      <c r="Q108" s="1"/>
      <c r="R108" s="3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3"/>
      <c r="Q109" s="1"/>
      <c r="R109" s="3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3"/>
      <c r="Q110" s="1"/>
      <c r="R110" s="3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3"/>
      <c r="Q111" s="1"/>
      <c r="R111" s="3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3"/>
      <c r="Q112" s="1"/>
      <c r="R112" s="3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3"/>
      <c r="Q113" s="1"/>
      <c r="R113" s="3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3"/>
      <c r="Q114" s="1"/>
      <c r="R114" s="3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3"/>
      <c r="Q115" s="1"/>
      <c r="R115" s="3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3"/>
      <c r="Q116" s="1"/>
      <c r="R116" s="3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3"/>
      <c r="Q117" s="1"/>
      <c r="R117" s="3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3"/>
      <c r="Q118" s="1"/>
      <c r="R118" s="3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3"/>
      <c r="Q119" s="1"/>
      <c r="R119" s="3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3"/>
      <c r="Q120" s="1"/>
      <c r="R120" s="3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3"/>
      <c r="Q121" s="1"/>
      <c r="R121" s="3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3"/>
      <c r="Q122" s="1"/>
      <c r="R122" s="3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3"/>
      <c r="Q123" s="1"/>
      <c r="R123" s="3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3"/>
      <c r="Q124" s="1"/>
      <c r="R124" s="3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3"/>
      <c r="Q125" s="1"/>
      <c r="R125" s="3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3"/>
      <c r="Q126" s="1"/>
      <c r="R126" s="3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3"/>
      <c r="Q127" s="1"/>
      <c r="R127" s="3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3"/>
      <c r="Q128" s="1"/>
      <c r="R128" s="3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3"/>
      <c r="Q129" s="1"/>
      <c r="R129" s="3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3"/>
      <c r="Q130" s="1"/>
      <c r="R130" s="3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3"/>
      <c r="Q131" s="1"/>
      <c r="R131" s="3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3"/>
      <c r="Q132" s="1"/>
      <c r="R132" s="3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3"/>
      <c r="Q133" s="1"/>
      <c r="R133" s="3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3"/>
      <c r="Q134" s="1"/>
      <c r="R134" s="3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3"/>
      <c r="Q135" s="1"/>
      <c r="R135" s="3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3"/>
      <c r="Q136" s="1"/>
      <c r="R136" s="3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3"/>
      <c r="Q137" s="1"/>
      <c r="R137" s="3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3"/>
      <c r="Q138" s="1"/>
      <c r="R138" s="3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3"/>
      <c r="Q139" s="1"/>
      <c r="R139" s="3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3"/>
      <c r="Q140" s="1"/>
      <c r="R140" s="3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3"/>
      <c r="Q141" s="1"/>
      <c r="R141" s="3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3"/>
      <c r="Q142" s="1"/>
      <c r="R142" s="3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3"/>
      <c r="Q143" s="1"/>
      <c r="R143" s="3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3"/>
      <c r="Q144" s="1"/>
      <c r="R144" s="3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3"/>
      <c r="Q145" s="1"/>
      <c r="R145" s="3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3"/>
      <c r="Q146" s="1"/>
      <c r="R146" s="3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3"/>
      <c r="Q147" s="1"/>
      <c r="R147" s="3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3"/>
      <c r="Q148" s="1"/>
      <c r="R148" s="3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3"/>
      <c r="Q149" s="1"/>
      <c r="R149" s="3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3"/>
      <c r="Q150" s="1"/>
      <c r="R150" s="3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3"/>
      <c r="Q151" s="1"/>
      <c r="R151" s="3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3"/>
      <c r="Q152" s="1"/>
      <c r="R152" s="3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3"/>
      <c r="Q153" s="1"/>
      <c r="R153" s="3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3"/>
      <c r="Q154" s="1"/>
      <c r="R154" s="3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3"/>
      <c r="Q155" s="1"/>
      <c r="R155" s="3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3"/>
      <c r="Q156" s="1"/>
      <c r="R156" s="3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3"/>
      <c r="Q157" s="1"/>
      <c r="R157" s="3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3"/>
      <c r="Q158" s="1"/>
      <c r="R158" s="3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3"/>
      <c r="Q159" s="1"/>
      <c r="R159" s="3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3"/>
      <c r="Q160" s="1"/>
      <c r="R160" s="3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3"/>
      <c r="Q161" s="1"/>
      <c r="R161" s="3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3"/>
      <c r="Q162" s="1"/>
      <c r="R162" s="3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3"/>
      <c r="Q163" s="1"/>
      <c r="R163" s="3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3"/>
      <c r="Q164" s="1"/>
      <c r="R164" s="3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3"/>
      <c r="Q165" s="1"/>
      <c r="R165" s="3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3"/>
      <c r="Q166" s="1"/>
      <c r="R166" s="3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3"/>
      <c r="Q167" s="1"/>
      <c r="R167" s="3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3"/>
      <c r="Q168" s="1"/>
      <c r="R168" s="3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3"/>
      <c r="Q169" s="1"/>
      <c r="R169" s="3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3"/>
      <c r="Q170" s="1"/>
      <c r="R170" s="3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3"/>
      <c r="Q171" s="1"/>
      <c r="R171" s="3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3"/>
      <c r="Q172" s="1"/>
      <c r="R172" s="3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3"/>
      <c r="Q173" s="1"/>
      <c r="R173" s="3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3"/>
      <c r="Q174" s="1"/>
      <c r="R174" s="3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3"/>
      <c r="Q175" s="1"/>
      <c r="R175" s="3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3"/>
      <c r="Q176" s="1"/>
      <c r="R176" s="3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3"/>
      <c r="Q177" s="1"/>
      <c r="R177" s="3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3"/>
      <c r="Q178" s="1"/>
      <c r="R178" s="3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3"/>
      <c r="Q179" s="1"/>
      <c r="R179" s="3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3"/>
      <c r="Q180" s="1"/>
      <c r="R180" s="3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3"/>
      <c r="Q181" s="1"/>
      <c r="R181" s="3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3"/>
      <c r="Q182" s="1"/>
      <c r="R182" s="3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3"/>
      <c r="Q183" s="1"/>
      <c r="R183" s="3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3"/>
      <c r="Q184" s="1"/>
      <c r="R184" s="3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3"/>
      <c r="Q185" s="1"/>
      <c r="R185" s="3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3"/>
      <c r="Q186" s="1"/>
      <c r="R186" s="3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3"/>
      <c r="Q187" s="1"/>
      <c r="R187" s="3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3"/>
      <c r="Q188" s="1"/>
      <c r="R188" s="3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3"/>
      <c r="Q189" s="1"/>
      <c r="R189" s="3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3"/>
      <c r="Q190" s="1"/>
      <c r="R190" s="3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3"/>
      <c r="Q191" s="1"/>
      <c r="R191" s="3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3"/>
      <c r="Q192" s="1"/>
      <c r="R192" s="3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3"/>
      <c r="Q193" s="1"/>
      <c r="R193" s="3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3"/>
      <c r="Q194" s="1"/>
      <c r="R194" s="3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3"/>
      <c r="Q195" s="1"/>
      <c r="R195" s="3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3"/>
      <c r="Q196" s="1"/>
      <c r="R196" s="3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3"/>
      <c r="Q197" s="1"/>
      <c r="R197" s="3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3"/>
      <c r="Q198" s="1"/>
      <c r="R198" s="3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3"/>
      <c r="Q199" s="1"/>
      <c r="R199" s="3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3"/>
      <c r="Q200" s="1"/>
      <c r="R200" s="3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3"/>
      <c r="Q201" s="1"/>
      <c r="R201" s="3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3"/>
      <c r="Q202" s="1"/>
      <c r="R202" s="3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3"/>
      <c r="Q203" s="1"/>
      <c r="R203" s="3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3"/>
      <c r="Q204" s="1"/>
      <c r="R204" s="3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3"/>
      <c r="Q205" s="1"/>
      <c r="R205" s="3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3"/>
      <c r="Q206" s="1"/>
      <c r="R206" s="3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3"/>
      <c r="Q207" s="1"/>
      <c r="R207" s="3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3"/>
      <c r="Q208" s="1"/>
      <c r="R208" s="3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3"/>
      <c r="Q209" s="1"/>
      <c r="R209" s="3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3"/>
      <c r="Q210" s="1"/>
      <c r="R210" s="3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3"/>
      <c r="Q211" s="1"/>
      <c r="R211" s="3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3"/>
      <c r="Q212" s="1"/>
      <c r="R212" s="3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3"/>
      <c r="Q213" s="1"/>
      <c r="R213" s="3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3"/>
      <c r="Q214" s="1"/>
      <c r="R214" s="3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3"/>
      <c r="Q215" s="1"/>
      <c r="R215" s="3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3"/>
      <c r="Q216" s="1"/>
      <c r="R216" s="3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3"/>
      <c r="Q217" s="1"/>
      <c r="R217" s="3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3"/>
      <c r="Q218" s="1"/>
      <c r="R218" s="3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3"/>
      <c r="Q219" s="1"/>
      <c r="R219" s="3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3"/>
      <c r="Q220" s="1"/>
      <c r="R220" s="3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3"/>
      <c r="Q221" s="1"/>
      <c r="R221" s="3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3"/>
      <c r="Q222" s="1"/>
      <c r="R222" s="3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3"/>
      <c r="Q223" s="1"/>
      <c r="R223" s="3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3"/>
      <c r="Q224" s="1"/>
      <c r="R224" s="3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3"/>
      <c r="Q225" s="1"/>
      <c r="R225" s="3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3"/>
      <c r="Q226" s="1"/>
      <c r="R226" s="3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3"/>
      <c r="Q227" s="1"/>
      <c r="R227" s="3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3"/>
      <c r="Q228" s="1"/>
      <c r="R228" s="3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3"/>
      <c r="Q229" s="1"/>
      <c r="R229" s="3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3"/>
      <c r="Q230" s="1"/>
      <c r="R230" s="3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3"/>
      <c r="Q231" s="1"/>
      <c r="R231" s="3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3"/>
      <c r="Q232" s="1"/>
      <c r="R232" s="3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3"/>
      <c r="Q233" s="1"/>
      <c r="R233" s="3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3"/>
      <c r="Q234" s="1"/>
      <c r="R234" s="3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3"/>
      <c r="Q235" s="1"/>
      <c r="R235" s="3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3"/>
      <c r="Q236" s="1"/>
      <c r="R236" s="3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3"/>
      <c r="Q237" s="1"/>
      <c r="R237" s="3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3"/>
      <c r="Q238" s="1"/>
      <c r="R238" s="3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3"/>
      <c r="Q239" s="1"/>
      <c r="R239" s="3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3"/>
      <c r="Q240" s="1"/>
      <c r="R240" s="3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3"/>
      <c r="Q241" s="1"/>
      <c r="R241" s="3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3"/>
      <c r="Q242" s="1"/>
      <c r="R242" s="3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3"/>
      <c r="Q243" s="1"/>
      <c r="R243" s="3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3"/>
      <c r="Q244" s="1"/>
      <c r="R244" s="3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3"/>
      <c r="Q245" s="1"/>
      <c r="R245" s="3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3"/>
      <c r="Q246" s="1"/>
      <c r="R246" s="3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3"/>
      <c r="Q247" s="1"/>
      <c r="R247" s="3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3"/>
      <c r="Q248" s="1"/>
      <c r="R248" s="3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3"/>
      <c r="Q249" s="1"/>
      <c r="R249" s="3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3"/>
      <c r="Q250" s="1"/>
      <c r="R250" s="3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3"/>
      <c r="Q251" s="1"/>
      <c r="R251" s="3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3"/>
      <c r="Q252" s="1"/>
      <c r="R252" s="3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3"/>
      <c r="Q253" s="1"/>
      <c r="R253" s="3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3"/>
      <c r="Q254" s="1"/>
      <c r="R254" s="3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3"/>
      <c r="Q255" s="1"/>
      <c r="R255" s="3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3"/>
      <c r="Q256" s="1"/>
      <c r="R256" s="3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3"/>
      <c r="Q257" s="1"/>
      <c r="R257" s="3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3"/>
      <c r="Q258" s="1"/>
      <c r="R258" s="3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3"/>
      <c r="Q259" s="1"/>
      <c r="R259" s="3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3"/>
      <c r="Q260" s="1"/>
      <c r="R260" s="3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3"/>
      <c r="Q261" s="1"/>
      <c r="R261" s="3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3"/>
      <c r="Q262" s="1"/>
      <c r="R262" s="3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3"/>
      <c r="Q263" s="1"/>
      <c r="R263" s="3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3"/>
      <c r="Q264" s="1"/>
      <c r="R264" s="3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3"/>
      <c r="Q265" s="1"/>
      <c r="R265" s="3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3"/>
      <c r="Q266" s="1"/>
      <c r="R266" s="3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3"/>
      <c r="Q267" s="1"/>
      <c r="R267" s="3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3"/>
      <c r="Q268" s="1"/>
      <c r="R268" s="3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3"/>
      <c r="Q269" s="1"/>
      <c r="R269" s="3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3"/>
      <c r="Q270" s="1"/>
      <c r="R270" s="3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3"/>
      <c r="Q271" s="1"/>
      <c r="R271" s="3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3"/>
      <c r="Q272" s="1"/>
      <c r="R272" s="3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3"/>
      <c r="Q273" s="1"/>
      <c r="R273" s="3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3"/>
      <c r="Q274" s="1"/>
      <c r="R274" s="3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3"/>
      <c r="Q275" s="1"/>
      <c r="R275" s="3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3"/>
      <c r="Q276" s="1"/>
      <c r="R276" s="3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3"/>
      <c r="Q277" s="1"/>
      <c r="R277" s="3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3"/>
      <c r="Q278" s="1"/>
      <c r="R278" s="3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3"/>
      <c r="Q279" s="1"/>
      <c r="R279" s="3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3"/>
      <c r="Q280" s="1"/>
      <c r="R280" s="3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3"/>
      <c r="Q281" s="1"/>
      <c r="R281" s="3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3"/>
      <c r="Q282" s="1"/>
      <c r="R282" s="3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3"/>
      <c r="Q283" s="1"/>
      <c r="R283" s="3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3"/>
      <c r="Q284" s="1"/>
      <c r="R284" s="3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3"/>
      <c r="Q285" s="1"/>
      <c r="R285" s="3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3"/>
      <c r="Q286" s="1"/>
      <c r="R286" s="3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3"/>
      <c r="Q287" s="1"/>
      <c r="R287" s="3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3"/>
      <c r="Q288" s="1"/>
      <c r="R288" s="3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3"/>
      <c r="Q289" s="1"/>
      <c r="R289" s="3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3"/>
      <c r="Q290" s="1"/>
      <c r="R290" s="3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3"/>
      <c r="Q291" s="1"/>
      <c r="R291" s="3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3"/>
      <c r="Q292" s="1"/>
      <c r="R292" s="3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3"/>
      <c r="Q293" s="1"/>
      <c r="R293" s="3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3"/>
      <c r="Q294" s="1"/>
      <c r="R294" s="3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3"/>
      <c r="Q295" s="1"/>
      <c r="R295" s="3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3"/>
      <c r="Q296" s="1"/>
      <c r="R296" s="3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3"/>
      <c r="Q297" s="1"/>
      <c r="R297" s="3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3"/>
      <c r="Q298" s="1"/>
      <c r="R298" s="3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3"/>
      <c r="Q299" s="1"/>
      <c r="R299" s="3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3"/>
      <c r="Q300" s="1"/>
      <c r="R300" s="3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3"/>
      <c r="Q301" s="1"/>
      <c r="R301" s="3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3"/>
      <c r="Q302" s="1"/>
      <c r="R302" s="3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3"/>
      <c r="Q303" s="1"/>
      <c r="R303" s="3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3"/>
      <c r="Q304" s="1"/>
      <c r="R304" s="3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3"/>
      <c r="Q305" s="1"/>
      <c r="R305" s="3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3"/>
      <c r="Q306" s="1"/>
      <c r="R306" s="3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3"/>
      <c r="Q307" s="1"/>
      <c r="R307" s="3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3"/>
      <c r="Q308" s="1"/>
      <c r="R308" s="3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3"/>
      <c r="Q309" s="1"/>
      <c r="R309" s="3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3"/>
      <c r="Q310" s="1"/>
      <c r="R310" s="3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3"/>
      <c r="Q311" s="1"/>
      <c r="R311" s="3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3"/>
      <c r="Q312" s="1"/>
      <c r="R312" s="3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3"/>
      <c r="Q313" s="1"/>
      <c r="R313" s="3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3"/>
      <c r="Q314" s="1"/>
      <c r="R314" s="3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3"/>
      <c r="Q315" s="1"/>
      <c r="R315" s="3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3"/>
      <c r="Q316" s="1"/>
      <c r="R316" s="3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3"/>
      <c r="Q317" s="1"/>
      <c r="R317" s="3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3"/>
      <c r="Q318" s="1"/>
      <c r="R318" s="3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3"/>
      <c r="Q319" s="1"/>
      <c r="R319" s="3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3"/>
      <c r="Q320" s="1"/>
      <c r="R320" s="3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3"/>
      <c r="Q321" s="1"/>
      <c r="R321" s="3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3"/>
      <c r="Q322" s="1"/>
      <c r="R322" s="3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3"/>
      <c r="Q323" s="1"/>
      <c r="R323" s="3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3"/>
      <c r="Q324" s="1"/>
      <c r="R324" s="3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3"/>
      <c r="Q325" s="1"/>
      <c r="R325" s="3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3"/>
      <c r="Q326" s="1"/>
      <c r="R326" s="3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3"/>
      <c r="Q327" s="1"/>
      <c r="R327" s="3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3"/>
      <c r="Q328" s="1"/>
      <c r="R328" s="3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3"/>
      <c r="Q329" s="1"/>
      <c r="R329" s="3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3"/>
      <c r="Q330" s="1"/>
      <c r="R330" s="3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3"/>
      <c r="Q331" s="1"/>
      <c r="R331" s="3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3"/>
      <c r="Q332" s="1"/>
      <c r="R332" s="3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3"/>
      <c r="Q333" s="1"/>
      <c r="R333" s="3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3"/>
      <c r="Q334" s="1"/>
      <c r="R334" s="3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3"/>
      <c r="Q335" s="1"/>
      <c r="R335" s="3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3"/>
      <c r="Q336" s="1"/>
      <c r="R336" s="3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3"/>
      <c r="Q337" s="1"/>
      <c r="R337" s="3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3"/>
      <c r="Q338" s="1"/>
      <c r="R338" s="3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3"/>
      <c r="Q339" s="1"/>
      <c r="R339" s="3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3"/>
      <c r="Q340" s="1"/>
      <c r="R340" s="3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3"/>
      <c r="Q341" s="1"/>
      <c r="R341" s="3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3"/>
      <c r="Q342" s="1"/>
      <c r="R342" s="3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3"/>
      <c r="Q343" s="1"/>
      <c r="R343" s="3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3"/>
      <c r="Q344" s="1"/>
      <c r="R344" s="3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3"/>
      <c r="Q345" s="1"/>
      <c r="R345" s="3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3"/>
      <c r="Q346" s="1"/>
      <c r="R346" s="3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3"/>
      <c r="Q347" s="1"/>
      <c r="R347" s="3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3"/>
      <c r="Q348" s="1"/>
      <c r="R348" s="3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3"/>
      <c r="Q349" s="1"/>
      <c r="R349" s="3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3"/>
      <c r="Q350" s="1"/>
      <c r="R350" s="3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3"/>
      <c r="Q351" s="1"/>
      <c r="R351" s="3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3"/>
      <c r="Q352" s="1"/>
      <c r="R352" s="3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3"/>
      <c r="Q353" s="1"/>
      <c r="R353" s="3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3"/>
      <c r="Q354" s="1"/>
      <c r="R354" s="3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3"/>
      <c r="Q355" s="1"/>
      <c r="R355" s="3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3"/>
      <c r="Q356" s="1"/>
      <c r="R356" s="3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3"/>
      <c r="Q357" s="1"/>
      <c r="R357" s="3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3"/>
      <c r="Q358" s="1"/>
      <c r="R358" s="3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3"/>
      <c r="Q359" s="1"/>
      <c r="R359" s="3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3"/>
      <c r="Q360" s="1"/>
      <c r="R360" s="3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3"/>
      <c r="Q361" s="1"/>
      <c r="R361" s="3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3"/>
      <c r="Q362" s="1"/>
      <c r="R362" s="3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3"/>
      <c r="Q363" s="1"/>
      <c r="R363" s="3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3"/>
      <c r="Q364" s="1"/>
      <c r="R364" s="3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3"/>
      <c r="Q365" s="1"/>
      <c r="R365" s="3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3"/>
      <c r="Q366" s="1"/>
      <c r="R366" s="3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3"/>
      <c r="Q367" s="1"/>
      <c r="R367" s="3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3"/>
      <c r="Q368" s="1"/>
      <c r="R368" s="3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3"/>
      <c r="Q369" s="1"/>
      <c r="R369" s="3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3"/>
      <c r="Q370" s="1"/>
      <c r="R370" s="3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3"/>
      <c r="Q371" s="1"/>
      <c r="R371" s="3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3"/>
      <c r="Q372" s="1"/>
      <c r="R372" s="3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3"/>
      <c r="Q373" s="1"/>
      <c r="R373" s="3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3"/>
      <c r="Q374" s="1"/>
      <c r="R374" s="3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3"/>
      <c r="Q375" s="1"/>
      <c r="R375" s="3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3"/>
      <c r="Q376" s="1"/>
      <c r="R376" s="3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3"/>
      <c r="Q377" s="1"/>
      <c r="R377" s="3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3"/>
      <c r="Q378" s="1"/>
      <c r="R378" s="3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3"/>
      <c r="Q379" s="1"/>
      <c r="R379" s="3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3"/>
      <c r="Q380" s="1"/>
      <c r="R380" s="3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3"/>
      <c r="Q381" s="1"/>
      <c r="R381" s="3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3"/>
      <c r="Q382" s="1"/>
      <c r="R382" s="3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3"/>
      <c r="Q383" s="1"/>
      <c r="R383" s="3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3"/>
      <c r="Q384" s="1"/>
      <c r="R384" s="3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3"/>
      <c r="Q385" s="1"/>
      <c r="R385" s="3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3"/>
      <c r="Q386" s="1"/>
      <c r="R386" s="3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3"/>
      <c r="Q387" s="1"/>
      <c r="R387" s="3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3"/>
      <c r="Q388" s="1"/>
      <c r="R388" s="3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3"/>
      <c r="Q389" s="1"/>
      <c r="R389" s="3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3"/>
      <c r="Q390" s="1"/>
      <c r="R390" s="3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3"/>
      <c r="Q391" s="1"/>
      <c r="R391" s="3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3"/>
      <c r="Q392" s="1"/>
      <c r="R392" s="3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3"/>
      <c r="Q393" s="1"/>
      <c r="R393" s="3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3"/>
      <c r="Q394" s="1"/>
      <c r="R394" s="3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3"/>
      <c r="Q395" s="1"/>
      <c r="R395" s="3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3"/>
      <c r="Q396" s="1"/>
      <c r="R396" s="3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3"/>
      <c r="Q397" s="1"/>
      <c r="R397" s="3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3"/>
      <c r="Q398" s="1"/>
      <c r="R398" s="3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3"/>
      <c r="Q399" s="1"/>
      <c r="R399" s="3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3"/>
      <c r="Q400" s="1"/>
      <c r="R400" s="3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3"/>
      <c r="Q401" s="1"/>
      <c r="R401" s="3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3"/>
      <c r="Q402" s="1"/>
      <c r="R402" s="3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3"/>
      <c r="Q403" s="1"/>
      <c r="R403" s="3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3"/>
      <c r="Q404" s="1"/>
      <c r="R404" s="3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3"/>
      <c r="Q405" s="1"/>
      <c r="R405" s="3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3"/>
      <c r="Q406" s="1"/>
      <c r="R406" s="3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3"/>
      <c r="Q407" s="1"/>
      <c r="R407" s="3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3"/>
      <c r="Q408" s="1"/>
      <c r="R408" s="3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3"/>
      <c r="Q409" s="1"/>
      <c r="R409" s="3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3"/>
      <c r="Q410" s="1"/>
      <c r="R410" s="3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3"/>
      <c r="Q411" s="1"/>
      <c r="R411" s="3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3"/>
      <c r="Q412" s="1"/>
      <c r="R412" s="3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3"/>
      <c r="Q413" s="1"/>
      <c r="R413" s="3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3"/>
      <c r="Q414" s="1"/>
      <c r="R414" s="3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3"/>
      <c r="Q415" s="1"/>
      <c r="R415" s="3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3"/>
      <c r="Q416" s="1"/>
      <c r="R416" s="3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3"/>
      <c r="Q417" s="1"/>
      <c r="R417" s="3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3"/>
      <c r="Q418" s="1"/>
      <c r="R418" s="3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3"/>
      <c r="Q419" s="1"/>
      <c r="R419" s="3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3"/>
      <c r="Q420" s="1"/>
      <c r="R420" s="3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3"/>
      <c r="Q421" s="1"/>
      <c r="R421" s="3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3"/>
      <c r="Q422" s="1"/>
      <c r="R422" s="3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3"/>
      <c r="Q423" s="1"/>
      <c r="R423" s="3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3"/>
      <c r="Q424" s="1"/>
      <c r="R424" s="3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3"/>
      <c r="Q425" s="1"/>
      <c r="R425" s="3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3"/>
      <c r="Q426" s="1"/>
      <c r="R426" s="3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3"/>
      <c r="Q427" s="1"/>
      <c r="R427" s="3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3"/>
      <c r="Q428" s="1"/>
      <c r="R428" s="3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3"/>
      <c r="Q429" s="1"/>
      <c r="R429" s="3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3"/>
      <c r="Q430" s="1"/>
      <c r="R430" s="3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3"/>
      <c r="Q431" s="1"/>
      <c r="R431" s="3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3"/>
      <c r="Q432" s="1"/>
      <c r="R432" s="3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3"/>
      <c r="Q433" s="1"/>
      <c r="R433" s="3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3"/>
      <c r="Q434" s="1"/>
      <c r="R434" s="3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3"/>
      <c r="Q435" s="1"/>
      <c r="R435" s="3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3"/>
      <c r="Q436" s="1"/>
      <c r="R436" s="3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3"/>
      <c r="Q437" s="1"/>
      <c r="R437" s="3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3"/>
      <c r="Q438" s="1"/>
      <c r="R438" s="3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3"/>
      <c r="Q439" s="1"/>
      <c r="R439" s="3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3"/>
      <c r="Q440" s="1"/>
      <c r="R440" s="3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3"/>
      <c r="Q441" s="1"/>
      <c r="R441" s="3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3"/>
      <c r="Q442" s="1"/>
      <c r="R442" s="3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3"/>
      <c r="Q443" s="1"/>
      <c r="R443" s="3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3"/>
      <c r="Q444" s="1"/>
      <c r="R444" s="3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3"/>
      <c r="Q445" s="1"/>
      <c r="R445" s="3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3"/>
      <c r="Q446" s="1"/>
      <c r="R446" s="3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3"/>
      <c r="Q447" s="1"/>
      <c r="R447" s="3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3"/>
      <c r="Q448" s="1"/>
      <c r="R448" s="3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3"/>
      <c r="Q449" s="1"/>
      <c r="R449" s="3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3"/>
      <c r="Q450" s="1"/>
      <c r="R450" s="3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3"/>
      <c r="Q451" s="1"/>
      <c r="R451" s="3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3"/>
      <c r="Q452" s="1"/>
      <c r="R452" s="3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3"/>
      <c r="Q453" s="1"/>
      <c r="R453" s="3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3"/>
      <c r="Q454" s="1"/>
      <c r="R454" s="3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3"/>
      <c r="Q455" s="1"/>
      <c r="R455" s="3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3"/>
      <c r="Q456" s="1"/>
      <c r="R456" s="3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3"/>
      <c r="Q457" s="1"/>
      <c r="R457" s="3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3"/>
      <c r="Q458" s="1"/>
      <c r="R458" s="3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3"/>
      <c r="Q459" s="1"/>
      <c r="R459" s="3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3"/>
      <c r="Q460" s="1"/>
      <c r="R460" s="3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3"/>
      <c r="Q461" s="1"/>
      <c r="R461" s="3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3"/>
      <c r="Q462" s="1"/>
      <c r="R462" s="3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3"/>
      <c r="Q463" s="1"/>
      <c r="R463" s="3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3"/>
      <c r="Q464" s="1"/>
      <c r="R464" s="3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3"/>
      <c r="Q465" s="1"/>
      <c r="R465" s="3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3"/>
      <c r="Q466" s="1"/>
      <c r="R466" s="3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3"/>
      <c r="Q467" s="1"/>
      <c r="R467" s="3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3"/>
      <c r="Q468" s="1"/>
      <c r="R468" s="3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3"/>
      <c r="Q469" s="1"/>
      <c r="R469" s="3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3"/>
      <c r="Q470" s="1"/>
      <c r="R470" s="3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3"/>
      <c r="Q471" s="1"/>
      <c r="R471" s="3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3"/>
      <c r="Q472" s="1"/>
      <c r="R472" s="3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3"/>
      <c r="Q473" s="1"/>
      <c r="R473" s="3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3"/>
      <c r="Q474" s="1"/>
      <c r="R474" s="3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3"/>
      <c r="Q475" s="1"/>
      <c r="R475" s="3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3"/>
      <c r="Q476" s="1"/>
      <c r="R476" s="3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3"/>
      <c r="Q477" s="1"/>
      <c r="R477" s="3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3"/>
      <c r="Q478" s="1"/>
      <c r="R478" s="3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3"/>
      <c r="Q479" s="1"/>
      <c r="R479" s="3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3"/>
      <c r="Q480" s="1"/>
      <c r="R480" s="3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3"/>
      <c r="Q481" s="1"/>
      <c r="R481" s="3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3"/>
      <c r="Q482" s="1"/>
      <c r="R482" s="3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3"/>
      <c r="Q483" s="1"/>
      <c r="R483" s="3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3"/>
      <c r="Q484" s="1"/>
      <c r="R484" s="3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3"/>
      <c r="Q485" s="1"/>
      <c r="R485" s="3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3"/>
      <c r="Q486" s="1"/>
      <c r="R486" s="3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3"/>
      <c r="Q487" s="1"/>
      <c r="R487" s="3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3"/>
      <c r="Q488" s="1"/>
      <c r="R488" s="3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3"/>
      <c r="Q489" s="1"/>
      <c r="R489" s="3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3"/>
      <c r="Q490" s="1"/>
      <c r="R490" s="3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3"/>
      <c r="Q491" s="1"/>
      <c r="R491" s="3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3"/>
      <c r="Q492" s="1"/>
      <c r="R492" s="3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3"/>
      <c r="Q493" s="1"/>
      <c r="R493" s="3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3"/>
      <c r="Q494" s="1"/>
      <c r="R494" s="3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3"/>
      <c r="Q495" s="1"/>
      <c r="R495" s="3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3"/>
      <c r="Q496" s="1"/>
      <c r="R496" s="3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3"/>
      <c r="Q497" s="1"/>
      <c r="R497" s="3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3"/>
      <c r="Q498" s="1"/>
      <c r="R498" s="3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3"/>
      <c r="Q499" s="1"/>
      <c r="R499" s="3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3"/>
      <c r="Q500" s="1"/>
      <c r="R500" s="3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3"/>
      <c r="Q501" s="1"/>
      <c r="R501" s="3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3"/>
      <c r="Q502" s="1"/>
      <c r="R502" s="3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3"/>
      <c r="Q503" s="1"/>
      <c r="R503" s="3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3"/>
      <c r="Q504" s="1"/>
      <c r="R504" s="3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3"/>
      <c r="Q505" s="1"/>
      <c r="R505" s="3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3"/>
      <c r="Q506" s="1"/>
      <c r="R506" s="3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3"/>
      <c r="Q507" s="1"/>
      <c r="R507" s="3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3"/>
      <c r="Q508" s="1"/>
      <c r="R508" s="3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3"/>
      <c r="Q509" s="1"/>
      <c r="R509" s="3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3"/>
      <c r="Q510" s="1"/>
      <c r="R510" s="3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3"/>
      <c r="Q511" s="1"/>
      <c r="R511" s="3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3"/>
      <c r="Q512" s="1"/>
      <c r="R512" s="3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3"/>
      <c r="Q513" s="1"/>
      <c r="R513" s="3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3"/>
      <c r="Q514" s="1"/>
      <c r="R514" s="3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3"/>
      <c r="Q515" s="1"/>
      <c r="R515" s="3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3"/>
      <c r="Q516" s="1"/>
      <c r="R516" s="3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3"/>
      <c r="Q517" s="1"/>
      <c r="R517" s="3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3"/>
      <c r="Q518" s="1"/>
      <c r="R518" s="3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3"/>
      <c r="Q519" s="1"/>
      <c r="R519" s="3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3"/>
      <c r="Q520" s="1"/>
      <c r="R520" s="3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3"/>
      <c r="Q521" s="1"/>
      <c r="R521" s="3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3"/>
      <c r="Q522" s="1"/>
      <c r="R522" s="3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3"/>
      <c r="Q523" s="1"/>
      <c r="R523" s="3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3"/>
      <c r="Q524" s="1"/>
      <c r="R524" s="3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3"/>
      <c r="Q525" s="1"/>
      <c r="R525" s="3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3"/>
      <c r="Q526" s="1"/>
      <c r="R526" s="3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3"/>
      <c r="Q527" s="1"/>
      <c r="R527" s="3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3"/>
      <c r="Q528" s="1"/>
      <c r="R528" s="3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3"/>
      <c r="Q529" s="1"/>
      <c r="R529" s="3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3"/>
      <c r="Q530" s="1"/>
      <c r="R530" s="3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3"/>
      <c r="Q531" s="1"/>
      <c r="R531" s="3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3"/>
      <c r="Q532" s="1"/>
      <c r="R532" s="3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3"/>
      <c r="Q533" s="1"/>
      <c r="R533" s="3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3"/>
      <c r="Q534" s="1"/>
      <c r="R534" s="3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3"/>
      <c r="Q535" s="1"/>
      <c r="R535" s="3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3"/>
      <c r="Q536" s="1"/>
      <c r="R536" s="3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3"/>
      <c r="Q537" s="1"/>
      <c r="R537" s="3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3"/>
      <c r="Q538" s="1"/>
      <c r="R538" s="3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3"/>
      <c r="Q539" s="1"/>
      <c r="R539" s="3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3"/>
      <c r="Q540" s="1"/>
      <c r="R540" s="3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3"/>
      <c r="Q541" s="1"/>
      <c r="R541" s="3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3"/>
      <c r="Q542" s="1"/>
      <c r="R542" s="3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3"/>
      <c r="Q543" s="1"/>
      <c r="R543" s="3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3"/>
      <c r="Q544" s="1"/>
      <c r="R544" s="3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3"/>
      <c r="Q545" s="1"/>
      <c r="R545" s="3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3"/>
      <c r="Q546" s="1"/>
      <c r="R546" s="3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3"/>
      <c r="Q547" s="1"/>
      <c r="R547" s="3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3"/>
      <c r="Q548" s="1"/>
      <c r="R548" s="3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3"/>
      <c r="Q549" s="1"/>
      <c r="R549" s="3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3"/>
      <c r="Q550" s="1"/>
      <c r="R550" s="3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3"/>
      <c r="Q551" s="1"/>
      <c r="R551" s="3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3"/>
      <c r="Q552" s="1"/>
      <c r="R552" s="3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3"/>
      <c r="Q553" s="1"/>
      <c r="R553" s="3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3"/>
      <c r="Q554" s="1"/>
      <c r="R554" s="3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3"/>
      <c r="Q555" s="1"/>
      <c r="R555" s="3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3"/>
      <c r="Q556" s="1"/>
      <c r="R556" s="3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3"/>
      <c r="Q557" s="1"/>
      <c r="R557" s="3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3"/>
      <c r="Q558" s="1"/>
      <c r="R558" s="3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3"/>
      <c r="Q559" s="1"/>
      <c r="R559" s="3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3"/>
      <c r="Q560" s="1"/>
      <c r="R560" s="3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3"/>
      <c r="Q561" s="1"/>
      <c r="R561" s="3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3"/>
      <c r="Q562" s="1"/>
      <c r="R562" s="3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3"/>
      <c r="Q563" s="1"/>
      <c r="R563" s="3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3"/>
      <c r="Q564" s="1"/>
      <c r="R564" s="3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3"/>
      <c r="Q565" s="1"/>
      <c r="R565" s="3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3"/>
      <c r="Q566" s="1"/>
      <c r="R566" s="3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3"/>
      <c r="Q567" s="1"/>
      <c r="R567" s="3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3"/>
      <c r="Q568" s="1"/>
      <c r="R568" s="3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3"/>
      <c r="Q569" s="1"/>
      <c r="R569" s="3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3"/>
      <c r="Q570" s="1"/>
      <c r="R570" s="3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3"/>
      <c r="Q571" s="1"/>
      <c r="R571" s="3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3"/>
      <c r="Q572" s="1"/>
      <c r="R572" s="3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3"/>
      <c r="Q573" s="1"/>
      <c r="R573" s="3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3"/>
      <c r="Q574" s="1"/>
      <c r="R574" s="3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3"/>
      <c r="Q575" s="1"/>
      <c r="R575" s="3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3"/>
      <c r="Q576" s="1"/>
      <c r="R576" s="3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3"/>
      <c r="Q577" s="1"/>
      <c r="R577" s="3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3"/>
      <c r="Q578" s="1"/>
      <c r="R578" s="3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3"/>
      <c r="Q579" s="1"/>
      <c r="R579" s="3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3"/>
      <c r="Q580" s="1"/>
      <c r="R580" s="3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3"/>
      <c r="Q581" s="1"/>
      <c r="R581" s="3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3"/>
      <c r="Q582" s="1"/>
      <c r="R582" s="3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3"/>
      <c r="Q583" s="1"/>
      <c r="R583" s="3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3"/>
      <c r="Q584" s="1"/>
      <c r="R584" s="3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3"/>
      <c r="Q585" s="1"/>
      <c r="R585" s="3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3"/>
      <c r="Q586" s="1"/>
      <c r="R586" s="3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3"/>
      <c r="Q587" s="1"/>
      <c r="R587" s="3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3"/>
      <c r="Q588" s="1"/>
      <c r="R588" s="3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3"/>
      <c r="Q589" s="1"/>
      <c r="R589" s="3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3"/>
      <c r="Q590" s="1"/>
      <c r="R590" s="3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3"/>
      <c r="Q591" s="1"/>
      <c r="R591" s="3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3"/>
      <c r="Q592" s="1"/>
      <c r="R592" s="3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3"/>
      <c r="Q593" s="1"/>
      <c r="R593" s="3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3"/>
      <c r="Q594" s="1"/>
      <c r="R594" s="3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3"/>
      <c r="Q595" s="1"/>
      <c r="R595" s="3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3"/>
      <c r="Q596" s="1"/>
      <c r="R596" s="3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3"/>
      <c r="Q597" s="1"/>
      <c r="R597" s="3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3"/>
      <c r="Q598" s="1"/>
      <c r="R598" s="3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3"/>
      <c r="Q599" s="1"/>
      <c r="R599" s="3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3"/>
      <c r="Q600" s="1"/>
      <c r="R600" s="3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3"/>
      <c r="Q601" s="1"/>
      <c r="R601" s="3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3"/>
      <c r="Q602" s="1"/>
      <c r="R602" s="3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3"/>
      <c r="Q603" s="1"/>
      <c r="R603" s="3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3"/>
      <c r="Q604" s="1"/>
      <c r="R604" s="3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3"/>
      <c r="Q605" s="1"/>
      <c r="R605" s="3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3"/>
      <c r="Q606" s="1"/>
      <c r="R606" s="3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3"/>
      <c r="Q607" s="1"/>
      <c r="R607" s="3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3"/>
      <c r="Q608" s="1"/>
      <c r="R608" s="3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3"/>
      <c r="Q609" s="1"/>
      <c r="R609" s="3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3"/>
      <c r="Q610" s="1"/>
      <c r="R610" s="3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3"/>
      <c r="Q611" s="1"/>
      <c r="R611" s="3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3"/>
      <c r="Q612" s="1"/>
      <c r="R612" s="3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3"/>
      <c r="Q613" s="1"/>
      <c r="R613" s="3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3"/>
      <c r="Q614" s="1"/>
      <c r="R614" s="3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3"/>
      <c r="Q615" s="1"/>
      <c r="R615" s="3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3"/>
      <c r="Q616" s="1"/>
      <c r="R616" s="3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3"/>
      <c r="Q617" s="1"/>
      <c r="R617" s="3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3"/>
      <c r="Q618" s="1"/>
      <c r="R618" s="3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3"/>
      <c r="Q619" s="1"/>
      <c r="R619" s="3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3"/>
      <c r="Q620" s="1"/>
      <c r="R620" s="3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3"/>
      <c r="Q621" s="1"/>
      <c r="R621" s="3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3"/>
      <c r="Q622" s="1"/>
      <c r="R622" s="3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3"/>
      <c r="Q623" s="1"/>
      <c r="R623" s="3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3"/>
      <c r="Q624" s="1"/>
      <c r="R624" s="3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3"/>
      <c r="Q625" s="1"/>
      <c r="R625" s="3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3"/>
      <c r="Q626" s="1"/>
      <c r="R626" s="3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3"/>
      <c r="Q627" s="1"/>
      <c r="R627" s="3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3"/>
      <c r="Q628" s="1"/>
      <c r="R628" s="3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3"/>
      <c r="Q629" s="1"/>
      <c r="R629" s="3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3"/>
      <c r="Q630" s="1"/>
      <c r="R630" s="3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3"/>
      <c r="Q631" s="1"/>
      <c r="R631" s="3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3"/>
      <c r="Q632" s="1"/>
      <c r="R632" s="3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3"/>
      <c r="Q633" s="1"/>
      <c r="R633" s="3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3"/>
      <c r="Q634" s="1"/>
      <c r="R634" s="3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3"/>
      <c r="Q635" s="1"/>
      <c r="R635" s="3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3"/>
      <c r="Q636" s="1"/>
      <c r="R636" s="3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3"/>
      <c r="Q637" s="1"/>
      <c r="R637" s="3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3"/>
      <c r="Q638" s="1"/>
      <c r="R638" s="3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3"/>
      <c r="Q639" s="1"/>
      <c r="R639" s="3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3"/>
      <c r="Q640" s="1"/>
      <c r="R640" s="3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3"/>
      <c r="Q641" s="1"/>
      <c r="R641" s="3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3"/>
      <c r="Q642" s="1"/>
      <c r="R642" s="3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3"/>
      <c r="Q643" s="1"/>
      <c r="R643" s="3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3"/>
      <c r="Q644" s="1"/>
      <c r="R644" s="3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3"/>
      <c r="Q645" s="1"/>
      <c r="R645" s="3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3"/>
      <c r="Q646" s="1"/>
      <c r="R646" s="3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3"/>
      <c r="Q647" s="1"/>
      <c r="R647" s="3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3"/>
      <c r="Q648" s="1"/>
      <c r="R648" s="3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3"/>
      <c r="Q649" s="1"/>
      <c r="R649" s="3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3"/>
      <c r="Q650" s="1"/>
      <c r="R650" s="3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3"/>
      <c r="Q651" s="1"/>
      <c r="R651" s="3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3"/>
      <c r="Q652" s="1"/>
      <c r="R652" s="3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3"/>
      <c r="Q653" s="1"/>
      <c r="R653" s="3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3"/>
      <c r="Q654" s="1"/>
      <c r="R654" s="3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3"/>
      <c r="Q655" s="1"/>
      <c r="R655" s="3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3"/>
      <c r="Q656" s="1"/>
      <c r="R656" s="3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3"/>
      <c r="Q657" s="1"/>
      <c r="R657" s="3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3"/>
      <c r="Q658" s="1"/>
      <c r="R658" s="3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3"/>
      <c r="Q659" s="1"/>
      <c r="R659" s="3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3"/>
      <c r="Q660" s="1"/>
      <c r="R660" s="3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3"/>
      <c r="Q661" s="1"/>
      <c r="R661" s="3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3"/>
      <c r="Q662" s="1"/>
      <c r="R662" s="3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3"/>
      <c r="Q663" s="1"/>
      <c r="R663" s="3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3"/>
      <c r="Q664" s="1"/>
      <c r="R664" s="3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3"/>
      <c r="Q665" s="1"/>
      <c r="R665" s="3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3"/>
      <c r="Q666" s="1"/>
      <c r="R666" s="3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3"/>
      <c r="Q667" s="1"/>
      <c r="R667" s="3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3"/>
      <c r="Q668" s="1"/>
      <c r="R668" s="3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3"/>
      <c r="Q669" s="1"/>
      <c r="R669" s="3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3"/>
      <c r="Q670" s="1"/>
      <c r="R670" s="3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3"/>
      <c r="Q671" s="1"/>
      <c r="R671" s="3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3"/>
      <c r="Q672" s="1"/>
      <c r="R672" s="3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3"/>
      <c r="Q673" s="1"/>
      <c r="R673" s="3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3"/>
      <c r="Q674" s="1"/>
      <c r="R674" s="3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3"/>
      <c r="Q675" s="1"/>
      <c r="R675" s="3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3"/>
      <c r="Q676" s="1"/>
      <c r="R676" s="3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3"/>
      <c r="Q677" s="1"/>
      <c r="R677" s="3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3"/>
      <c r="Q678" s="1"/>
      <c r="R678" s="3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3"/>
      <c r="Q679" s="1"/>
      <c r="R679" s="3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3"/>
      <c r="Q680" s="1"/>
      <c r="R680" s="3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3"/>
      <c r="Q681" s="1"/>
      <c r="R681" s="3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3"/>
      <c r="Q682" s="1"/>
      <c r="R682" s="3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3"/>
      <c r="Q683" s="1"/>
      <c r="R683" s="3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3"/>
      <c r="Q684" s="1"/>
      <c r="R684" s="3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3"/>
      <c r="Q685" s="1"/>
      <c r="R685" s="3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3"/>
      <c r="Q686" s="1"/>
      <c r="R686" s="3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3"/>
      <c r="Q687" s="1"/>
      <c r="R687" s="3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3"/>
      <c r="Q688" s="1"/>
      <c r="R688" s="3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3"/>
      <c r="Q689" s="1"/>
      <c r="R689" s="3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3"/>
      <c r="Q690" s="1"/>
      <c r="R690" s="3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3"/>
      <c r="Q691" s="1"/>
      <c r="R691" s="3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3"/>
      <c r="Q692" s="1"/>
      <c r="R692" s="3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3"/>
      <c r="Q693" s="1"/>
      <c r="R693" s="3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3"/>
      <c r="Q694" s="1"/>
      <c r="R694" s="3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3"/>
      <c r="Q695" s="1"/>
      <c r="R695" s="3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3"/>
      <c r="Q696" s="1"/>
      <c r="R696" s="3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3"/>
      <c r="Q697" s="1"/>
      <c r="R697" s="3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3"/>
      <c r="Q698" s="1"/>
      <c r="R698" s="3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3"/>
      <c r="Q699" s="1"/>
      <c r="R699" s="3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3"/>
      <c r="Q700" s="1"/>
      <c r="R700" s="3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3"/>
      <c r="Q701" s="1"/>
      <c r="R701" s="3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3"/>
      <c r="Q702" s="1"/>
      <c r="R702" s="3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3"/>
      <c r="Q703" s="1"/>
      <c r="R703" s="3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3"/>
      <c r="Q704" s="1"/>
      <c r="R704" s="3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3"/>
      <c r="Q705" s="1"/>
      <c r="R705" s="3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3"/>
      <c r="Q706" s="1"/>
      <c r="R706" s="3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3"/>
      <c r="Q707" s="1"/>
      <c r="R707" s="3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3"/>
      <c r="Q708" s="1"/>
      <c r="R708" s="3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3"/>
      <c r="Q709" s="1"/>
      <c r="R709" s="3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3"/>
      <c r="Q710" s="1"/>
      <c r="R710" s="3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3"/>
      <c r="Q711" s="1"/>
      <c r="R711" s="3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3"/>
      <c r="Q712" s="1"/>
      <c r="R712" s="3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3"/>
      <c r="Q713" s="1"/>
      <c r="R713" s="3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3"/>
      <c r="Q714" s="1"/>
      <c r="R714" s="3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3"/>
      <c r="Q715" s="1"/>
      <c r="R715" s="3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3"/>
      <c r="Q716" s="1"/>
      <c r="R716" s="3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3"/>
      <c r="Q717" s="1"/>
      <c r="R717" s="3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3"/>
      <c r="Q718" s="1"/>
      <c r="R718" s="3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3"/>
      <c r="Q719" s="1"/>
      <c r="R719" s="3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3"/>
      <c r="Q720" s="1"/>
      <c r="R720" s="3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3"/>
      <c r="Q721" s="1"/>
      <c r="R721" s="3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3"/>
      <c r="Q722" s="1"/>
      <c r="R722" s="3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3"/>
      <c r="Q723" s="1"/>
      <c r="R723" s="3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3"/>
      <c r="Q724" s="1"/>
      <c r="R724" s="3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3"/>
      <c r="Q725" s="1"/>
      <c r="R725" s="3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3"/>
      <c r="Q726" s="1"/>
      <c r="R726" s="3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3"/>
      <c r="Q727" s="1"/>
      <c r="R727" s="3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3"/>
      <c r="Q728" s="1"/>
      <c r="R728" s="3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3"/>
      <c r="Q729" s="1"/>
      <c r="R729" s="3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3"/>
      <c r="Q730" s="1"/>
      <c r="R730" s="3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3"/>
      <c r="Q731" s="1"/>
      <c r="R731" s="3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3"/>
      <c r="Q732" s="1"/>
      <c r="R732" s="3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3"/>
      <c r="Q733" s="1"/>
      <c r="R733" s="3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3"/>
      <c r="Q734" s="1"/>
      <c r="R734" s="3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3"/>
      <c r="Q735" s="1"/>
      <c r="R735" s="3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3"/>
      <c r="Q736" s="1"/>
      <c r="R736" s="3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3"/>
      <c r="Q737" s="1"/>
      <c r="R737" s="3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3"/>
      <c r="Q738" s="1"/>
      <c r="R738" s="3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3"/>
      <c r="Q739" s="1"/>
      <c r="R739" s="3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3"/>
      <c r="Q740" s="1"/>
      <c r="R740" s="3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3"/>
      <c r="Q741" s="1"/>
      <c r="R741" s="3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3"/>
      <c r="Q742" s="1"/>
      <c r="R742" s="3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3"/>
      <c r="Q743" s="1"/>
      <c r="R743" s="3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3"/>
      <c r="Q744" s="1"/>
      <c r="R744" s="3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3"/>
      <c r="Q745" s="1"/>
      <c r="R745" s="3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3"/>
      <c r="Q746" s="1"/>
      <c r="R746" s="3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3"/>
      <c r="Q747" s="1"/>
      <c r="R747" s="3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3"/>
      <c r="Q748" s="1"/>
      <c r="R748" s="3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3"/>
      <c r="Q749" s="1"/>
      <c r="R749" s="3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3"/>
      <c r="Q750" s="1"/>
      <c r="R750" s="3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3"/>
      <c r="Q751" s="1"/>
      <c r="R751" s="3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3"/>
      <c r="Q752" s="1"/>
      <c r="R752" s="3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3"/>
      <c r="Q753" s="1"/>
      <c r="R753" s="3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3"/>
      <c r="Q754" s="1"/>
      <c r="R754" s="3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3"/>
      <c r="Q755" s="1"/>
      <c r="R755" s="3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3"/>
      <c r="Q756" s="1"/>
      <c r="R756" s="3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3"/>
      <c r="Q757" s="1"/>
      <c r="R757" s="3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3"/>
      <c r="Q758" s="1"/>
      <c r="R758" s="3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3"/>
      <c r="Q759" s="1"/>
      <c r="R759" s="3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3"/>
      <c r="Q760" s="1"/>
      <c r="R760" s="3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3"/>
      <c r="Q761" s="1"/>
      <c r="R761" s="3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3"/>
      <c r="Q762" s="1"/>
      <c r="R762" s="3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3"/>
      <c r="Q763" s="1"/>
      <c r="R763" s="3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3"/>
      <c r="Q764" s="1"/>
      <c r="R764" s="3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3"/>
      <c r="Q765" s="1"/>
      <c r="R765" s="3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3"/>
      <c r="Q766" s="1"/>
      <c r="R766" s="3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3"/>
      <c r="Q767" s="1"/>
      <c r="R767" s="3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3"/>
      <c r="Q768" s="1"/>
      <c r="R768" s="3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3"/>
      <c r="Q769" s="1"/>
      <c r="R769" s="3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3"/>
      <c r="Q770" s="1"/>
      <c r="R770" s="3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3"/>
      <c r="Q771" s="1"/>
      <c r="R771" s="3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3"/>
      <c r="Q772" s="1"/>
      <c r="R772" s="3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3"/>
      <c r="Q773" s="1"/>
      <c r="R773" s="3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3"/>
      <c r="Q774" s="1"/>
      <c r="R774" s="3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3"/>
      <c r="Q775" s="1"/>
      <c r="R775" s="3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3"/>
      <c r="Q776" s="1"/>
      <c r="R776" s="3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3"/>
      <c r="Q777" s="1"/>
      <c r="R777" s="3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3"/>
      <c r="Q778" s="1"/>
      <c r="R778" s="3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3"/>
      <c r="Q779" s="1"/>
      <c r="R779" s="3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3"/>
      <c r="Q780" s="1"/>
      <c r="R780" s="3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3"/>
      <c r="Q781" s="1"/>
      <c r="R781" s="3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3"/>
      <c r="Q782" s="1"/>
      <c r="R782" s="3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3"/>
      <c r="Q783" s="1"/>
      <c r="R783" s="3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3"/>
      <c r="Q784" s="1"/>
      <c r="R784" s="3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3"/>
      <c r="Q785" s="1"/>
      <c r="R785" s="3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3"/>
      <c r="Q786" s="1"/>
      <c r="R786" s="3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3"/>
      <c r="Q787" s="1"/>
      <c r="R787" s="3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3"/>
      <c r="Q788" s="1"/>
      <c r="R788" s="3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3"/>
      <c r="Q789" s="1"/>
      <c r="R789" s="3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3"/>
      <c r="Q790" s="1"/>
      <c r="R790" s="3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3"/>
      <c r="Q791" s="1"/>
      <c r="R791" s="3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3"/>
      <c r="Q792" s="1"/>
      <c r="R792" s="3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3"/>
      <c r="Q793" s="1"/>
      <c r="R793" s="3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3"/>
      <c r="Q794" s="1"/>
      <c r="R794" s="3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3"/>
      <c r="Q795" s="1"/>
      <c r="R795" s="3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3"/>
      <c r="Q796" s="1"/>
      <c r="R796" s="3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3"/>
      <c r="Q797" s="1"/>
      <c r="R797" s="3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3"/>
      <c r="Q798" s="1"/>
      <c r="R798" s="3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3"/>
      <c r="Q799" s="1"/>
      <c r="R799" s="3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3"/>
      <c r="Q800" s="1"/>
      <c r="R800" s="3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3"/>
      <c r="Q801" s="1"/>
      <c r="R801" s="3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3"/>
      <c r="Q802" s="1"/>
      <c r="R802" s="3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3"/>
      <c r="Q803" s="1"/>
      <c r="R803" s="3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3"/>
      <c r="Q804" s="1"/>
      <c r="R804" s="3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3"/>
      <c r="Q805" s="1"/>
      <c r="R805" s="3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3"/>
      <c r="Q806" s="1"/>
      <c r="R806" s="3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3"/>
      <c r="Q807" s="1"/>
      <c r="R807" s="3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3"/>
      <c r="Q808" s="1"/>
      <c r="R808" s="3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3"/>
      <c r="Q809" s="1"/>
      <c r="R809" s="3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3"/>
      <c r="Q810" s="1"/>
      <c r="R810" s="3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3"/>
      <c r="Q811" s="1"/>
      <c r="R811" s="3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3"/>
      <c r="Q812" s="1"/>
      <c r="R812" s="3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3"/>
      <c r="Q813" s="1"/>
      <c r="R813" s="3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3"/>
      <c r="Q814" s="1"/>
      <c r="R814" s="3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3"/>
      <c r="Q815" s="1"/>
      <c r="R815" s="3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3"/>
      <c r="Q816" s="1"/>
      <c r="R816" s="3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3"/>
      <c r="Q817" s="1"/>
      <c r="R817" s="3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3"/>
      <c r="Q818" s="1"/>
      <c r="R818" s="3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3"/>
      <c r="Q819" s="1"/>
      <c r="R819" s="3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3"/>
      <c r="Q820" s="1"/>
      <c r="R820" s="3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3"/>
      <c r="Q821" s="1"/>
      <c r="R821" s="3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3"/>
      <c r="Q822" s="1"/>
      <c r="R822" s="3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3"/>
      <c r="Q823" s="1"/>
      <c r="R823" s="3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3"/>
      <c r="Q824" s="1"/>
      <c r="R824" s="3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3"/>
      <c r="Q825" s="1"/>
      <c r="R825" s="3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3"/>
      <c r="Q826" s="1"/>
      <c r="R826" s="3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3"/>
      <c r="Q827" s="1"/>
      <c r="R827" s="3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3"/>
      <c r="Q828" s="1"/>
      <c r="R828" s="3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3"/>
      <c r="Q829" s="1"/>
      <c r="R829" s="3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3"/>
      <c r="Q830" s="1"/>
      <c r="R830" s="3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3"/>
      <c r="Q831" s="1"/>
      <c r="R831" s="3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3"/>
      <c r="Q832" s="1"/>
      <c r="R832" s="3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3"/>
      <c r="Q833" s="1"/>
      <c r="R833" s="3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3"/>
      <c r="Q834" s="1"/>
      <c r="R834" s="3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3"/>
      <c r="Q835" s="1"/>
      <c r="R835" s="3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3"/>
      <c r="Q836" s="1"/>
      <c r="R836" s="3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3"/>
      <c r="Q837" s="1"/>
      <c r="R837" s="3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3"/>
      <c r="Q838" s="1"/>
      <c r="R838" s="3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3"/>
      <c r="Q839" s="1"/>
      <c r="R839" s="3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3"/>
      <c r="Q840" s="1"/>
      <c r="R840" s="3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3"/>
      <c r="Q841" s="1"/>
      <c r="R841" s="3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3"/>
      <c r="Q842" s="1"/>
      <c r="R842" s="3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3"/>
      <c r="Q843" s="1"/>
      <c r="R843" s="3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3"/>
      <c r="Q844" s="1"/>
      <c r="R844" s="3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3"/>
      <c r="Q845" s="1"/>
      <c r="R845" s="3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3"/>
      <c r="Q846" s="1"/>
      <c r="R846" s="3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3"/>
      <c r="Q847" s="1"/>
      <c r="R847" s="3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3"/>
      <c r="Q848" s="1"/>
      <c r="R848" s="3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3"/>
      <c r="Q849" s="1"/>
      <c r="R849" s="3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3"/>
      <c r="Q850" s="1"/>
      <c r="R850" s="3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3"/>
      <c r="Q851" s="1"/>
      <c r="R851" s="3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3"/>
      <c r="Q852" s="1"/>
      <c r="R852" s="3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3"/>
      <c r="Q853" s="1"/>
      <c r="R853" s="3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3"/>
      <c r="Q854" s="1"/>
      <c r="R854" s="3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3"/>
      <c r="Q855" s="1"/>
      <c r="R855" s="3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3"/>
      <c r="Q856" s="1"/>
      <c r="R856" s="3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3"/>
      <c r="Q857" s="1"/>
      <c r="R857" s="3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3"/>
      <c r="Q858" s="1"/>
      <c r="R858" s="3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3"/>
      <c r="Q859" s="1"/>
      <c r="R859" s="3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3"/>
      <c r="Q860" s="1"/>
      <c r="R860" s="3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3"/>
      <c r="Q861" s="1"/>
      <c r="R861" s="3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3"/>
      <c r="Q862" s="1"/>
      <c r="R862" s="3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3"/>
      <c r="Q863" s="1"/>
      <c r="R863" s="3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3"/>
      <c r="Q864" s="1"/>
      <c r="R864" s="3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3"/>
      <c r="Q865" s="1"/>
      <c r="R865" s="3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3"/>
      <c r="Q866" s="1"/>
      <c r="R866" s="3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3"/>
      <c r="Q867" s="1"/>
      <c r="R867" s="3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3"/>
      <c r="Q868" s="1"/>
      <c r="R868" s="3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3"/>
      <c r="Q869" s="1"/>
      <c r="R869" s="3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3"/>
      <c r="Q870" s="1"/>
      <c r="R870" s="3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3"/>
      <c r="Q871" s="1"/>
      <c r="R871" s="3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3"/>
      <c r="Q872" s="1"/>
      <c r="R872" s="3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3"/>
      <c r="Q873" s="1"/>
      <c r="R873" s="3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3"/>
      <c r="Q874" s="1"/>
      <c r="R874" s="3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3"/>
      <c r="Q875" s="1"/>
      <c r="R875" s="3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3"/>
      <c r="Q876" s="1"/>
      <c r="R876" s="3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3"/>
      <c r="Q877" s="1"/>
      <c r="R877" s="3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3"/>
      <c r="Q878" s="1"/>
      <c r="R878" s="3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3"/>
      <c r="Q879" s="1"/>
      <c r="R879" s="3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3"/>
      <c r="Q880" s="1"/>
      <c r="R880" s="3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3"/>
      <c r="Q881" s="1"/>
      <c r="R881" s="3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3"/>
      <c r="Q882" s="1"/>
      <c r="R882" s="3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3"/>
      <c r="Q883" s="1"/>
      <c r="R883" s="3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3"/>
      <c r="Q884" s="1"/>
      <c r="R884" s="3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3"/>
      <c r="Q885" s="1"/>
      <c r="R885" s="3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3"/>
      <c r="Q886" s="1"/>
      <c r="R886" s="3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3"/>
      <c r="Q887" s="1"/>
      <c r="R887" s="3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3"/>
      <c r="Q888" s="1"/>
      <c r="R888" s="3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3"/>
      <c r="Q889" s="1"/>
      <c r="R889" s="3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3"/>
      <c r="Q890" s="1"/>
      <c r="R890" s="3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3"/>
      <c r="Q891" s="1"/>
      <c r="R891" s="3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3"/>
      <c r="Q892" s="1"/>
      <c r="R892" s="3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3"/>
      <c r="Q893" s="1"/>
      <c r="R893" s="3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3"/>
      <c r="Q894" s="1"/>
      <c r="R894" s="3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3"/>
      <c r="Q895" s="1"/>
      <c r="R895" s="3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3"/>
      <c r="Q896" s="1"/>
      <c r="R896" s="3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3"/>
      <c r="Q897" s="1"/>
      <c r="R897" s="3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3"/>
      <c r="Q898" s="1"/>
      <c r="R898" s="3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3"/>
      <c r="Q899" s="1"/>
      <c r="R899" s="3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3"/>
      <c r="Q900" s="1"/>
      <c r="R900" s="3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3"/>
      <c r="Q901" s="1"/>
      <c r="R901" s="3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3"/>
      <c r="Q902" s="1"/>
      <c r="R902" s="3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3"/>
      <c r="Q903" s="1"/>
      <c r="R903" s="3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3"/>
      <c r="Q904" s="1"/>
      <c r="R904" s="3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3"/>
      <c r="Q905" s="1"/>
      <c r="R905" s="3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3"/>
      <c r="Q906" s="1"/>
      <c r="R906" s="3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3"/>
      <c r="Q907" s="1"/>
      <c r="R907" s="3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3"/>
      <c r="Q908" s="1"/>
      <c r="R908" s="3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3"/>
      <c r="Q909" s="1"/>
      <c r="R909" s="3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3"/>
      <c r="Q910" s="1"/>
      <c r="R910" s="3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3"/>
      <c r="Q911" s="1"/>
      <c r="R911" s="3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3"/>
      <c r="Q912" s="1"/>
      <c r="R912" s="3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3"/>
      <c r="Q913" s="1"/>
      <c r="R913" s="3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3"/>
      <c r="Q914" s="1"/>
      <c r="R914" s="3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3"/>
      <c r="Q915" s="1"/>
      <c r="R915" s="3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3"/>
      <c r="Q916" s="1"/>
      <c r="R916" s="3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3"/>
      <c r="Q917" s="1"/>
      <c r="R917" s="3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3"/>
      <c r="Q918" s="1"/>
      <c r="R918" s="3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3"/>
      <c r="Q919" s="1"/>
      <c r="R919" s="3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3"/>
      <c r="Q920" s="1"/>
      <c r="R920" s="3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3"/>
      <c r="Q921" s="1"/>
      <c r="R921" s="3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3"/>
      <c r="Q922" s="1"/>
      <c r="R922" s="3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3"/>
      <c r="Q923" s="1"/>
      <c r="R923" s="3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3"/>
      <c r="Q924" s="1"/>
      <c r="R924" s="3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3"/>
      <c r="Q925" s="1"/>
      <c r="R925" s="3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3"/>
      <c r="Q926" s="1"/>
      <c r="R926" s="3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3"/>
      <c r="Q927" s="1"/>
      <c r="R927" s="3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3"/>
      <c r="Q928" s="1"/>
      <c r="R928" s="3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3"/>
      <c r="Q929" s="1"/>
      <c r="R929" s="3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3"/>
      <c r="Q930" s="1"/>
      <c r="R930" s="3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3"/>
      <c r="Q931" s="1"/>
      <c r="R931" s="3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3"/>
      <c r="Q932" s="1"/>
      <c r="R932" s="3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3"/>
      <c r="Q933" s="1"/>
      <c r="R933" s="3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3"/>
      <c r="Q934" s="1"/>
      <c r="R934" s="3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3"/>
      <c r="Q935" s="1"/>
      <c r="R935" s="3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3"/>
      <c r="Q936" s="1"/>
      <c r="R936" s="3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3"/>
      <c r="Q937" s="1"/>
      <c r="R937" s="3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3"/>
      <c r="Q938" s="1"/>
      <c r="R938" s="3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3"/>
      <c r="Q939" s="1"/>
      <c r="R939" s="3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3"/>
      <c r="Q940" s="1"/>
      <c r="R940" s="3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3"/>
      <c r="Q941" s="1"/>
      <c r="R941" s="3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3"/>
      <c r="Q942" s="1"/>
      <c r="R942" s="3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3"/>
      <c r="Q943" s="1"/>
      <c r="R943" s="3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3"/>
      <c r="Q944" s="1"/>
      <c r="R944" s="3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3"/>
      <c r="Q945" s="1"/>
      <c r="R945" s="3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3"/>
      <c r="Q946" s="1"/>
      <c r="R946" s="3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3"/>
      <c r="Q947" s="1"/>
      <c r="R947" s="3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3"/>
      <c r="Q948" s="1"/>
      <c r="R948" s="3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3"/>
      <c r="Q949" s="1"/>
      <c r="R949" s="3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3"/>
      <c r="Q950" s="1"/>
      <c r="R950" s="3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3"/>
      <c r="Q951" s="1"/>
      <c r="R951" s="3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3"/>
      <c r="Q952" s="1"/>
      <c r="R952" s="3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3"/>
      <c r="Q953" s="1"/>
      <c r="R953" s="3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3"/>
      <c r="Q954" s="1"/>
      <c r="R954" s="3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3"/>
      <c r="Q955" s="1"/>
      <c r="R955" s="3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3"/>
      <c r="Q956" s="1"/>
      <c r="R956" s="3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3"/>
      <c r="Q957" s="1"/>
      <c r="R957" s="3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3"/>
      <c r="Q958" s="1"/>
      <c r="R958" s="3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3"/>
      <c r="Q959" s="1"/>
      <c r="R959" s="3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3"/>
      <c r="Q960" s="1"/>
      <c r="R960" s="3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3"/>
      <c r="Q961" s="1"/>
      <c r="R961" s="3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3"/>
      <c r="Q962" s="1"/>
      <c r="R962" s="3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3"/>
      <c r="Q963" s="1"/>
      <c r="R963" s="3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3"/>
      <c r="Q964" s="1"/>
      <c r="R964" s="3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3"/>
      <c r="Q965" s="1"/>
      <c r="R965" s="3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3"/>
      <c r="Q966" s="1"/>
      <c r="R966" s="3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3"/>
      <c r="Q967" s="1"/>
      <c r="R967" s="3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3"/>
      <c r="Q968" s="1"/>
      <c r="R968" s="3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3"/>
      <c r="Q969" s="1"/>
      <c r="R969" s="3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3"/>
      <c r="Q970" s="1"/>
      <c r="R970" s="3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3"/>
      <c r="Q971" s="1"/>
      <c r="R971" s="3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3"/>
      <c r="Q972" s="1"/>
      <c r="R972" s="3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3"/>
      <c r="Q973" s="1"/>
      <c r="R973" s="3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3"/>
      <c r="Q974" s="1"/>
      <c r="R974" s="3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3"/>
      <c r="Q975" s="1"/>
      <c r="R975" s="3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3"/>
      <c r="Q976" s="1"/>
      <c r="R976" s="3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3"/>
      <c r="Q977" s="1"/>
      <c r="R977" s="3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3"/>
      <c r="Q978" s="1"/>
      <c r="R978" s="3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3"/>
      <c r="Q979" s="1"/>
      <c r="R979" s="3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3"/>
      <c r="Q980" s="1"/>
      <c r="R980" s="3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3"/>
      <c r="Q981" s="1"/>
      <c r="R981" s="3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3"/>
      <c r="Q982" s="1"/>
      <c r="R982" s="3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3"/>
      <c r="Q983" s="1"/>
      <c r="R983" s="3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3"/>
      <c r="Q984" s="1"/>
      <c r="R984" s="3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3"/>
      <c r="Q985" s="1"/>
      <c r="R985" s="3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3"/>
      <c r="Q986" s="1"/>
      <c r="R986" s="3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3"/>
      <c r="Q987" s="1"/>
      <c r="R987" s="3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3"/>
      <c r="Q988" s="1"/>
      <c r="R988" s="3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3"/>
      <c r="Q989" s="1"/>
      <c r="R989" s="3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3"/>
      <c r="Q990" s="1"/>
      <c r="R990" s="3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3"/>
      <c r="Q991" s="1"/>
      <c r="R991" s="3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3"/>
      <c r="Q992" s="1"/>
      <c r="R992" s="3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3"/>
      <c r="Q993" s="1"/>
      <c r="R993" s="3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1"/>
      <c r="O994" s="1"/>
      <c r="P994" s="3"/>
      <c r="Q994" s="1"/>
      <c r="R994" s="3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1"/>
      <c r="O995" s="1"/>
      <c r="P995" s="3"/>
      <c r="Q995" s="1"/>
      <c r="R995" s="3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1"/>
      <c r="O996" s="1"/>
      <c r="P996" s="3"/>
      <c r="Q996" s="1"/>
      <c r="R996" s="3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1"/>
      <c r="O997" s="1"/>
      <c r="P997" s="3"/>
      <c r="Q997" s="1"/>
      <c r="R997" s="3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1"/>
      <c r="L998" s="1"/>
      <c r="M998" s="1"/>
      <c r="N998" s="1"/>
      <c r="O998" s="1"/>
      <c r="P998" s="3"/>
      <c r="Q998" s="1"/>
      <c r="R998" s="3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1"/>
      <c r="L999" s="1"/>
      <c r="M999" s="1"/>
      <c r="N999" s="1"/>
      <c r="O999" s="1"/>
      <c r="P999" s="3"/>
      <c r="Q999" s="1"/>
      <c r="R999" s="3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1"/>
      <c r="L1000" s="1"/>
      <c r="M1000" s="1"/>
      <c r="N1000" s="1"/>
      <c r="O1000" s="1"/>
      <c r="P1000" s="3"/>
      <c r="Q1000" s="1"/>
      <c r="R1000" s="3"/>
      <c r="S1000" s="1"/>
      <c r="T1000" s="1"/>
      <c r="U1000" s="1"/>
      <c r="V1000" s="1"/>
      <c r="W1000" s="1"/>
      <c r="X1000" s="1"/>
      <c r="Y1000" s="1"/>
      <c r="Z1000" s="1"/>
    </row>
  </sheetData>
  <mergeCells count="48">
    <mergeCell ref="I17:I18"/>
    <mergeCell ref="J17:J18"/>
    <mergeCell ref="K17:L18"/>
    <mergeCell ref="M17:M18"/>
    <mergeCell ref="P17:R17"/>
    <mergeCell ref="S17:S18"/>
    <mergeCell ref="T17:T18"/>
    <mergeCell ref="U17:U18"/>
    <mergeCell ref="V17:V18"/>
    <mergeCell ref="P23:R23"/>
    <mergeCell ref="I24:L24"/>
    <mergeCell ref="P24:V24"/>
    <mergeCell ref="I25:L25"/>
    <mergeCell ref="I26:L26"/>
    <mergeCell ref="L7:Q7"/>
    <mergeCell ref="U7:V7"/>
    <mergeCell ref="M2:S2"/>
    <mergeCell ref="L3:S3"/>
    <mergeCell ref="K4:S4"/>
    <mergeCell ref="K5:S5"/>
    <mergeCell ref="I6:K6"/>
    <mergeCell ref="L6:V6"/>
    <mergeCell ref="I7:J7"/>
    <mergeCell ref="U9:V9"/>
    <mergeCell ref="U10:V10"/>
    <mergeCell ref="U11:V11"/>
    <mergeCell ref="U12:V12"/>
    <mergeCell ref="S13:T13"/>
    <mergeCell ref="U13:V13"/>
    <mergeCell ref="S15:V15"/>
    <mergeCell ref="I8:K8"/>
    <mergeCell ref="L8:Q8"/>
    <mergeCell ref="U8:V8"/>
    <mergeCell ref="I9:K9"/>
    <mergeCell ref="L9:Q9"/>
    <mergeCell ref="I10:K10"/>
    <mergeCell ref="L10:Q10"/>
    <mergeCell ref="I11:K11"/>
    <mergeCell ref="L11:M11"/>
    <mergeCell ref="P11:Q11"/>
    <mergeCell ref="I12:K12"/>
    <mergeCell ref="L12:Q12"/>
    <mergeCell ref="M14:Q14"/>
    <mergeCell ref="L15:R15"/>
    <mergeCell ref="P25:V25"/>
    <mergeCell ref="P26:V26"/>
    <mergeCell ref="I27:L27"/>
    <mergeCell ref="P27:V27"/>
  </mergeCells>
  <dataValidations>
    <dataValidation type="list" allowBlank="1" showErrorMessage="1" sqref="K19:K21">
      <formula1>"NRM,NR,NRF,NRD,LNC,NRAE,DS"</formula1>
    </dataValidation>
  </dataValidations>
  <printOptions/>
  <pageMargins bottom="0.0" footer="0.0" header="0.0" left="0.2362204724409449" right="0.2362204724409449" top="0.0"/>
  <pageSetup paperSize="9" orientation="landscape"/>
  <drawing r:id="rId1"/>
</worksheet>
</file>