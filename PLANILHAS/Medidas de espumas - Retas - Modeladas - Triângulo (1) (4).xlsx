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das" sheetId="1" r:id="rId5"/>
    <sheet state="visible" name="Retas" sheetId="2" r:id="rId6"/>
    <sheet state="visible" name="Triângulo" sheetId="3" r:id="rId7"/>
  </sheets>
  <definedNames>
    <definedName hidden="1" localSheetId="0" name="_xlnm._FilterDatabase">Modeladas!$B$17:$U$55</definedName>
    <definedName hidden="1" localSheetId="1" name="_xlnm._FilterDatabase">Retas!$B$17:$T$62</definedName>
  </definedNames>
  <calcPr/>
</workbook>
</file>

<file path=xl/sharedStrings.xml><?xml version="1.0" encoding="utf-8"?>
<sst xmlns="http://schemas.openxmlformats.org/spreadsheetml/2006/main" count="467" uniqueCount="159">
  <si>
    <t>TEL.: 17 3421 2907 / 17 98126 3862</t>
  </si>
  <si>
    <t>RUA JOÃO VILLAR PONTES, 3424 - PQ. IND. 1</t>
  </si>
  <si>
    <t>CEP 15.503-019 VOTUPORANGA - SP</t>
  </si>
  <si>
    <t>CLIENTE:</t>
  </si>
  <si>
    <t>DELLON</t>
  </si>
  <si>
    <t>NOME FANTASIA:</t>
  </si>
  <si>
    <t xml:space="preserve">HADASSA </t>
  </si>
  <si>
    <t>E-MAIL</t>
  </si>
  <si>
    <t>ENDEREÇO: Rua jundiai , 605</t>
  </si>
  <si>
    <t>ENDEREÇO: Rua Jundiai, 605</t>
  </si>
  <si>
    <t>N°</t>
  </si>
  <si>
    <t>BAIRRO: Monte Belo</t>
  </si>
  <si>
    <t>CIDADE: Itaquaquecetuba</t>
  </si>
  <si>
    <t>COD. PAGAMENTOS:</t>
  </si>
  <si>
    <t>CEP:</t>
  </si>
  <si>
    <t>CIDADE: Itaququecetuba</t>
  </si>
  <si>
    <t>CNPJ/CPF:</t>
  </si>
  <si>
    <t>ESTADO</t>
  </si>
  <si>
    <t>IE:</t>
  </si>
  <si>
    <t>ENDEREÇO DE ENTREGA: Rua Jundiai, 605</t>
  </si>
  <si>
    <t>TEF:</t>
  </si>
  <si>
    <t>ENDEREÇO DE ENTREGA: Rua: Jundiai, 605</t>
  </si>
  <si>
    <t>DATA:</t>
  </si>
  <si>
    <t xml:space="preserve"> PEÇAS MODELADAS</t>
  </si>
  <si>
    <t>PRAZO DE ENTREGA:</t>
  </si>
  <si>
    <t xml:space="preserve"> PEÇAS TRIÂNGULO</t>
  </si>
  <si>
    <t>QUANT.</t>
  </si>
  <si>
    <t>NOME</t>
  </si>
  <si>
    <t>DENSIDADE</t>
  </si>
  <si>
    <t>COR</t>
  </si>
  <si>
    <t>PEÇAS RETAS</t>
  </si>
  <si>
    <t>M3</t>
  </si>
  <si>
    <t>PREÇO M3</t>
  </si>
  <si>
    <t>PREÇO PEÇA</t>
  </si>
  <si>
    <t>TOTAL</t>
  </si>
  <si>
    <t>compl</t>
  </si>
  <si>
    <t>LADO 1</t>
  </si>
  <si>
    <t xml:space="preserve">larg.        ESP       </t>
  </si>
  <si>
    <t>LADO 2</t>
  </si>
  <si>
    <t>LADO 3</t>
  </si>
  <si>
    <t xml:space="preserve">MEDIDAS*                                  </t>
  </si>
  <si>
    <t>x</t>
  </si>
  <si>
    <t>ESP</t>
  </si>
  <si>
    <t>COMP</t>
  </si>
  <si>
    <t>LARG</t>
  </si>
  <si>
    <t>ATHENAS ENCOSTO</t>
  </si>
  <si>
    <t>LOMBAR APOIO</t>
  </si>
  <si>
    <t>DS</t>
  </si>
  <si>
    <t>BRANCA</t>
  </si>
  <si>
    <t>0,430  x  0,06</t>
  </si>
  <si>
    <t xml:space="preserve">ATHENAS ASSENTO CAVA SOFA </t>
  </si>
  <si>
    <t>ATHENAS ASSENTO</t>
  </si>
  <si>
    <t>0,520 x  0,06</t>
  </si>
  <si>
    <t>ATHENAS TESTA</t>
  </si>
  <si>
    <t>0,310  x 0,027</t>
  </si>
  <si>
    <t>ATHENAS BRAÇOS SOFA</t>
  </si>
  <si>
    <t>BARBEIRO ENCOSTO</t>
  </si>
  <si>
    <t xml:space="preserve">ATHENAS ENCOSTO CAVA SOFA </t>
  </si>
  <si>
    <t>0,420 x  0,06</t>
  </si>
  <si>
    <t>TOTAL M3:</t>
  </si>
  <si>
    <t>ATHENAS FAIXA BRAÇO SOFA</t>
  </si>
  <si>
    <t>CIRANDIA ENCOSTO</t>
  </si>
  <si>
    <t>0,30 x  0,01</t>
  </si>
  <si>
    <t>DESCONTOS PRATICADOS:</t>
  </si>
  <si>
    <t>OBS.:</t>
  </si>
  <si>
    <t>ELITE DESCANSO LAVATÓRIO</t>
  </si>
  <si>
    <t>RODRIGO</t>
  </si>
  <si>
    <t>0,315 x  0,05</t>
  </si>
  <si>
    <t>ELITE ASSENTO SOFA</t>
  </si>
  <si>
    <t>FABIO</t>
  </si>
  <si>
    <t>ELITE ENCOSTO LAVATÓRIO</t>
  </si>
  <si>
    <t>0,38 x  0,05</t>
  </si>
  <si>
    <t>Chanfrado</t>
  </si>
  <si>
    <t>REPRESENTANTE</t>
  </si>
  <si>
    <t>ELITE ENCOSTO SOFA</t>
  </si>
  <si>
    <t>FERRARI ASSENTO</t>
  </si>
  <si>
    <t>0,50 x 0,06</t>
  </si>
  <si>
    <t>FERRARI CABEÇOTE</t>
  </si>
  <si>
    <t>0,115 x 0,06</t>
  </si>
  <si>
    <t>ESPERA ASSENTO</t>
  </si>
  <si>
    <t>FERRARI ENCOSTO</t>
  </si>
  <si>
    <t>0,445 x 0,6</t>
  </si>
  <si>
    <t>ESPERA ENCOSTO</t>
  </si>
  <si>
    <t xml:space="preserve">GOBBI ASSENTO </t>
  </si>
  <si>
    <t>0,500 x 0,07</t>
  </si>
  <si>
    <t>GOBBI ENCOSTO</t>
  </si>
  <si>
    <t>0,430 x 0,06</t>
  </si>
  <si>
    <t>FECHA BRAÇO SOFA</t>
  </si>
  <si>
    <t>IRON PESEIRA</t>
  </si>
  <si>
    <t>0,175 x 0,05</t>
  </si>
  <si>
    <t>IRON ASSENTO</t>
  </si>
  <si>
    <t>0,485 x 0,06</t>
  </si>
  <si>
    <t>LADY PESEIRA</t>
  </si>
  <si>
    <t>IRON ASSENTO LAVATÓRIO</t>
  </si>
  <si>
    <t>LAVIER 1 ASSENTO SOFA</t>
  </si>
  <si>
    <t>IRON CABEÇOTE</t>
  </si>
  <si>
    <t>0,12 x 0,06</t>
  </si>
  <si>
    <t>LAVIER 2 ASSENTO SOFA</t>
  </si>
  <si>
    <t xml:space="preserve">IRON ENCOSTO  </t>
  </si>
  <si>
    <t>0,42 x 0,05</t>
  </si>
  <si>
    <t>LAVIER 2 ASSENTO LAVATÓRIO</t>
  </si>
  <si>
    <t>IRON ENCOSTO LAVATÓRIO</t>
  </si>
  <si>
    <t>MAQUIAGE PEZEIRA</t>
  </si>
  <si>
    <t>0,40 x 0,06</t>
  </si>
  <si>
    <t>LAVIER 2 ENCOSTO LAVATÓRIO</t>
  </si>
  <si>
    <t>LAVIER ASSENTO LAVATÓRIO</t>
  </si>
  <si>
    <t>MAQUIAGEM ASSENTO</t>
  </si>
  <si>
    <t>0,47 x 0,065</t>
  </si>
  <si>
    <t>MAQUIAGEM CABEÇOTE</t>
  </si>
  <si>
    <t>LAVIER ENCOSTO LAVATÓRIO</t>
  </si>
  <si>
    <t>MAQUIAGEM ENCOSTO</t>
  </si>
  <si>
    <t>0,47 x 0,05</t>
  </si>
  <si>
    <t>MATISSE ASSENTO</t>
  </si>
  <si>
    <t>0,47 x 0,06</t>
  </si>
  <si>
    <t>MATISSE CABEÇOTE</t>
  </si>
  <si>
    <t>LUXO BRAÇO</t>
  </si>
  <si>
    <t>MATISSE ENCOSTO</t>
  </si>
  <si>
    <t>0,46 x 0,06</t>
  </si>
  <si>
    <t>MOCHO ASSENTO SELA</t>
  </si>
  <si>
    <t>MATISSE CAVA ASSENTO</t>
  </si>
  <si>
    <t>0,39x 0,050</t>
  </si>
  <si>
    <t>MOCHO ENCOSTO</t>
  </si>
  <si>
    <t>0,26 x 0,05</t>
  </si>
  <si>
    <t>Moldado cabeça de et</t>
  </si>
  <si>
    <t>ELITE/EVIDENCE/SPLENDOR-SOFA CABEÇOTE</t>
  </si>
  <si>
    <t>0,125 x 0,06</t>
  </si>
  <si>
    <t>MATISSE CAVA ENCOSTO</t>
  </si>
  <si>
    <t>TOPAZIO ENCOSTO</t>
  </si>
  <si>
    <t>0,40 x 0,05</t>
  </si>
  <si>
    <t xml:space="preserve">ENCOSTO SOFA LAVIE </t>
  </si>
  <si>
    <t xml:space="preserve">ENCOSTO LAVATORIO EVIDENCE </t>
  </si>
  <si>
    <t>0,430 x0,395 x 0,10</t>
  </si>
  <si>
    <t xml:space="preserve">ENCOSTO SOFA ESPERA </t>
  </si>
  <si>
    <t>0,510 x 0,310 x 0,050</t>
  </si>
  <si>
    <t>ESPUMA APOIO DE BRAÇO LAVATÓRIO</t>
  </si>
  <si>
    <t>X</t>
  </si>
  <si>
    <t>ESPUMA ENCOSTO SOFÁ LAVIÊ MODELADO</t>
  </si>
  <si>
    <t>0,43 x 0,395</t>
  </si>
  <si>
    <t>ESPUMA LATERAL BRAÇO DE SOFÁ</t>
  </si>
  <si>
    <t>ESPUMA ASSENTO FERRARI MODELADO</t>
  </si>
  <si>
    <t>ESPUMA BRAÇO DE LAVATÓRIO ELITE</t>
  </si>
  <si>
    <t>0,495 x 0,5</t>
  </si>
  <si>
    <t>ESPUMA ENCOSTO DE LAVATÓRIO LAVIÊ</t>
  </si>
  <si>
    <t>ESPUMA ENCOSTO FERRARI MODELADO</t>
  </si>
  <si>
    <t>0,53 x 0,445</t>
  </si>
  <si>
    <t>ESPUMA DESCANSO DE LAVATÓRIO ELITE</t>
  </si>
  <si>
    <t>ESPUMA CABEÇOTE DE IRON MODELADO</t>
  </si>
  <si>
    <t>0,195 x 0,115</t>
  </si>
  <si>
    <t>ESPUMA CABEÇOTE DE MATISSE</t>
  </si>
  <si>
    <t>ESPUMA ASSENTO DE IRON MODELADO</t>
  </si>
  <si>
    <t>0,45 x 0,485</t>
  </si>
  <si>
    <t>ESPUMA ENCOSTO DE IRON MODELADO</t>
  </si>
  <si>
    <t>ESPUMA ENCOSTO DE SOFÁ LAVIÊ 2</t>
  </si>
  <si>
    <t>0,48 x 0,42</t>
  </si>
  <si>
    <t>ESPUMA ENCOSTO DE CIRANDINHA</t>
  </si>
  <si>
    <t>ESPUMA BRAÇO DE SOFÁ LAVIE</t>
  </si>
  <si>
    <t>ESPUMA PESEIRA DE IRON</t>
  </si>
  <si>
    <t xml:space="preserve">* COMPRIMENTO E LARGURA É ACRESCENTADO 1 CM </t>
  </si>
  <si>
    <t xml:space="preserve">PEÇAS EMBALADA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</si>
</sst>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&quot;&quot;00&quot;.&quot;000\-000"/>
    <numFmt numFmtId="166" formatCode="&quot;&quot;00&quot;/&quot;00&quot;/&quot;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0.0000"/>
    <numFmt numFmtId="171" formatCode="&quot;R$&quot;\ 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/>
    <font>
      <b/>
      <sz val="9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0"/>
      <name val="Calibri"/>
    </font>
    <font>
      <sz val="10.0"/>
      <color rgb="FF000000"/>
      <name val="Calibri"/>
    </font>
    <font>
      <b/>
      <sz val="12.0"/>
      <color theme="1"/>
      <name val="Calibri"/>
    </font>
    <font>
      <sz val="11.0"/>
      <color rgb="FFC00000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43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Border="1" applyFont="1"/>
    <xf borderId="2" fillId="2" fontId="1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2" fontId="1" numFmtId="0" xfId="0" applyAlignment="1" applyBorder="1" applyFill="1" applyFont="1">
      <alignment horizontal="left" vertical="center"/>
    </xf>
    <xf borderId="8" fillId="2" fontId="1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2" fillId="2" fontId="1" numFmtId="164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3" fillId="0" fontId="3" numFmtId="0" xfId="0" applyBorder="1" applyFont="1"/>
    <xf borderId="7" fillId="2" fontId="1" numFmtId="0" xfId="0" applyAlignment="1" applyBorder="1" applyFill="1" applyFont="1">
      <alignment horizontal="center" vertical="center"/>
    </xf>
    <xf borderId="8" fillId="2" fontId="1" numFmtId="164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8" fillId="2" fontId="1" numFmtId="165" xfId="0" applyAlignment="1" applyBorder="1" applyFill="1" applyFont="1" applyNumberFormat="1">
      <alignment horizontal="center" vertical="center"/>
    </xf>
    <xf borderId="5" fillId="2" fontId="1" numFmtId="165" xfId="0" applyAlignment="1" applyBorder="1" applyFill="1" applyFont="1" applyNumberFormat="1">
      <alignment horizontal="left" vertical="center"/>
    </xf>
    <xf borderId="7" fillId="2" fontId="1" numFmtId="165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left" vertical="center"/>
    </xf>
    <xf borderId="8" fillId="2" fontId="1" numFmtId="167" xfId="0" applyAlignment="1" applyBorder="1" applyFill="1" applyFont="1" applyNumberFormat="1">
      <alignment horizontal="center" vertical="center"/>
    </xf>
    <xf borderId="5" fillId="2" fontId="1" numFmtId="167" xfId="0" applyAlignment="1" applyBorder="1" applyFill="1" applyFont="1" applyNumberFormat="1">
      <alignment horizontal="left" vertical="center"/>
    </xf>
    <xf borderId="7" fillId="2" fontId="1" numFmtId="167" xfId="0" applyAlignment="1" applyBorder="1" applyFill="1" applyFont="1" applyNumberFormat="1">
      <alignment horizontal="left" vertical="center"/>
    </xf>
    <xf borderId="8" fillId="2" fontId="1" numFmtId="166" xfId="0" applyAlignment="1" applyBorder="1" applyFill="1" applyFont="1" applyNumberFormat="1">
      <alignment horizontal="left" vertical="center"/>
    </xf>
    <xf borderId="5" fillId="2" fontId="1" numFmtId="168" xfId="0" applyAlignment="1" applyBorder="1" applyFill="1" applyFont="1" applyNumberFormat="1">
      <alignment horizontal="left" vertical="center"/>
    </xf>
    <xf borderId="8" fillId="2" fontId="1" numFmtId="169" xfId="0" applyAlignment="1" applyBorder="1" applyFill="1" applyFont="1" applyNumberFormat="1">
      <alignment horizontal="center" vertical="center"/>
    </xf>
    <xf borderId="5" fillId="2" fontId="1" numFmtId="169" xfId="0" applyAlignment="1" applyBorder="1" applyFill="1" applyFont="1" applyNumberFormat="1">
      <alignment horizontal="left" vertical="center"/>
    </xf>
    <xf borderId="7" fillId="2" fontId="1" numFmtId="169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center" vertical="center"/>
    </xf>
    <xf borderId="5" fillId="2" fontId="1" numFmtId="14" xfId="0" applyAlignment="1" applyBorder="1" applyFill="1" applyFont="1" applyNumberFormat="1">
      <alignment horizontal="left" vertical="center"/>
    </xf>
    <xf borderId="7" fillId="2" fontId="1" numFmtId="1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14" xfId="0" applyAlignment="1" applyFont="1" applyNumberForma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12" fillId="2" fontId="1" numFmtId="169" xfId="0" applyAlignment="1" applyBorder="1" applyFill="1" applyFont="1" applyNumberFormat="1">
      <alignment horizontal="center" vertical="center"/>
    </xf>
    <xf borderId="6" fillId="0" fontId="1" numFmtId="14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16" fillId="2" fontId="1" numFmtId="14" xfId="0" applyAlignment="1" applyBorder="1" applyFill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7" fillId="2" fontId="1" numFmtId="1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19" fillId="3" fontId="1" numFmtId="0" xfId="0" applyAlignment="1" applyBorder="1" applyFill="1" applyFont="1">
      <alignment horizontal="center" vertical="center"/>
    </xf>
    <xf borderId="20" fillId="3" fontId="1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3" fontId="1" numFmtId="0" xfId="0" applyAlignment="1" applyBorder="1" applyFill="1" applyFont="1">
      <alignment horizontal="center" vertical="center"/>
    </xf>
    <xf borderId="23" fillId="3" fontId="1" numFmtId="0" xfId="0" applyAlignment="1" applyBorder="1" applyFill="1" applyFont="1">
      <alignment horizontal="center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3" fontId="1" numFmtId="0" xfId="0" applyAlignment="1" applyBorder="1" applyFill="1" applyFont="1">
      <alignment horizontal="center" vertical="center"/>
    </xf>
    <xf borderId="19" fillId="3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7" fillId="3" fontId="1" numFmtId="164" xfId="0" applyAlignment="1" applyBorder="1" applyFill="1" applyFont="1" applyNumberFormat="1">
      <alignment horizontal="center" shrinkToFit="0" vertical="center" wrapText="1"/>
    </xf>
    <xf borderId="12" fillId="3" fontId="1" numFmtId="0" xfId="0" applyAlignment="1" applyBorder="1" applyFill="1" applyFont="1">
      <alignment horizontal="center" shrinkToFit="0" vertical="center" wrapText="1"/>
    </xf>
    <xf borderId="12" fillId="3" fontId="1" numFmtId="164" xfId="0" applyAlignment="1" applyBorder="1" applyFill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1" vertical="center" wrapText="0"/>
    </xf>
    <xf borderId="31" fillId="3" fontId="1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1" numFmtId="2" xfId="0" applyAlignment="1" applyBorder="1" applyFont="1" applyNumberFormat="1">
      <alignment horizontal="center" vertical="center"/>
    </xf>
    <xf borderId="32" fillId="3" fontId="1" numFmtId="0" xfId="0" applyAlignment="1" applyBorder="1" applyFill="1" applyFont="1">
      <alignment horizontal="center" shrinkToFit="0" vertical="center" wrapText="1"/>
    </xf>
    <xf borderId="3" fillId="0" fontId="7" numFmtId="164" xfId="0" applyAlignment="1" applyBorder="1" applyFont="1" applyNumberFormat="1">
      <alignment horizontal="center" shrinkToFit="1" vertical="center" wrapText="0"/>
    </xf>
    <xf borderId="0" fillId="0" fontId="1" numFmtId="2" xfId="0" applyAlignment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shrinkToFit="1" vertical="center" wrapText="0"/>
    </xf>
    <xf borderId="0" fillId="0" fontId="8" numFmtId="2" xfId="0" applyAlignment="1" applyFont="1" applyNumberFormat="1">
      <alignment horizontal="center" vertical="center"/>
    </xf>
    <xf borderId="33" fillId="0" fontId="2" numFmtId="0" xfId="0" applyAlignment="1" applyBorder="1" applyFont="1">
      <alignment horizontal="center" shrinkToFit="0" vertical="center" wrapText="1"/>
    </xf>
    <xf borderId="33" fillId="0" fontId="9" numFmtId="1" xfId="0" applyAlignment="1" applyBorder="1" applyFont="1" applyNumberFormat="1">
      <alignment horizontal="center" shrinkToFit="1" vertical="center" wrapText="0"/>
    </xf>
    <xf borderId="33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shrinkToFit="0" vertical="center" wrapText="1"/>
    </xf>
    <xf borderId="34" fillId="0" fontId="1" numFmtId="0" xfId="0" applyAlignment="1" applyBorder="1" applyFont="1">
      <alignment horizontal="center" shrinkToFit="0" vertical="center" wrapText="1"/>
    </xf>
    <xf borderId="33" fillId="0" fontId="1" numFmtId="170" xfId="0" applyAlignment="1" applyBorder="1" applyFont="1" applyNumberFormat="1">
      <alignment horizontal="center" vertical="center"/>
    </xf>
    <xf borderId="35" fillId="0" fontId="1" numFmtId="0" xfId="0" applyAlignment="1" applyBorder="1" applyFont="1">
      <alignment horizontal="center" shrinkToFit="0" vertical="center" wrapText="1"/>
    </xf>
    <xf borderId="33" fillId="0" fontId="1" numFmtId="171" xfId="0" applyAlignment="1" applyBorder="1" applyFont="1" applyNumberFormat="1">
      <alignment horizontal="center" vertical="center"/>
    </xf>
    <xf borderId="36" fillId="0" fontId="1" numFmtId="0" xfId="0" applyAlignment="1" applyBorder="1" applyFont="1">
      <alignment horizontal="center" shrinkToFit="0" vertical="center" wrapText="1"/>
    </xf>
    <xf borderId="33" fillId="4" fontId="1" numFmtId="171" xfId="0" applyAlignment="1" applyBorder="1" applyFill="1" applyFont="1" applyNumberFormat="1">
      <alignment horizontal="center" vertical="center"/>
    </xf>
    <xf borderId="33" fillId="2" fontId="1" numFmtId="171" xfId="0" applyAlignment="1" applyBorder="1" applyFill="1" applyFont="1" applyNumberFormat="1">
      <alignment horizontal="center" vertical="center"/>
    </xf>
    <xf borderId="7" fillId="2" fontId="1" numFmtId="171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6" fillId="0" fontId="1" numFmtId="170" xfId="0" applyAlignment="1" applyBorder="1" applyFont="1" applyNumberFormat="1">
      <alignment horizontal="center" vertical="center"/>
    </xf>
    <xf borderId="33" fillId="0" fontId="1" numFmtId="3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0" fillId="0" fontId="10" numFmtId="171" xfId="0" applyAlignment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7" fillId="5" fontId="11" numFmtId="171" xfId="0" applyAlignment="1" applyBorder="1" applyFill="1" applyFont="1" applyNumberFormat="1">
      <alignment horizontal="center" vertical="center"/>
    </xf>
    <xf borderId="37" fillId="0" fontId="1" numFmtId="0" xfId="0" applyAlignment="1" applyBorder="1" applyFont="1">
      <alignment horizontal="center" vertical="center"/>
    </xf>
    <xf borderId="37" fillId="0" fontId="3" numFmtId="0" xfId="0" applyBorder="1" applyFont="1"/>
    <xf borderId="38" fillId="2" fontId="1" numFmtId="171" xfId="0" applyAlignment="1" applyBorder="1" applyFill="1" applyFont="1" applyNumberFormat="1">
      <alignment horizontal="center" vertical="center"/>
    </xf>
    <xf borderId="39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38" fillId="5" fontId="11" numFmtId="171" xfId="0" applyAlignment="1" applyBorder="1" applyFill="1" applyFont="1" applyNumberForma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1" fillId="0" fontId="1" numFmtId="164" xfId="0" applyAlignment="1" applyBorder="1" applyFont="1" applyNumberFormat="1">
      <alignment horizontal="left" vertical="center"/>
    </xf>
    <xf borderId="2" fillId="0" fontId="1" numFmtId="164" xfId="0" applyAlignment="1" applyBorder="1" applyFont="1" applyNumberFormat="1">
      <alignment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0" fillId="0" fontId="1" numFmtId="171" xfId="0" applyAlignment="1" applyFont="1" applyNumberFormat="1">
      <alignment horizontal="center" vertical="center"/>
    </xf>
    <xf borderId="6" fillId="0" fontId="1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3" fillId="0" fontId="1" numFmtId="0" xfId="0" applyAlignment="1" applyBorder="1" applyFont="1">
      <alignment vertical="center"/>
    </xf>
    <xf borderId="28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33" fillId="0" fontId="6" numFmtId="0" xfId="0" applyAlignment="1" applyBorder="1" applyFont="1">
      <alignment readingOrder="0"/>
    </xf>
    <xf borderId="33" fillId="0" fontId="1" numFmtId="164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vertical="center"/>
    </xf>
    <xf borderId="2" fillId="0" fontId="6" numFmtId="0" xfId="0" applyAlignment="1" applyBorder="1" applyFont="1">
      <alignment readingOrder="0"/>
    </xf>
    <xf borderId="3" fillId="0" fontId="6" numFmtId="164" xfId="0" applyAlignment="1" applyBorder="1" applyFont="1" applyNumberFormat="1">
      <alignment readingOrder="0"/>
    </xf>
    <xf borderId="3" fillId="0" fontId="6" numFmtId="0" xfId="0" applyAlignment="1" applyBorder="1" applyFont="1">
      <alignment readingOrder="0"/>
    </xf>
    <xf borderId="6" fillId="0" fontId="6" numFmtId="2" xfId="0" applyAlignment="1" applyBorder="1" applyFont="1" applyNumberFormat="1">
      <alignment readingOrder="0"/>
    </xf>
    <xf borderId="3" fillId="0" fontId="6" numFmtId="0" xfId="0" applyAlignment="1" applyBorder="1" applyFont="1">
      <alignment horizontal="center" readingOrder="0"/>
    </xf>
    <xf borderId="6" fillId="0" fontId="1" numFmtId="164" xfId="0" applyAlignment="1" applyBorder="1" applyFont="1" applyNumberFormat="1">
      <alignment horizontal="center" vertical="center"/>
    </xf>
    <xf borderId="33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readingOrder="0"/>
    </xf>
    <xf borderId="6" fillId="0" fontId="6" numFmtId="0" xfId="0" applyAlignment="1" applyBorder="1" applyFont="1">
      <alignment horizontal="center" readingOrder="0"/>
    </xf>
    <xf borderId="6" fillId="0" fontId="6" numFmtId="0" xfId="0" applyBorder="1" applyFont="1"/>
    <xf borderId="33" fillId="0" fontId="6" numFmtId="0" xfId="0" applyBorder="1" applyFont="1"/>
    <xf borderId="14" fillId="0" fontId="6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41" fillId="0" fontId="6" numFmtId="0" xfId="0" applyBorder="1" applyFont="1"/>
    <xf borderId="37" fillId="0" fontId="6" numFmtId="0" xfId="0" applyBorder="1" applyFont="1"/>
    <xf borderId="42" fillId="0" fontId="6" numFmtId="0" xfId="0" applyBorder="1" applyFont="1"/>
    <xf borderId="3" fillId="0" fontId="6" numFmtId="0" xfId="0" applyBorder="1" applyFont="1"/>
    <xf borderId="28" fillId="0" fontId="6" numFmtId="0" xfId="0" applyBorder="1" applyFont="1"/>
    <xf borderId="28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38.0"/>
    <col customWidth="1" min="11" max="11" width="5.0"/>
    <col customWidth="1" min="12" max="12" width="9.14"/>
    <col customWidth="1" min="13" max="13" width="13.14"/>
    <col customWidth="1" min="14" max="14" width="6.86"/>
    <col customWidth="1" min="15" max="15" width="1.43"/>
    <col customWidth="1" min="16" max="16" width="16.29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24.71"/>
    <col customWidth="1" min="22" max="22" width="14.71"/>
    <col customWidth="1" min="23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R3" s="4"/>
      <c r="S3" s="4"/>
      <c r="T3" s="1"/>
      <c r="U3" s="1"/>
      <c r="V3" s="1"/>
      <c r="W3" s="1"/>
      <c r="X3" s="1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R4" s="4"/>
      <c r="S4" s="4"/>
      <c r="T4" s="1"/>
      <c r="U4" s="1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4"/>
      <c r="S5" s="4"/>
      <c r="T5" s="1"/>
      <c r="U5" s="1"/>
      <c r="V5" s="1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11"/>
      <c r="U6" s="12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6"/>
      <c r="P7" s="17"/>
      <c r="Q7" s="18"/>
      <c r="R7" s="19"/>
      <c r="S7" s="20"/>
      <c r="T7" s="21"/>
      <c r="U7" s="22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8</v>
      </c>
      <c r="J8" s="8"/>
      <c r="K8" s="9"/>
      <c r="L8" s="10"/>
      <c r="M8" s="8"/>
      <c r="N8" s="8"/>
      <c r="O8" s="9"/>
      <c r="P8" s="23"/>
      <c r="Q8" s="13"/>
      <c r="R8" s="24"/>
      <c r="S8" s="10"/>
      <c r="T8" s="11"/>
      <c r="U8" s="12"/>
      <c r="V8" s="25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9"/>
      <c r="P9" s="23"/>
      <c r="Q9" s="13"/>
      <c r="R9" s="26"/>
      <c r="S9" s="27"/>
      <c r="T9" s="11"/>
      <c r="U9" s="28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12</v>
      </c>
      <c r="J10" s="8"/>
      <c r="K10" s="9"/>
      <c r="L10" s="10"/>
      <c r="M10" s="8"/>
      <c r="N10" s="8"/>
      <c r="O10" s="9"/>
      <c r="P10" s="23"/>
      <c r="Q10" s="13"/>
      <c r="R10" s="24"/>
      <c r="S10" s="10"/>
      <c r="T10" s="11"/>
      <c r="U10" s="12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13</v>
      </c>
      <c r="J11" s="8"/>
      <c r="K11" s="9"/>
      <c r="L11" s="29"/>
      <c r="M11" s="9"/>
      <c r="N11" s="29"/>
      <c r="O11" s="9"/>
      <c r="P11" s="23"/>
      <c r="Q11" s="13"/>
      <c r="R11" s="30"/>
      <c r="S11" s="31"/>
      <c r="T11" s="11"/>
      <c r="U11" s="32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16</v>
      </c>
      <c r="J12" s="8"/>
      <c r="K12" s="9"/>
      <c r="L12" s="34"/>
      <c r="M12" s="8"/>
      <c r="N12" s="8"/>
      <c r="O12" s="9"/>
      <c r="P12" s="23"/>
      <c r="Q12" s="13" t="s">
        <v>18</v>
      </c>
      <c r="R12" s="35"/>
      <c r="S12" s="36"/>
      <c r="T12" s="11"/>
      <c r="U12" s="37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19</v>
      </c>
      <c r="J13" s="8"/>
      <c r="K13" s="9"/>
      <c r="L13" s="10"/>
      <c r="M13" s="8"/>
      <c r="N13" s="8"/>
      <c r="O13" s="9"/>
      <c r="P13" s="23"/>
      <c r="Q13" s="10"/>
      <c r="R13" s="9"/>
      <c r="S13" s="39"/>
      <c r="T13" s="11"/>
      <c r="U13" s="40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1"/>
      <c r="J14" s="42"/>
      <c r="K14" s="4"/>
      <c r="L14" s="4"/>
      <c r="M14" s="43"/>
      <c r="P14" s="3"/>
      <c r="Q14" s="1"/>
      <c r="R14" s="1"/>
      <c r="S14" s="1"/>
      <c r="T14" s="41"/>
      <c r="U14" s="41"/>
      <c r="V14" s="41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4" t="s">
        <v>22</v>
      </c>
      <c r="J15" s="46"/>
      <c r="K15" s="43"/>
      <c r="L15" s="47" t="s">
        <v>23</v>
      </c>
      <c r="Q15" s="48"/>
      <c r="R15" s="49"/>
      <c r="S15" s="49"/>
      <c r="T15" s="50"/>
      <c r="U15" s="51"/>
      <c r="V15" s="41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52"/>
      <c r="W16" s="53"/>
      <c r="X16" s="52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4" t="s">
        <v>26</v>
      </c>
      <c r="J17" s="54" t="s">
        <v>27</v>
      </c>
      <c r="K17" s="55" t="s">
        <v>28</v>
      </c>
      <c r="L17" s="56"/>
      <c r="M17" s="57" t="s">
        <v>29</v>
      </c>
      <c r="N17" s="58"/>
      <c r="O17" s="59"/>
      <c r="P17" s="60"/>
      <c r="Q17" s="54" t="s">
        <v>31</v>
      </c>
      <c r="R17" s="62" t="s">
        <v>32</v>
      </c>
      <c r="S17" s="62" t="s">
        <v>33</v>
      </c>
      <c r="T17" s="54" t="s">
        <v>34</v>
      </c>
      <c r="U17" s="63"/>
      <c r="V17" s="1"/>
      <c r="W17" s="1"/>
      <c r="X17" s="1"/>
      <c r="Y17" s="1"/>
      <c r="Z17" s="1"/>
    </row>
    <row r="18" ht="16.5" hidden="1" customHeight="1">
      <c r="A18" s="1"/>
      <c r="B18" s="1"/>
      <c r="C18" s="1"/>
      <c r="D18" s="1"/>
      <c r="E18" s="1"/>
      <c r="F18" s="1"/>
      <c r="G18" s="1"/>
      <c r="H18" s="1"/>
      <c r="I18" s="64"/>
      <c r="J18" s="64"/>
      <c r="K18" s="65"/>
      <c r="L18" s="66"/>
      <c r="M18" s="67"/>
      <c r="N18" s="68" t="s">
        <v>35</v>
      </c>
      <c r="O18" s="69"/>
      <c r="P18" s="70" t="s">
        <v>37</v>
      </c>
      <c r="Q18" s="64"/>
      <c r="R18" s="64"/>
      <c r="S18" s="64"/>
      <c r="T18" s="64"/>
      <c r="U18" s="63"/>
      <c r="V18" s="1"/>
      <c r="W18" s="1"/>
      <c r="X18" s="1"/>
      <c r="Y18" s="1"/>
      <c r="Z18" s="1"/>
    </row>
    <row r="19" ht="14.25" hidden="1" customHeight="1">
      <c r="A19" s="1"/>
      <c r="B19" s="71">
        <v>1.0</v>
      </c>
      <c r="C19" s="73" t="s">
        <v>41</v>
      </c>
      <c r="D19" s="74">
        <v>0.02</v>
      </c>
      <c r="E19" s="76">
        <f>SUM(N19)</f>
        <v>0.48</v>
      </c>
      <c r="F19" s="77">
        <v>0.0</v>
      </c>
      <c r="G19" s="76">
        <f>SUM(P19)</f>
        <v>0</v>
      </c>
      <c r="H19" s="79">
        <f>SUM(B19*E19*G19)</f>
        <v>0</v>
      </c>
      <c r="I19" s="80">
        <v>25.0</v>
      </c>
      <c r="J19" s="82" t="s">
        <v>45</v>
      </c>
      <c r="K19" s="83" t="s">
        <v>47</v>
      </c>
      <c r="L19" s="73">
        <v>3503.0</v>
      </c>
      <c r="M19" s="84" t="s">
        <v>48</v>
      </c>
      <c r="N19" s="76">
        <v>0.48</v>
      </c>
      <c r="O19" s="74" t="s">
        <v>41</v>
      </c>
      <c r="P19" s="85" t="s">
        <v>49</v>
      </c>
      <c r="Q19" s="87">
        <f>SUM(I19*B19*E19*G19+D19)</f>
        <v>0.02</v>
      </c>
      <c r="R19" s="89">
        <v>865.0</v>
      </c>
      <c r="S19" s="91">
        <f>SUM(B19*E19*G19*R19)</f>
        <v>0</v>
      </c>
      <c r="T19" s="92">
        <f>SUM(Q19*R19)</f>
        <v>17.3</v>
      </c>
      <c r="U19" s="93"/>
      <c r="V19" s="1"/>
      <c r="W19" s="1"/>
      <c r="X19" s="1"/>
      <c r="Y19" s="1"/>
      <c r="Z19" s="1"/>
    </row>
    <row r="20" ht="14.25" hidden="1" customHeight="1">
      <c r="A20" s="1"/>
      <c r="B20" s="71"/>
      <c r="C20" s="73"/>
      <c r="D20" s="74"/>
      <c r="E20" s="76"/>
      <c r="F20" s="77"/>
      <c r="G20" s="76"/>
      <c r="H20" s="79"/>
      <c r="I20" s="80">
        <v>25.0</v>
      </c>
      <c r="J20" s="82" t="s">
        <v>51</v>
      </c>
      <c r="K20" s="83" t="s">
        <v>47</v>
      </c>
      <c r="L20" s="73">
        <v>3503.0</v>
      </c>
      <c r="M20" s="84" t="s">
        <v>48</v>
      </c>
      <c r="N20" s="76">
        <v>0.465</v>
      </c>
      <c r="O20" s="74" t="s">
        <v>41</v>
      </c>
      <c r="P20" s="85" t="s">
        <v>52</v>
      </c>
      <c r="Q20" s="87"/>
      <c r="R20" s="89"/>
      <c r="S20" s="91"/>
      <c r="T20" s="92"/>
      <c r="U20" s="93"/>
      <c r="V20" s="1"/>
      <c r="W20" s="1"/>
      <c r="X20" s="1"/>
      <c r="Y20" s="1"/>
      <c r="Z20" s="1"/>
    </row>
    <row r="21" ht="14.25" hidden="1" customHeight="1">
      <c r="A21" s="1"/>
      <c r="B21" s="71"/>
      <c r="C21" s="73"/>
      <c r="D21" s="74"/>
      <c r="E21" s="76"/>
      <c r="F21" s="77"/>
      <c r="G21" s="76"/>
      <c r="H21" s="79"/>
      <c r="I21" s="80"/>
      <c r="J21" s="82" t="s">
        <v>53</v>
      </c>
      <c r="K21" s="83" t="s">
        <v>47</v>
      </c>
      <c r="L21" s="73">
        <v>3503.0</v>
      </c>
      <c r="M21" s="84" t="s">
        <v>48</v>
      </c>
      <c r="N21" s="76">
        <v>0.5</v>
      </c>
      <c r="O21" s="74" t="s">
        <v>41</v>
      </c>
      <c r="P21" s="85" t="s">
        <v>54</v>
      </c>
      <c r="Q21" s="87"/>
      <c r="R21" s="89"/>
      <c r="S21" s="91"/>
      <c r="T21" s="92"/>
      <c r="U21" s="93"/>
      <c r="V21" s="1"/>
      <c r="W21" s="1"/>
      <c r="X21" s="1"/>
      <c r="Y21" s="1"/>
      <c r="Z21" s="1"/>
    </row>
    <row r="22" ht="14.25" hidden="1" customHeight="1">
      <c r="A22" s="1"/>
      <c r="B22" s="71">
        <v>1.0</v>
      </c>
      <c r="C22" s="73" t="s">
        <v>41</v>
      </c>
      <c r="D22" s="74">
        <v>0.02</v>
      </c>
      <c r="E22" s="76">
        <f t="shared" ref="E22:E47" si="1">SUM(N22)</f>
        <v>0.46</v>
      </c>
      <c r="F22" s="77">
        <v>0.0</v>
      </c>
      <c r="G22" s="76">
        <f t="shared" ref="G22:G47" si="2">SUM(P22)</f>
        <v>0</v>
      </c>
      <c r="H22" s="79">
        <f t="shared" ref="H22:H26" si="3">SUM(B22*E22*G22)</f>
        <v>0</v>
      </c>
      <c r="I22" s="80"/>
      <c r="J22" s="82" t="s">
        <v>56</v>
      </c>
      <c r="K22" s="83" t="s">
        <v>47</v>
      </c>
      <c r="L22" s="73">
        <v>3503.0</v>
      </c>
      <c r="M22" s="84" t="s">
        <v>48</v>
      </c>
      <c r="N22" s="76">
        <v>0.46</v>
      </c>
      <c r="O22" s="74" t="s">
        <v>41</v>
      </c>
      <c r="P22" s="85" t="s">
        <v>58</v>
      </c>
      <c r="Q22" s="87">
        <f t="shared" ref="Q22:Q26" si="4">SUM(I22*B22*E22*G22+D22)</f>
        <v>0.02</v>
      </c>
      <c r="R22" s="89">
        <v>865.0</v>
      </c>
      <c r="S22" s="91">
        <f t="shared" ref="S22:S26" si="5">SUM(B22*E22*G22*R22)</f>
        <v>0</v>
      </c>
      <c r="T22" s="92">
        <f>SUM(Q22*R22)</f>
        <v>17.3</v>
      </c>
      <c r="U22" s="93"/>
      <c r="V22" s="1"/>
      <c r="W22" s="1"/>
      <c r="X22" s="1"/>
      <c r="Y22" s="1"/>
      <c r="Z22" s="1"/>
    </row>
    <row r="23" ht="14.25" hidden="1" customHeight="1">
      <c r="A23" s="1"/>
      <c r="B23" s="71">
        <v>1.0</v>
      </c>
      <c r="C23" s="73" t="s">
        <v>41</v>
      </c>
      <c r="D23" s="74">
        <v>0.02</v>
      </c>
      <c r="E23" s="76">
        <f t="shared" si="1"/>
        <v>0.4</v>
      </c>
      <c r="F23" s="77">
        <v>0.0</v>
      </c>
      <c r="G23" s="76">
        <f t="shared" si="2"/>
        <v>0</v>
      </c>
      <c r="H23" s="79">
        <f t="shared" si="3"/>
        <v>0</v>
      </c>
      <c r="I23" s="81"/>
      <c r="J23" s="82" t="s">
        <v>61</v>
      </c>
      <c r="K23" s="83" t="s">
        <v>47</v>
      </c>
      <c r="L23" s="73">
        <v>3503.0</v>
      </c>
      <c r="M23" s="84" t="s">
        <v>48</v>
      </c>
      <c r="N23" s="76">
        <v>0.4</v>
      </c>
      <c r="O23" s="74" t="s">
        <v>41</v>
      </c>
      <c r="P23" s="85" t="s">
        <v>62</v>
      </c>
      <c r="Q23" s="87">
        <f t="shared" si="4"/>
        <v>0.02</v>
      </c>
      <c r="R23" s="89">
        <v>865.0</v>
      </c>
      <c r="S23" s="91">
        <f t="shared" si="5"/>
        <v>0</v>
      </c>
      <c r="T23" s="92">
        <f t="shared" ref="T23:T26" si="6">SUM(I23*S23)</f>
        <v>0</v>
      </c>
      <c r="U23" s="93"/>
      <c r="V23" s="1"/>
      <c r="W23" s="1"/>
      <c r="X23" s="1"/>
      <c r="Y23" s="1"/>
      <c r="Z23" s="1"/>
    </row>
    <row r="24" ht="14.25" hidden="1" customHeight="1">
      <c r="A24" s="1"/>
      <c r="B24" s="71">
        <v>1.0</v>
      </c>
      <c r="C24" s="73" t="s">
        <v>41</v>
      </c>
      <c r="D24" s="74">
        <v>0.02</v>
      </c>
      <c r="E24" s="76">
        <f t="shared" si="1"/>
        <v>0.46</v>
      </c>
      <c r="F24" s="77">
        <v>0.0</v>
      </c>
      <c r="G24" s="76">
        <f t="shared" si="2"/>
        <v>0</v>
      </c>
      <c r="H24" s="79">
        <f t="shared" si="3"/>
        <v>0</v>
      </c>
      <c r="I24" s="81"/>
      <c r="J24" s="82" t="s">
        <v>65</v>
      </c>
      <c r="K24" s="83" t="s">
        <v>47</v>
      </c>
      <c r="L24" s="73">
        <v>3503.0</v>
      </c>
      <c r="M24" s="84" t="s">
        <v>48</v>
      </c>
      <c r="N24" s="76">
        <v>0.46</v>
      </c>
      <c r="O24" s="74" t="s">
        <v>41</v>
      </c>
      <c r="P24" s="85" t="s">
        <v>67</v>
      </c>
      <c r="Q24" s="87">
        <f t="shared" si="4"/>
        <v>0.02</v>
      </c>
      <c r="R24" s="89">
        <v>865.0</v>
      </c>
      <c r="S24" s="91">
        <f t="shared" si="5"/>
        <v>0</v>
      </c>
      <c r="T24" s="92">
        <f t="shared" si="6"/>
        <v>0</v>
      </c>
      <c r="U24" s="93"/>
      <c r="V24" s="1"/>
      <c r="W24" s="1"/>
      <c r="X24" s="1"/>
      <c r="Y24" s="1"/>
      <c r="Z24" s="1"/>
    </row>
    <row r="25" ht="14.25" hidden="1" customHeight="1">
      <c r="A25" s="1"/>
      <c r="B25" s="71">
        <v>1.0</v>
      </c>
      <c r="C25" s="73" t="s">
        <v>41</v>
      </c>
      <c r="D25" s="74">
        <v>0.02</v>
      </c>
      <c r="E25" s="76">
        <f t="shared" si="1"/>
        <v>0.495</v>
      </c>
      <c r="F25" s="77">
        <v>0.0</v>
      </c>
      <c r="G25" s="76">
        <f t="shared" si="2"/>
        <v>0</v>
      </c>
      <c r="H25" s="79">
        <f t="shared" si="3"/>
        <v>0</v>
      </c>
      <c r="I25" s="81"/>
      <c r="J25" s="82" t="s">
        <v>70</v>
      </c>
      <c r="K25" s="83" t="s">
        <v>47</v>
      </c>
      <c r="L25" s="73">
        <v>3503.0</v>
      </c>
      <c r="M25" s="84" t="s">
        <v>48</v>
      </c>
      <c r="N25" s="76">
        <v>0.495</v>
      </c>
      <c r="O25" s="74" t="s">
        <v>41</v>
      </c>
      <c r="P25" s="85" t="s">
        <v>71</v>
      </c>
      <c r="Q25" s="87">
        <f t="shared" si="4"/>
        <v>0.02</v>
      </c>
      <c r="R25" s="89">
        <v>865.0</v>
      </c>
      <c r="S25" s="91">
        <f t="shared" si="5"/>
        <v>0</v>
      </c>
      <c r="T25" s="92">
        <f t="shared" si="6"/>
        <v>0</v>
      </c>
      <c r="U25" s="104" t="s">
        <v>72</v>
      </c>
      <c r="V25" s="1"/>
      <c r="W25" s="1"/>
      <c r="X25" s="1"/>
      <c r="Y25" s="1"/>
      <c r="Z25" s="1"/>
    </row>
    <row r="26" ht="14.25" hidden="1" customHeight="1">
      <c r="A26" s="1"/>
      <c r="B26" s="71">
        <v>1.0</v>
      </c>
      <c r="C26" s="73" t="s">
        <v>41</v>
      </c>
      <c r="D26" s="74">
        <v>0.02</v>
      </c>
      <c r="E26" s="76">
        <f t="shared" si="1"/>
        <v>0.485</v>
      </c>
      <c r="F26" s="77">
        <v>0.0</v>
      </c>
      <c r="G26" s="76">
        <f t="shared" si="2"/>
        <v>0</v>
      </c>
      <c r="H26" s="79">
        <f t="shared" si="3"/>
        <v>0</v>
      </c>
      <c r="I26" s="81">
        <v>10.0</v>
      </c>
      <c r="J26" s="82" t="s">
        <v>75</v>
      </c>
      <c r="K26" s="83" t="s">
        <v>47</v>
      </c>
      <c r="L26" s="73">
        <v>3503.0</v>
      </c>
      <c r="M26" s="84" t="s">
        <v>48</v>
      </c>
      <c r="N26" s="76">
        <v>0.485</v>
      </c>
      <c r="O26" s="74" t="s">
        <v>41</v>
      </c>
      <c r="P26" s="85" t="s">
        <v>76</v>
      </c>
      <c r="Q26" s="87">
        <f t="shared" si="4"/>
        <v>0.02</v>
      </c>
      <c r="R26" s="89">
        <v>865.0</v>
      </c>
      <c r="S26" s="91">
        <f t="shared" si="5"/>
        <v>0</v>
      </c>
      <c r="T26" s="92">
        <f t="shared" si="6"/>
        <v>0</v>
      </c>
      <c r="U26" s="93"/>
      <c r="V26" s="1"/>
      <c r="W26" s="1"/>
      <c r="X26" s="1"/>
      <c r="Y26" s="1"/>
      <c r="Z26" s="1"/>
    </row>
    <row r="27" ht="14.25" hidden="1" customHeight="1">
      <c r="A27" s="1"/>
      <c r="B27" s="71"/>
      <c r="C27" s="73"/>
      <c r="D27" s="74"/>
      <c r="E27" s="76">
        <f t="shared" si="1"/>
        <v>0.175</v>
      </c>
      <c r="F27" s="77"/>
      <c r="G27" s="76">
        <f t="shared" si="2"/>
        <v>0</v>
      </c>
      <c r="H27" s="79"/>
      <c r="I27" s="81">
        <v>20.0</v>
      </c>
      <c r="J27" s="82" t="s">
        <v>77</v>
      </c>
      <c r="K27" s="83" t="s">
        <v>47</v>
      </c>
      <c r="L27" s="73">
        <v>3503.0</v>
      </c>
      <c r="M27" s="84" t="s">
        <v>48</v>
      </c>
      <c r="N27" s="76">
        <v>0.175</v>
      </c>
      <c r="O27" s="74" t="s">
        <v>41</v>
      </c>
      <c r="P27" s="85" t="s">
        <v>78</v>
      </c>
      <c r="Q27" s="87"/>
      <c r="R27" s="89"/>
      <c r="S27" s="91"/>
      <c r="T27" s="92"/>
      <c r="U27" s="93"/>
      <c r="V27" s="1"/>
      <c r="W27" s="1"/>
      <c r="X27" s="1"/>
      <c r="Y27" s="1"/>
      <c r="Z27" s="1"/>
    </row>
    <row r="28" ht="14.25" hidden="1" customHeight="1">
      <c r="A28" s="1"/>
      <c r="B28" s="71">
        <v>1.0</v>
      </c>
      <c r="C28" s="73" t="s">
        <v>41</v>
      </c>
      <c r="D28" s="74">
        <v>0.02</v>
      </c>
      <c r="E28" s="76">
        <f t="shared" si="1"/>
        <v>0.53</v>
      </c>
      <c r="F28" s="77">
        <v>0.0</v>
      </c>
      <c r="G28" s="76">
        <f t="shared" si="2"/>
        <v>0</v>
      </c>
      <c r="H28" s="79">
        <f t="shared" ref="H28:H29" si="7">SUM(B28*E28*G28)</f>
        <v>0</v>
      </c>
      <c r="I28" s="81">
        <v>6.0</v>
      </c>
      <c r="J28" s="82" t="s">
        <v>80</v>
      </c>
      <c r="K28" s="83" t="s">
        <v>47</v>
      </c>
      <c r="L28" s="73">
        <v>3503.0</v>
      </c>
      <c r="M28" s="84" t="s">
        <v>48</v>
      </c>
      <c r="N28" s="76">
        <v>0.53</v>
      </c>
      <c r="O28" s="74" t="s">
        <v>41</v>
      </c>
      <c r="P28" s="85" t="s">
        <v>81</v>
      </c>
      <c r="Q28" s="87">
        <f t="shared" ref="Q28:Q30" si="8">SUM(I28*B28*E28*G28+D28)</f>
        <v>0.02</v>
      </c>
      <c r="R28" s="89">
        <v>865.0</v>
      </c>
      <c r="S28" s="91">
        <f t="shared" ref="S28:S30" si="9">SUM(B28*E28*G28*R28)</f>
        <v>0</v>
      </c>
      <c r="T28" s="92">
        <f t="shared" ref="T28:T29" si="10">SUM(I28*S28)</f>
        <v>0</v>
      </c>
      <c r="U28" s="93"/>
      <c r="V28" s="1"/>
      <c r="W28" s="1"/>
      <c r="X28" s="1"/>
      <c r="Y28" s="1"/>
      <c r="Z28" s="1"/>
    </row>
    <row r="29" ht="14.25" hidden="1" customHeight="1">
      <c r="A29" s="1"/>
      <c r="B29" s="71">
        <v>1.0</v>
      </c>
      <c r="C29" s="73" t="s">
        <v>41</v>
      </c>
      <c r="D29" s="74">
        <v>0.02</v>
      </c>
      <c r="E29" s="76">
        <f t="shared" si="1"/>
        <v>0.49</v>
      </c>
      <c r="F29" s="77">
        <v>0.0</v>
      </c>
      <c r="G29" s="76">
        <f t="shared" si="2"/>
        <v>0</v>
      </c>
      <c r="H29" s="79">
        <f t="shared" si="7"/>
        <v>0</v>
      </c>
      <c r="I29" s="81"/>
      <c r="J29" s="82" t="s">
        <v>83</v>
      </c>
      <c r="K29" s="83" t="s">
        <v>47</v>
      </c>
      <c r="L29" s="73">
        <v>3503.0</v>
      </c>
      <c r="M29" s="84" t="s">
        <v>48</v>
      </c>
      <c r="N29" s="85">
        <v>0.49</v>
      </c>
      <c r="O29" s="74" t="s">
        <v>41</v>
      </c>
      <c r="P29" s="85" t="s">
        <v>84</v>
      </c>
      <c r="Q29" s="87">
        <f t="shared" si="8"/>
        <v>0.02</v>
      </c>
      <c r="R29" s="89">
        <v>865.0</v>
      </c>
      <c r="S29" s="91">
        <f t="shared" si="9"/>
        <v>0</v>
      </c>
      <c r="T29" s="92">
        <f t="shared" si="10"/>
        <v>0</v>
      </c>
      <c r="U29" s="93"/>
      <c r="V29" s="1"/>
      <c r="W29" s="1"/>
      <c r="X29" s="1"/>
      <c r="Y29" s="1"/>
      <c r="Z29" s="1"/>
    </row>
    <row r="30" ht="14.25" hidden="1" customHeight="1">
      <c r="A30" s="1"/>
      <c r="B30" s="71">
        <v>1.0</v>
      </c>
      <c r="C30" s="73" t="s">
        <v>41</v>
      </c>
      <c r="D30" s="74">
        <v>0.02</v>
      </c>
      <c r="E30" s="76">
        <f t="shared" si="1"/>
        <v>0.51</v>
      </c>
      <c r="F30" s="77">
        <v>0.0</v>
      </c>
      <c r="G30" s="76">
        <f t="shared" si="2"/>
        <v>0</v>
      </c>
      <c r="H30" s="79">
        <f>SUM(G30*E30*B30)</f>
        <v>0</v>
      </c>
      <c r="I30" s="81"/>
      <c r="J30" s="82" t="s">
        <v>85</v>
      </c>
      <c r="K30" s="83" t="s">
        <v>47</v>
      </c>
      <c r="L30" s="73">
        <v>3503.0</v>
      </c>
      <c r="M30" s="84" t="s">
        <v>48</v>
      </c>
      <c r="N30" s="76">
        <v>0.51</v>
      </c>
      <c r="O30" s="74" t="s">
        <v>41</v>
      </c>
      <c r="P30" s="85" t="s">
        <v>86</v>
      </c>
      <c r="Q30" s="87">
        <f t="shared" si="8"/>
        <v>0.02</v>
      </c>
      <c r="R30" s="89">
        <v>865.0</v>
      </c>
      <c r="S30" s="91">
        <f t="shared" si="9"/>
        <v>0</v>
      </c>
      <c r="T30" s="92">
        <f>SUM(Q30*R30)</f>
        <v>17.3</v>
      </c>
      <c r="U30" s="107"/>
      <c r="V30" s="25"/>
      <c r="W30" s="1"/>
      <c r="X30" s="1"/>
      <c r="Y30" s="1"/>
      <c r="Z30" s="1"/>
    </row>
    <row r="31" ht="14.25" hidden="1" customHeight="1">
      <c r="A31" s="1"/>
      <c r="B31" s="71"/>
      <c r="C31" s="73"/>
      <c r="D31" s="74"/>
      <c r="E31" s="76">
        <f t="shared" si="1"/>
        <v>0.34</v>
      </c>
      <c r="F31" s="77"/>
      <c r="G31" s="76">
        <f t="shared" si="2"/>
        <v>0</v>
      </c>
      <c r="H31" s="79"/>
      <c r="I31" s="81">
        <v>290.0</v>
      </c>
      <c r="J31" s="82" t="s">
        <v>88</v>
      </c>
      <c r="K31" s="83" t="s">
        <v>47</v>
      </c>
      <c r="L31" s="73">
        <v>3503.0</v>
      </c>
      <c r="M31" s="84" t="s">
        <v>48</v>
      </c>
      <c r="N31" s="76">
        <v>0.34</v>
      </c>
      <c r="O31" s="74" t="s">
        <v>41</v>
      </c>
      <c r="P31" s="85" t="s">
        <v>89</v>
      </c>
      <c r="Q31" s="87"/>
      <c r="R31" s="89"/>
      <c r="S31" s="91"/>
      <c r="T31" s="92"/>
      <c r="U31" s="107"/>
      <c r="V31" s="25"/>
      <c r="W31" s="1"/>
      <c r="X31" s="1"/>
      <c r="Y31" s="1"/>
      <c r="Z31" s="1"/>
    </row>
    <row r="32" ht="14.25" hidden="1" customHeight="1">
      <c r="A32" s="1"/>
      <c r="B32" s="71">
        <v>1.0</v>
      </c>
      <c r="C32" s="73" t="s">
        <v>41</v>
      </c>
      <c r="D32" s="74">
        <v>0.02</v>
      </c>
      <c r="E32" s="76">
        <f t="shared" si="1"/>
        <v>0.45</v>
      </c>
      <c r="F32" s="77">
        <v>0.0</v>
      </c>
      <c r="G32" s="76">
        <f t="shared" si="2"/>
        <v>0</v>
      </c>
      <c r="H32" s="79">
        <f t="shared" ref="H32:H47" si="11">SUM(G32*E32*B32)</f>
        <v>0</v>
      </c>
      <c r="I32" s="81">
        <v>350.0</v>
      </c>
      <c r="J32" s="82" t="s">
        <v>90</v>
      </c>
      <c r="K32" s="83" t="s">
        <v>47</v>
      </c>
      <c r="L32" s="73">
        <v>3503.0</v>
      </c>
      <c r="M32" s="84" t="s">
        <v>48</v>
      </c>
      <c r="N32" s="76">
        <v>0.45</v>
      </c>
      <c r="O32" s="74" t="s">
        <v>41</v>
      </c>
      <c r="P32" s="85" t="s">
        <v>91</v>
      </c>
      <c r="Q32" s="87">
        <f t="shared" ref="Q32:Q47" si="12">SUM(I32*B32*E32*G32+D32)</f>
        <v>0.02</v>
      </c>
      <c r="R32" s="89">
        <v>865.0</v>
      </c>
      <c r="S32" s="91">
        <f t="shared" ref="S32:S47" si="13">SUM(B32*E32*G32*R32)</f>
        <v>0</v>
      </c>
      <c r="T32" s="92">
        <f t="shared" ref="T32:T47" si="14">SUM(Q32*R32)</f>
        <v>17.3</v>
      </c>
      <c r="U32" s="107"/>
      <c r="V32" s="25"/>
      <c r="W32" s="1"/>
      <c r="X32" s="1"/>
      <c r="Y32" s="1"/>
      <c r="Z32" s="1"/>
    </row>
    <row r="33" ht="14.25" hidden="1" customHeight="1">
      <c r="A33" s="1"/>
      <c r="B33" s="71">
        <v>1.0</v>
      </c>
      <c r="C33" s="73" t="s">
        <v>41</v>
      </c>
      <c r="D33" s="74">
        <v>0.02</v>
      </c>
      <c r="E33" s="76">
        <f t="shared" si="1"/>
        <v>0.45</v>
      </c>
      <c r="F33" s="77">
        <v>0.0</v>
      </c>
      <c r="G33" s="76">
        <f t="shared" si="2"/>
        <v>0</v>
      </c>
      <c r="H33" s="79">
        <f t="shared" si="11"/>
        <v>0</v>
      </c>
      <c r="I33" s="81"/>
      <c r="J33" s="82" t="s">
        <v>93</v>
      </c>
      <c r="K33" s="83" t="s">
        <v>47</v>
      </c>
      <c r="L33" s="73">
        <v>3503.0</v>
      </c>
      <c r="M33" s="84" t="s">
        <v>48</v>
      </c>
      <c r="N33" s="76">
        <v>0.45</v>
      </c>
      <c r="O33" s="74" t="s">
        <v>41</v>
      </c>
      <c r="P33" s="85" t="s">
        <v>91</v>
      </c>
      <c r="Q33" s="87">
        <f t="shared" si="12"/>
        <v>0.02</v>
      </c>
      <c r="R33" s="89">
        <v>865.0</v>
      </c>
      <c r="S33" s="91">
        <f t="shared" si="13"/>
        <v>0</v>
      </c>
      <c r="T33" s="92">
        <f t="shared" si="14"/>
        <v>17.3</v>
      </c>
      <c r="U33" s="107"/>
      <c r="V33" s="25"/>
      <c r="W33" s="1"/>
      <c r="X33" s="1"/>
      <c r="Y33" s="1"/>
      <c r="Z33" s="1"/>
    </row>
    <row r="34" ht="14.25" hidden="1" customHeight="1">
      <c r="A34" s="1"/>
      <c r="B34" s="71">
        <v>1.0</v>
      </c>
      <c r="C34" s="73" t="s">
        <v>41</v>
      </c>
      <c r="D34" s="74">
        <v>0.02</v>
      </c>
      <c r="E34" s="76">
        <f t="shared" si="1"/>
        <v>0.205</v>
      </c>
      <c r="F34" s="77">
        <v>0.0</v>
      </c>
      <c r="G34" s="76">
        <f t="shared" si="2"/>
        <v>0</v>
      </c>
      <c r="H34" s="79">
        <f t="shared" si="11"/>
        <v>0</v>
      </c>
      <c r="I34" s="81">
        <v>135.0</v>
      </c>
      <c r="J34" s="82" t="s">
        <v>95</v>
      </c>
      <c r="K34" s="83" t="s">
        <v>47</v>
      </c>
      <c r="L34" s="73">
        <v>3503.0</v>
      </c>
      <c r="M34" s="84" t="s">
        <v>48</v>
      </c>
      <c r="N34" s="76">
        <v>0.205</v>
      </c>
      <c r="O34" s="74" t="s">
        <v>41</v>
      </c>
      <c r="P34" s="85" t="s">
        <v>96</v>
      </c>
      <c r="Q34" s="87">
        <f t="shared" si="12"/>
        <v>0.02</v>
      </c>
      <c r="R34" s="89">
        <v>865.0</v>
      </c>
      <c r="S34" s="91">
        <f t="shared" si="13"/>
        <v>0</v>
      </c>
      <c r="T34" s="92">
        <f t="shared" si="14"/>
        <v>17.3</v>
      </c>
      <c r="U34" s="107"/>
      <c r="V34" s="25"/>
      <c r="W34" s="1"/>
      <c r="X34" s="1"/>
      <c r="Y34" s="1"/>
      <c r="Z34" s="1"/>
    </row>
    <row r="35" ht="14.25" hidden="1" customHeight="1">
      <c r="A35" s="1"/>
      <c r="B35" s="71">
        <v>1.0</v>
      </c>
      <c r="C35" s="73" t="s">
        <v>41</v>
      </c>
      <c r="D35" s="74">
        <v>0.02</v>
      </c>
      <c r="E35" s="76">
        <f t="shared" si="1"/>
        <v>0.48</v>
      </c>
      <c r="F35" s="77">
        <v>0.0</v>
      </c>
      <c r="G35" s="76">
        <f t="shared" si="2"/>
        <v>0</v>
      </c>
      <c r="H35" s="79">
        <f t="shared" si="11"/>
        <v>0</v>
      </c>
      <c r="I35" s="81">
        <v>155.0</v>
      </c>
      <c r="J35" s="82" t="s">
        <v>98</v>
      </c>
      <c r="K35" s="83" t="s">
        <v>47</v>
      </c>
      <c r="L35" s="73">
        <v>3503.0</v>
      </c>
      <c r="M35" s="84" t="s">
        <v>48</v>
      </c>
      <c r="N35" s="76">
        <v>0.48</v>
      </c>
      <c r="O35" s="74" t="s">
        <v>41</v>
      </c>
      <c r="P35" s="85" t="s">
        <v>99</v>
      </c>
      <c r="Q35" s="87">
        <f t="shared" si="12"/>
        <v>0.02</v>
      </c>
      <c r="R35" s="89">
        <v>865.0</v>
      </c>
      <c r="S35" s="91">
        <f t="shared" si="13"/>
        <v>0</v>
      </c>
      <c r="T35" s="92">
        <f t="shared" si="14"/>
        <v>17.3</v>
      </c>
      <c r="U35" s="107"/>
      <c r="V35" s="25"/>
      <c r="W35" s="1"/>
      <c r="X35" s="1"/>
      <c r="Y35" s="1"/>
      <c r="Z35" s="1"/>
    </row>
    <row r="36" ht="14.25" hidden="1" customHeight="1">
      <c r="A36" s="1"/>
      <c r="B36" s="71">
        <v>1.0</v>
      </c>
      <c r="C36" s="73" t="s">
        <v>41</v>
      </c>
      <c r="D36" s="74">
        <v>0.02</v>
      </c>
      <c r="E36" s="76">
        <f t="shared" si="1"/>
        <v>0.48</v>
      </c>
      <c r="F36" s="77">
        <v>0.0</v>
      </c>
      <c r="G36" s="76">
        <f t="shared" si="2"/>
        <v>0</v>
      </c>
      <c r="H36" s="79">
        <f t="shared" si="11"/>
        <v>0</v>
      </c>
      <c r="I36" s="81"/>
      <c r="J36" s="82" t="s">
        <v>101</v>
      </c>
      <c r="K36" s="83" t="s">
        <v>47</v>
      </c>
      <c r="L36" s="73">
        <v>3503.0</v>
      </c>
      <c r="M36" s="84" t="s">
        <v>48</v>
      </c>
      <c r="N36" s="76">
        <v>0.48</v>
      </c>
      <c r="O36" s="74" t="s">
        <v>41</v>
      </c>
      <c r="P36" s="85" t="s">
        <v>99</v>
      </c>
      <c r="Q36" s="87">
        <f t="shared" si="12"/>
        <v>0.02</v>
      </c>
      <c r="R36" s="89">
        <v>865.0</v>
      </c>
      <c r="S36" s="91">
        <f t="shared" si="13"/>
        <v>0</v>
      </c>
      <c r="T36" s="92">
        <f t="shared" si="14"/>
        <v>17.3</v>
      </c>
      <c r="U36" s="107"/>
      <c r="V36" s="25"/>
      <c r="W36" s="1"/>
      <c r="X36" s="1"/>
      <c r="Y36" s="1"/>
      <c r="Z36" s="1"/>
    </row>
    <row r="37" ht="14.25" hidden="1" customHeight="1">
      <c r="A37" s="1"/>
      <c r="B37" s="71">
        <v>1.0</v>
      </c>
      <c r="C37" s="73" t="s">
        <v>41</v>
      </c>
      <c r="D37" s="74">
        <v>0.02</v>
      </c>
      <c r="E37" s="76">
        <f t="shared" si="1"/>
        <v>0.46</v>
      </c>
      <c r="F37" s="77">
        <v>0.0</v>
      </c>
      <c r="G37" s="76">
        <f t="shared" si="2"/>
        <v>0</v>
      </c>
      <c r="H37" s="79">
        <f t="shared" si="11"/>
        <v>0</v>
      </c>
      <c r="I37" s="80"/>
      <c r="J37" s="82" t="s">
        <v>102</v>
      </c>
      <c r="K37" s="83" t="s">
        <v>47</v>
      </c>
      <c r="L37" s="73">
        <v>3503.0</v>
      </c>
      <c r="M37" s="84" t="s">
        <v>48</v>
      </c>
      <c r="N37" s="76">
        <v>0.46</v>
      </c>
      <c r="O37" s="74" t="s">
        <v>41</v>
      </c>
      <c r="P37" s="85" t="s">
        <v>103</v>
      </c>
      <c r="Q37" s="87">
        <f t="shared" si="12"/>
        <v>0.02</v>
      </c>
      <c r="R37" s="89">
        <v>865.0</v>
      </c>
      <c r="S37" s="91">
        <f t="shared" si="13"/>
        <v>0</v>
      </c>
      <c r="T37" s="92">
        <f t="shared" si="14"/>
        <v>17.3</v>
      </c>
      <c r="U37" s="107"/>
      <c r="V37" s="25"/>
      <c r="W37" s="1"/>
      <c r="X37" s="1"/>
      <c r="Y37" s="1"/>
      <c r="Z37" s="1"/>
    </row>
    <row r="38" ht="14.25" hidden="1" customHeight="1">
      <c r="A38" s="1"/>
      <c r="B38" s="71">
        <v>1.0</v>
      </c>
      <c r="C38" s="73" t="s">
        <v>41</v>
      </c>
      <c r="D38" s="74">
        <v>0.02</v>
      </c>
      <c r="E38" s="76">
        <f t="shared" si="1"/>
        <v>0.52</v>
      </c>
      <c r="F38" s="77">
        <v>0.0</v>
      </c>
      <c r="G38" s="76">
        <f t="shared" si="2"/>
        <v>0</v>
      </c>
      <c r="H38" s="79">
        <f t="shared" si="11"/>
        <v>0</v>
      </c>
      <c r="I38" s="81"/>
      <c r="J38" s="82" t="s">
        <v>106</v>
      </c>
      <c r="K38" s="83" t="s">
        <v>47</v>
      </c>
      <c r="L38" s="73">
        <v>3503.0</v>
      </c>
      <c r="M38" s="84" t="s">
        <v>48</v>
      </c>
      <c r="N38" s="76">
        <v>0.52</v>
      </c>
      <c r="O38" s="74" t="s">
        <v>41</v>
      </c>
      <c r="P38" s="85" t="s">
        <v>107</v>
      </c>
      <c r="Q38" s="87">
        <f t="shared" si="12"/>
        <v>0.02</v>
      </c>
      <c r="R38" s="89">
        <v>865.0</v>
      </c>
      <c r="S38" s="91">
        <f t="shared" si="13"/>
        <v>0</v>
      </c>
      <c r="T38" s="92">
        <f t="shared" si="14"/>
        <v>17.3</v>
      </c>
      <c r="U38" s="107"/>
      <c r="V38" s="25"/>
      <c r="W38" s="1"/>
      <c r="X38" s="1"/>
      <c r="Y38" s="1"/>
      <c r="Z38" s="1"/>
    </row>
    <row r="39" ht="14.25" hidden="1" customHeight="1">
      <c r="A39" s="1"/>
      <c r="B39" s="71">
        <v>1.0</v>
      </c>
      <c r="C39" s="73" t="s">
        <v>41</v>
      </c>
      <c r="D39" s="74">
        <v>0.02</v>
      </c>
      <c r="E39" s="76">
        <f t="shared" si="1"/>
        <v>0.22</v>
      </c>
      <c r="F39" s="77">
        <v>0.0</v>
      </c>
      <c r="G39" s="76">
        <f t="shared" si="2"/>
        <v>0</v>
      </c>
      <c r="H39" s="79">
        <f t="shared" si="11"/>
        <v>0</v>
      </c>
      <c r="I39" s="81"/>
      <c r="J39" s="82" t="s">
        <v>108</v>
      </c>
      <c r="K39" s="83" t="s">
        <v>47</v>
      </c>
      <c r="L39" s="73">
        <v>3503.0</v>
      </c>
      <c r="M39" s="84" t="s">
        <v>48</v>
      </c>
      <c r="N39" s="76">
        <v>0.22</v>
      </c>
      <c r="O39" s="74" t="s">
        <v>41</v>
      </c>
      <c r="P39" s="85" t="s">
        <v>96</v>
      </c>
      <c r="Q39" s="87">
        <f t="shared" si="12"/>
        <v>0.02</v>
      </c>
      <c r="R39" s="89">
        <v>865.0</v>
      </c>
      <c r="S39" s="91">
        <f t="shared" si="13"/>
        <v>0</v>
      </c>
      <c r="T39" s="92">
        <f t="shared" si="14"/>
        <v>17.3</v>
      </c>
      <c r="U39" s="107"/>
      <c r="V39" s="25"/>
      <c r="W39" s="1"/>
      <c r="X39" s="1"/>
      <c r="Y39" s="1"/>
      <c r="Z39" s="1"/>
    </row>
    <row r="40" ht="14.25" hidden="1" customHeight="1">
      <c r="A40" s="1"/>
      <c r="B40" s="71">
        <v>1.0</v>
      </c>
      <c r="C40" s="73" t="s">
        <v>41</v>
      </c>
      <c r="D40" s="74">
        <v>0.02</v>
      </c>
      <c r="E40" s="76">
        <f t="shared" si="1"/>
        <v>0.51</v>
      </c>
      <c r="F40" s="77">
        <v>0.0</v>
      </c>
      <c r="G40" s="76">
        <f t="shared" si="2"/>
        <v>0</v>
      </c>
      <c r="H40" s="79">
        <f t="shared" si="11"/>
        <v>0</v>
      </c>
      <c r="I40" s="81"/>
      <c r="J40" s="82" t="s">
        <v>110</v>
      </c>
      <c r="K40" s="83" t="s">
        <v>47</v>
      </c>
      <c r="L40" s="73">
        <v>3503.0</v>
      </c>
      <c r="M40" s="84" t="s">
        <v>48</v>
      </c>
      <c r="N40" s="76">
        <v>0.51</v>
      </c>
      <c r="O40" s="74" t="s">
        <v>41</v>
      </c>
      <c r="P40" s="85" t="s">
        <v>111</v>
      </c>
      <c r="Q40" s="87">
        <f t="shared" si="12"/>
        <v>0.02</v>
      </c>
      <c r="R40" s="89">
        <v>865.0</v>
      </c>
      <c r="S40" s="91">
        <f t="shared" si="13"/>
        <v>0</v>
      </c>
      <c r="T40" s="92">
        <f t="shared" si="14"/>
        <v>17.3</v>
      </c>
      <c r="U40" s="107"/>
      <c r="V40" s="25"/>
      <c r="W40" s="1"/>
      <c r="X40" s="1"/>
      <c r="Y40" s="1"/>
      <c r="Z40" s="1"/>
    </row>
    <row r="41" ht="14.25" hidden="1" customHeight="1">
      <c r="A41" s="1"/>
      <c r="B41" s="71">
        <v>1.0</v>
      </c>
      <c r="C41" s="73" t="s">
        <v>41</v>
      </c>
      <c r="D41" s="74">
        <v>0.02</v>
      </c>
      <c r="E41" s="76">
        <f t="shared" si="1"/>
        <v>0.54</v>
      </c>
      <c r="F41" s="77">
        <v>0.0</v>
      </c>
      <c r="G41" s="76">
        <f t="shared" si="2"/>
        <v>0</v>
      </c>
      <c r="H41" s="79">
        <f t="shared" si="11"/>
        <v>0</v>
      </c>
      <c r="I41" s="81"/>
      <c r="J41" s="82" t="s">
        <v>112</v>
      </c>
      <c r="K41" s="83" t="s">
        <v>47</v>
      </c>
      <c r="L41" s="73">
        <v>3503.0</v>
      </c>
      <c r="M41" s="84" t="s">
        <v>48</v>
      </c>
      <c r="N41" s="76">
        <v>0.54</v>
      </c>
      <c r="O41" s="74" t="s">
        <v>41</v>
      </c>
      <c r="P41" s="85" t="s">
        <v>113</v>
      </c>
      <c r="Q41" s="87">
        <f t="shared" si="12"/>
        <v>0.02</v>
      </c>
      <c r="R41" s="89">
        <v>865.0</v>
      </c>
      <c r="S41" s="91">
        <f t="shared" si="13"/>
        <v>0</v>
      </c>
      <c r="T41" s="92">
        <f t="shared" si="14"/>
        <v>17.3</v>
      </c>
      <c r="U41" s="107"/>
      <c r="V41" s="25"/>
      <c r="W41" s="1"/>
      <c r="X41" s="1"/>
      <c r="Y41" s="1"/>
      <c r="Z41" s="1"/>
    </row>
    <row r="42" ht="14.25" hidden="1" customHeight="1">
      <c r="A42" s="1"/>
      <c r="B42" s="71">
        <v>1.0</v>
      </c>
      <c r="C42" s="73" t="s">
        <v>41</v>
      </c>
      <c r="D42" s="74">
        <v>0.02</v>
      </c>
      <c r="E42" s="76">
        <f t="shared" si="1"/>
        <v>0.22</v>
      </c>
      <c r="F42" s="77">
        <v>0.0</v>
      </c>
      <c r="G42" s="76">
        <f t="shared" si="2"/>
        <v>0</v>
      </c>
      <c r="H42" s="79">
        <f t="shared" si="11"/>
        <v>0</v>
      </c>
      <c r="I42" s="81"/>
      <c r="J42" s="82" t="s">
        <v>114</v>
      </c>
      <c r="K42" s="83" t="s">
        <v>47</v>
      </c>
      <c r="L42" s="73">
        <v>3503.0</v>
      </c>
      <c r="M42" s="84" t="s">
        <v>48</v>
      </c>
      <c r="N42" s="76">
        <v>0.22</v>
      </c>
      <c r="O42" s="74" t="s">
        <v>41</v>
      </c>
      <c r="P42" s="85" t="s">
        <v>96</v>
      </c>
      <c r="Q42" s="87">
        <f t="shared" si="12"/>
        <v>0.02</v>
      </c>
      <c r="R42" s="89">
        <v>865.0</v>
      </c>
      <c r="S42" s="91">
        <f t="shared" si="13"/>
        <v>0</v>
      </c>
      <c r="T42" s="92">
        <f t="shared" si="14"/>
        <v>17.3</v>
      </c>
      <c r="U42" s="107"/>
      <c r="V42" s="25"/>
      <c r="W42" s="1"/>
      <c r="X42" s="1"/>
      <c r="Y42" s="1"/>
      <c r="Z42" s="1"/>
    </row>
    <row r="43" ht="14.25" hidden="1" customHeight="1">
      <c r="A43" s="1"/>
      <c r="B43" s="71">
        <v>1.0</v>
      </c>
      <c r="C43" s="73" t="s">
        <v>41</v>
      </c>
      <c r="D43" s="74">
        <v>0.02</v>
      </c>
      <c r="E43" s="76">
        <f t="shared" si="1"/>
        <v>0.49</v>
      </c>
      <c r="F43" s="77">
        <v>0.0</v>
      </c>
      <c r="G43" s="76">
        <f t="shared" si="2"/>
        <v>0</v>
      </c>
      <c r="H43" s="79">
        <f t="shared" si="11"/>
        <v>0</v>
      </c>
      <c r="I43" s="81"/>
      <c r="J43" s="82" t="s">
        <v>116</v>
      </c>
      <c r="K43" s="83" t="s">
        <v>47</v>
      </c>
      <c r="L43" s="73">
        <v>3503.0</v>
      </c>
      <c r="M43" s="84" t="s">
        <v>48</v>
      </c>
      <c r="N43" s="76">
        <v>0.49</v>
      </c>
      <c r="O43" s="74" t="s">
        <v>41</v>
      </c>
      <c r="P43" s="85" t="s">
        <v>117</v>
      </c>
      <c r="Q43" s="87">
        <f t="shared" si="12"/>
        <v>0.02</v>
      </c>
      <c r="R43" s="89">
        <v>865.0</v>
      </c>
      <c r="S43" s="91">
        <f t="shared" si="13"/>
        <v>0</v>
      </c>
      <c r="T43" s="92">
        <f t="shared" si="14"/>
        <v>17.3</v>
      </c>
      <c r="U43" s="107"/>
      <c r="V43" s="25"/>
      <c r="W43" s="1"/>
      <c r="X43" s="1"/>
      <c r="Y43" s="1"/>
      <c r="Z43" s="1"/>
    </row>
    <row r="44" ht="14.25" customHeight="1">
      <c r="A44" s="1"/>
      <c r="B44" s="71">
        <v>1.0</v>
      </c>
      <c r="C44" s="73" t="s">
        <v>41</v>
      </c>
      <c r="D44" s="74">
        <v>0.02</v>
      </c>
      <c r="E44" s="76">
        <f t="shared" si="1"/>
        <v>0.43</v>
      </c>
      <c r="F44" s="77">
        <v>0.0</v>
      </c>
      <c r="G44" s="76">
        <f t="shared" si="2"/>
        <v>0</v>
      </c>
      <c r="H44" s="79">
        <f t="shared" si="11"/>
        <v>0</v>
      </c>
      <c r="I44" s="81">
        <v>15.0</v>
      </c>
      <c r="J44" s="82" t="s">
        <v>118</v>
      </c>
      <c r="K44" s="83" t="s">
        <v>47</v>
      </c>
      <c r="L44" s="73">
        <v>3503.0</v>
      </c>
      <c r="M44" s="84" t="s">
        <v>48</v>
      </c>
      <c r="N44" s="76">
        <v>0.43</v>
      </c>
      <c r="O44" s="74" t="s">
        <v>41</v>
      </c>
      <c r="P44" s="85" t="s">
        <v>120</v>
      </c>
      <c r="Q44" s="87">
        <f t="shared" si="12"/>
        <v>0.02</v>
      </c>
      <c r="R44" s="89">
        <v>865.0</v>
      </c>
      <c r="S44" s="91">
        <f t="shared" si="13"/>
        <v>0</v>
      </c>
      <c r="T44" s="92">
        <f t="shared" si="14"/>
        <v>17.3</v>
      </c>
      <c r="U44" s="107"/>
      <c r="V44" s="25"/>
      <c r="W44" s="1"/>
      <c r="X44" s="1"/>
      <c r="Y44" s="1"/>
      <c r="Z44" s="1"/>
    </row>
    <row r="45" ht="14.25" customHeight="1">
      <c r="A45" s="1"/>
      <c r="B45" s="71">
        <v>1.0</v>
      </c>
      <c r="C45" s="73" t="s">
        <v>41</v>
      </c>
      <c r="D45" s="74">
        <v>0.02</v>
      </c>
      <c r="E45" s="76">
        <f t="shared" si="1"/>
        <v>0.43</v>
      </c>
      <c r="F45" s="77">
        <v>0.0</v>
      </c>
      <c r="G45" s="76">
        <f t="shared" si="2"/>
        <v>0</v>
      </c>
      <c r="H45" s="79">
        <f t="shared" si="11"/>
        <v>0</v>
      </c>
      <c r="I45" s="81"/>
      <c r="J45" s="82" t="s">
        <v>121</v>
      </c>
      <c r="K45" s="83" t="s">
        <v>47</v>
      </c>
      <c r="L45" s="73">
        <v>3503.0</v>
      </c>
      <c r="M45" s="84" t="s">
        <v>48</v>
      </c>
      <c r="N45" s="76">
        <v>0.43</v>
      </c>
      <c r="O45" s="74" t="s">
        <v>41</v>
      </c>
      <c r="P45" s="85" t="s">
        <v>122</v>
      </c>
      <c r="Q45" s="87">
        <f t="shared" si="12"/>
        <v>0.02</v>
      </c>
      <c r="R45" s="89">
        <v>865.0</v>
      </c>
      <c r="S45" s="91">
        <f t="shared" si="13"/>
        <v>0</v>
      </c>
      <c r="T45" s="92">
        <f t="shared" si="14"/>
        <v>17.3</v>
      </c>
      <c r="U45" s="111" t="s">
        <v>123</v>
      </c>
      <c r="V45" s="25"/>
      <c r="W45" s="1"/>
      <c r="X45" s="1"/>
      <c r="Y45" s="1"/>
      <c r="Z45" s="1"/>
    </row>
    <row r="46" ht="14.25" hidden="1" customHeight="1">
      <c r="A46" s="1"/>
      <c r="B46" s="71">
        <v>1.0</v>
      </c>
      <c r="C46" s="73" t="s">
        <v>41</v>
      </c>
      <c r="D46" s="74">
        <v>0.02</v>
      </c>
      <c r="E46" s="76">
        <f t="shared" si="1"/>
        <v>0.245</v>
      </c>
      <c r="F46" s="77">
        <v>0.0</v>
      </c>
      <c r="G46" s="76">
        <f t="shared" si="2"/>
        <v>0</v>
      </c>
      <c r="H46" s="79">
        <f t="shared" si="11"/>
        <v>0</v>
      </c>
      <c r="I46" s="81">
        <v>300.0</v>
      </c>
      <c r="J46" s="82" t="s">
        <v>124</v>
      </c>
      <c r="K46" s="83" t="s">
        <v>47</v>
      </c>
      <c r="L46" s="73">
        <v>3503.0</v>
      </c>
      <c r="M46" s="84" t="s">
        <v>48</v>
      </c>
      <c r="N46" s="76">
        <v>0.245</v>
      </c>
      <c r="O46" s="74" t="s">
        <v>41</v>
      </c>
      <c r="P46" s="85" t="s">
        <v>125</v>
      </c>
      <c r="Q46" s="87">
        <f t="shared" si="12"/>
        <v>0.02</v>
      </c>
      <c r="R46" s="89">
        <v>865.0</v>
      </c>
      <c r="S46" s="91">
        <f t="shared" si="13"/>
        <v>0</v>
      </c>
      <c r="T46" s="92">
        <f t="shared" si="14"/>
        <v>17.3</v>
      </c>
      <c r="U46" s="107"/>
      <c r="V46" s="25"/>
      <c r="W46" s="1"/>
      <c r="X46" s="1"/>
      <c r="Y46" s="1"/>
      <c r="Z46" s="1"/>
    </row>
    <row r="47" ht="14.25" hidden="1" customHeight="1">
      <c r="A47" s="1"/>
      <c r="B47" s="71">
        <v>1.0</v>
      </c>
      <c r="C47" s="73" t="s">
        <v>41</v>
      </c>
      <c r="D47" s="74">
        <v>0.02</v>
      </c>
      <c r="E47" s="78">
        <f t="shared" si="1"/>
        <v>0.48</v>
      </c>
      <c r="F47" s="77">
        <v>0.0</v>
      </c>
      <c r="G47" s="76">
        <f t="shared" si="2"/>
        <v>0</v>
      </c>
      <c r="H47" s="79">
        <f t="shared" si="11"/>
        <v>0</v>
      </c>
      <c r="I47" s="81"/>
      <c r="J47" s="82" t="s">
        <v>127</v>
      </c>
      <c r="K47" s="83" t="s">
        <v>47</v>
      </c>
      <c r="L47" s="73">
        <v>3503.0</v>
      </c>
      <c r="M47" s="84" t="s">
        <v>48</v>
      </c>
      <c r="N47" s="78">
        <v>0.48</v>
      </c>
      <c r="O47" s="74" t="s">
        <v>41</v>
      </c>
      <c r="P47" s="85" t="s">
        <v>128</v>
      </c>
      <c r="Q47" s="87">
        <f t="shared" si="12"/>
        <v>0.02</v>
      </c>
      <c r="R47" s="89">
        <v>865.0</v>
      </c>
      <c r="S47" s="91">
        <f t="shared" si="13"/>
        <v>0</v>
      </c>
      <c r="T47" s="92">
        <f t="shared" si="14"/>
        <v>17.3</v>
      </c>
      <c r="U47" s="107"/>
      <c r="V47" s="25"/>
      <c r="W47" s="1"/>
      <c r="X47" s="1"/>
      <c r="Y47" s="1"/>
      <c r="Z47" s="1"/>
    </row>
    <row r="48" ht="14.25" hidden="1" customHeight="1">
      <c r="A48" s="1"/>
      <c r="B48" s="99"/>
      <c r="C48" s="5"/>
      <c r="D48" s="5"/>
      <c r="E48" s="94"/>
      <c r="F48" s="95"/>
      <c r="G48" s="96"/>
      <c r="H48" s="79"/>
      <c r="I48" s="97">
        <v>15.0</v>
      </c>
      <c r="J48" s="98" t="s">
        <v>129</v>
      </c>
      <c r="K48" s="83"/>
      <c r="L48" s="73"/>
      <c r="M48" s="84"/>
      <c r="N48" s="115" t="s">
        <v>131</v>
      </c>
      <c r="O48" s="95"/>
      <c r="P48" s="85"/>
      <c r="Q48" s="87"/>
      <c r="R48" s="89"/>
      <c r="S48" s="89"/>
      <c r="T48" s="89"/>
      <c r="U48" s="118"/>
      <c r="V48" s="1"/>
      <c r="W48" s="1"/>
      <c r="X48" s="1"/>
      <c r="Y48" s="1"/>
      <c r="Z48" s="1"/>
    </row>
    <row r="49" ht="14.25" hidden="1" customHeight="1">
      <c r="A49" s="1"/>
      <c r="B49" s="99"/>
      <c r="C49" s="5"/>
      <c r="D49" s="5"/>
      <c r="E49" s="94"/>
      <c r="F49" s="95"/>
      <c r="G49" s="96"/>
      <c r="H49" s="79"/>
      <c r="I49" s="97">
        <v>10.0</v>
      </c>
      <c r="J49" s="98" t="s">
        <v>132</v>
      </c>
      <c r="K49" s="83"/>
      <c r="L49" s="73"/>
      <c r="M49" s="121"/>
      <c r="N49" s="122" t="s">
        <v>133</v>
      </c>
      <c r="O49" s="123"/>
      <c r="P49" s="125"/>
      <c r="Q49" s="126"/>
      <c r="R49" s="94"/>
      <c r="S49" s="89"/>
      <c r="T49" s="89"/>
      <c r="U49" s="118"/>
      <c r="V49" s="1"/>
      <c r="W49" s="1"/>
      <c r="X49" s="1"/>
      <c r="Y49" s="1"/>
      <c r="Z49" s="1"/>
    </row>
    <row r="50" ht="14.25" customHeight="1">
      <c r="A50" s="1"/>
      <c r="B50" s="99"/>
      <c r="C50" s="5"/>
      <c r="D50" s="5"/>
      <c r="E50" s="94"/>
      <c r="F50" s="95"/>
      <c r="G50" s="96"/>
      <c r="H50" s="79"/>
      <c r="I50" s="97"/>
      <c r="J50" s="124" t="s">
        <v>136</v>
      </c>
      <c r="K50" s="83" t="s">
        <v>47</v>
      </c>
      <c r="L50" s="73">
        <v>3503.0</v>
      </c>
      <c r="M50" s="84" t="s">
        <v>48</v>
      </c>
      <c r="N50" s="127">
        <v>0.12</v>
      </c>
      <c r="O50" s="129" t="s">
        <v>135</v>
      </c>
      <c r="P50" s="131" t="s">
        <v>137</v>
      </c>
      <c r="Q50" s="87"/>
      <c r="R50" s="89"/>
      <c r="S50" s="89"/>
      <c r="T50" s="89"/>
      <c r="U50" s="118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24" t="s">
        <v>139</v>
      </c>
      <c r="K51" s="83" t="s">
        <v>47</v>
      </c>
      <c r="L51" s="73">
        <v>3503.0</v>
      </c>
      <c r="M51" s="83" t="s">
        <v>48</v>
      </c>
      <c r="N51" s="127">
        <v>0.06</v>
      </c>
      <c r="O51" s="129" t="s">
        <v>135</v>
      </c>
      <c r="P51" s="119" t="s">
        <v>141</v>
      </c>
      <c r="Q51" s="132"/>
      <c r="R51" s="84"/>
      <c r="S51" s="133"/>
      <c r="T51" s="84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J52" s="124" t="s">
        <v>143</v>
      </c>
      <c r="K52" s="134" t="s">
        <v>47</v>
      </c>
      <c r="L52" s="73">
        <v>3503.0</v>
      </c>
      <c r="M52" s="83" t="s">
        <v>48</v>
      </c>
      <c r="N52" s="127">
        <v>0.06</v>
      </c>
      <c r="O52" s="129" t="s">
        <v>135</v>
      </c>
      <c r="P52" s="136" t="s">
        <v>144</v>
      </c>
      <c r="Q52" s="137"/>
      <c r="R52" s="138"/>
      <c r="S52" s="138"/>
      <c r="T52" s="138"/>
      <c r="U52" s="102"/>
      <c r="V52" s="139"/>
      <c r="W52" s="53"/>
      <c r="X52" s="52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J53" s="124" t="s">
        <v>146</v>
      </c>
      <c r="K53" s="83" t="s">
        <v>47</v>
      </c>
      <c r="L53" s="73">
        <v>3503.0</v>
      </c>
      <c r="M53" s="83" t="s">
        <v>48</v>
      </c>
      <c r="N53" s="127">
        <v>0.06</v>
      </c>
      <c r="O53" s="129" t="s">
        <v>135</v>
      </c>
      <c r="P53" s="136" t="s">
        <v>147</v>
      </c>
      <c r="U53" s="47"/>
      <c r="V53" s="139"/>
      <c r="W53" s="53"/>
      <c r="X53" s="52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J54" s="124" t="s">
        <v>149</v>
      </c>
      <c r="K54" s="83" t="s">
        <v>47</v>
      </c>
      <c r="L54" s="73">
        <v>3503.0</v>
      </c>
      <c r="M54" s="83" t="s">
        <v>48</v>
      </c>
      <c r="N54" s="127">
        <v>0.06</v>
      </c>
      <c r="O54" s="129" t="s">
        <v>135</v>
      </c>
      <c r="P54" s="136" t="s">
        <v>150</v>
      </c>
      <c r="U54" s="47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J55" s="124" t="s">
        <v>151</v>
      </c>
      <c r="K55" s="83" t="s">
        <v>47</v>
      </c>
      <c r="L55" s="73">
        <v>3503.0</v>
      </c>
      <c r="M55" s="83" t="s">
        <v>48</v>
      </c>
      <c r="N55" s="127">
        <v>0.05</v>
      </c>
      <c r="O55" s="129" t="s">
        <v>135</v>
      </c>
      <c r="P55" s="140" t="s">
        <v>153</v>
      </c>
      <c r="U55" s="47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U56" s="47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41"/>
      <c r="L57" s="1"/>
      <c r="M57" s="1"/>
      <c r="N57" s="100" t="s">
        <v>59</v>
      </c>
      <c r="O57" s="6"/>
      <c r="P57" s="6"/>
      <c r="Q57" s="101">
        <f>SUM(Q19:Q50)</f>
        <v>0.5</v>
      </c>
      <c r="R57" s="1"/>
      <c r="S57" s="101"/>
      <c r="T57" s="102">
        <f>SUM(T22:T47)</f>
        <v>311.4</v>
      </c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5" t="s">
        <v>63</v>
      </c>
      <c r="J58" s="6"/>
      <c r="K58" s="6"/>
      <c r="L58" s="6"/>
      <c r="M58" s="1" t="s">
        <v>64</v>
      </c>
      <c r="N58" s="103"/>
      <c r="O58" s="8"/>
      <c r="P58" s="8"/>
      <c r="Q58" s="8"/>
      <c r="R58" s="8"/>
      <c r="S58" s="8"/>
      <c r="T58" s="1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83" t="s">
        <v>66</v>
      </c>
      <c r="J59" s="8"/>
      <c r="K59" s="8"/>
      <c r="L59" s="11"/>
      <c r="M59" s="1"/>
      <c r="N59" s="103"/>
      <c r="O59" s="8"/>
      <c r="P59" s="8"/>
      <c r="Q59" s="8"/>
      <c r="R59" s="8"/>
      <c r="S59" s="8"/>
      <c r="T59" s="1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5" t="s">
        <v>69</v>
      </c>
      <c r="J60" s="6"/>
      <c r="K60" s="6"/>
      <c r="L60" s="6"/>
      <c r="M60" s="1"/>
      <c r="N60" s="103"/>
      <c r="O60" s="8"/>
      <c r="P60" s="8"/>
      <c r="Q60" s="8"/>
      <c r="R60" s="8"/>
      <c r="S60" s="8"/>
      <c r="T60" s="1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05" t="s">
        <v>73</v>
      </c>
      <c r="J61" s="106"/>
      <c r="K61" s="106"/>
      <c r="L61" s="106"/>
      <c r="M61" s="1"/>
      <c r="N61" s="103"/>
      <c r="O61" s="8"/>
      <c r="P61" s="8"/>
      <c r="Q61" s="8"/>
      <c r="R61" s="8"/>
      <c r="S61" s="8"/>
      <c r="T61" s="1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3"/>
      <c r="O62" s="1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3"/>
      <c r="O63" s="1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3"/>
      <c r="O64" s="1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3"/>
      <c r="O65" s="1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3"/>
      <c r="O66" s="1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3"/>
      <c r="O67" s="1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3"/>
      <c r="O68" s="1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3"/>
      <c r="O69" s="1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3"/>
      <c r="O70" s="1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3"/>
      <c r="O71" s="1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3"/>
      <c r="O126" s="1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3"/>
      <c r="O127" s="1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3"/>
      <c r="O128" s="1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3"/>
      <c r="O129" s="1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3"/>
      <c r="O130" s="1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3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3"/>
      <c r="O132" s="1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U$55">
    <filterColumn colId="8">
      <filters>
        <filter val="ESPUMA ENCOSTO SOFÁ LAVIÊ MODELADO"/>
        <filter val="ESPUMA CABEÇOTE DE IRON MODELADO"/>
        <filter val="ESPUMA ASSENTO DE IRON MODELADO"/>
        <filter val="ESPUMA ENCOSTO DE IRON MODELADO"/>
        <filter val="MOCHO ASSENTO SELA"/>
        <filter val="ESPUMA ENCOSTO FERRARI MODELADO"/>
        <filter val="MOCHO ENCOSTO"/>
        <filter val="ESPUMA ASSENTO FERRARI MODELADO"/>
      </filters>
    </filterColumn>
  </autoFilter>
  <mergeCells count="50">
    <mergeCell ref="M17:M18"/>
    <mergeCell ref="N17:P17"/>
    <mergeCell ref="L13:O13"/>
    <mergeCell ref="M14:O14"/>
    <mergeCell ref="L15:P15"/>
    <mergeCell ref="Q15:T15"/>
    <mergeCell ref="I17:I18"/>
    <mergeCell ref="J17:J18"/>
    <mergeCell ref="K17:L18"/>
    <mergeCell ref="L7:O7"/>
    <mergeCell ref="S7:T7"/>
    <mergeCell ref="M2:Q2"/>
    <mergeCell ref="L3:Q3"/>
    <mergeCell ref="K4:Q4"/>
    <mergeCell ref="K5:Q5"/>
    <mergeCell ref="I6:K6"/>
    <mergeCell ref="L6:T6"/>
    <mergeCell ref="I7:J7"/>
    <mergeCell ref="S9:T9"/>
    <mergeCell ref="S10:T10"/>
    <mergeCell ref="S11:T11"/>
    <mergeCell ref="S12:T12"/>
    <mergeCell ref="S13:T13"/>
    <mergeCell ref="I8:K8"/>
    <mergeCell ref="L8:O8"/>
    <mergeCell ref="S8:T8"/>
    <mergeCell ref="I9:K9"/>
    <mergeCell ref="L9:O9"/>
    <mergeCell ref="I10:K10"/>
    <mergeCell ref="L10:O10"/>
    <mergeCell ref="I11:K11"/>
    <mergeCell ref="L11:M11"/>
    <mergeCell ref="N11:O11"/>
    <mergeCell ref="I12:K12"/>
    <mergeCell ref="L12:O12"/>
    <mergeCell ref="I13:K13"/>
    <mergeCell ref="Q13:R13"/>
    <mergeCell ref="I60:L60"/>
    <mergeCell ref="I58:L58"/>
    <mergeCell ref="I59:L59"/>
    <mergeCell ref="N60:T60"/>
    <mergeCell ref="N61:T61"/>
    <mergeCell ref="S17:S18"/>
    <mergeCell ref="T17:T18"/>
    <mergeCell ref="I61:L61"/>
    <mergeCell ref="N59:T59"/>
    <mergeCell ref="N58:T58"/>
    <mergeCell ref="N57:P57"/>
    <mergeCell ref="Q17:Q18"/>
    <mergeCell ref="R17:R18"/>
  </mergeCells>
  <dataValidations>
    <dataValidation type="list" allowBlank="1" showErrorMessage="1" sqref="K19:K55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hidden="1" min="2" max="5" width="8.71"/>
    <col customWidth="1" hidden="1" min="6" max="6" width="1.43"/>
    <col customWidth="1" min="7" max="7" width="8.71"/>
    <col customWidth="1" min="8" max="8" width="38.0"/>
    <col customWidth="1" min="9" max="9" width="5.0"/>
    <col customWidth="1" min="10" max="10" width="5.86"/>
    <col customWidth="1" min="11" max="11" width="13.14"/>
    <col customWidth="1" min="12" max="12" width="7.0"/>
    <col customWidth="1" min="13" max="13" width="1.43"/>
    <col customWidth="1" min="14" max="14" width="6.29"/>
    <col customWidth="1" min="15" max="15" width="1.43"/>
    <col customWidth="1" min="16" max="16" width="6.43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14.71"/>
    <col customWidth="1" min="22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1"/>
      <c r="H3" s="2"/>
      <c r="I3" s="1"/>
      <c r="J3" s="1" t="s">
        <v>0</v>
      </c>
      <c r="R3" s="4"/>
      <c r="S3" s="4"/>
      <c r="T3" s="1"/>
      <c r="U3" s="1"/>
      <c r="V3" s="1"/>
      <c r="W3" s="1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1"/>
      <c r="H4" s="2"/>
      <c r="I4" s="1" t="s">
        <v>1</v>
      </c>
      <c r="R4" s="4"/>
      <c r="S4" s="4"/>
      <c r="T4" s="1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1"/>
      <c r="H5" s="2"/>
      <c r="I5" s="5" t="s">
        <v>2</v>
      </c>
      <c r="J5" s="6"/>
      <c r="K5" s="6"/>
      <c r="L5" s="6"/>
      <c r="M5" s="6"/>
      <c r="N5" s="6"/>
      <c r="O5" s="6"/>
      <c r="P5" s="6"/>
      <c r="Q5" s="6"/>
      <c r="R5" s="4"/>
      <c r="S5" s="4"/>
      <c r="T5" s="1"/>
      <c r="U5" s="1"/>
      <c r="V5" s="4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7" t="s">
        <v>3</v>
      </c>
      <c r="H6" s="8"/>
      <c r="I6" s="9"/>
      <c r="J6" s="10" t="s">
        <v>4</v>
      </c>
      <c r="K6" s="8"/>
      <c r="L6" s="8"/>
      <c r="M6" s="8"/>
      <c r="N6" s="8"/>
      <c r="O6" s="8"/>
      <c r="P6" s="8"/>
      <c r="Q6" s="8"/>
      <c r="R6" s="8"/>
      <c r="S6" s="8"/>
      <c r="T6" s="1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7" t="s">
        <v>5</v>
      </c>
      <c r="H7" s="9"/>
      <c r="I7" s="13"/>
      <c r="J7" s="14" t="s">
        <v>6</v>
      </c>
      <c r="K7" s="15"/>
      <c r="L7" s="15"/>
      <c r="M7" s="15"/>
      <c r="N7" s="15"/>
      <c r="O7" s="16"/>
      <c r="P7" s="17"/>
      <c r="Q7" s="18" t="s">
        <v>7</v>
      </c>
      <c r="R7" s="19"/>
      <c r="S7" s="20"/>
      <c r="T7" s="2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7" t="s">
        <v>9</v>
      </c>
      <c r="H8" s="8"/>
      <c r="I8" s="9"/>
      <c r="J8" s="10"/>
      <c r="K8" s="8"/>
      <c r="L8" s="8"/>
      <c r="M8" s="8"/>
      <c r="N8" s="8"/>
      <c r="O8" s="9"/>
      <c r="P8" s="23"/>
      <c r="Q8" s="13" t="s">
        <v>10</v>
      </c>
      <c r="R8" s="24"/>
      <c r="S8" s="10"/>
      <c r="T8" s="11"/>
      <c r="U8" s="25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7" t="s">
        <v>11</v>
      </c>
      <c r="H9" s="8"/>
      <c r="I9" s="9"/>
      <c r="J9" s="10"/>
      <c r="K9" s="8"/>
      <c r="L9" s="8"/>
      <c r="M9" s="8"/>
      <c r="N9" s="8"/>
      <c r="O9" s="9"/>
      <c r="P9" s="23"/>
      <c r="Q9" s="14" t="s">
        <v>14</v>
      </c>
      <c r="R9" s="16"/>
      <c r="S9" s="27"/>
      <c r="T9" s="1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7" t="s">
        <v>15</v>
      </c>
      <c r="H10" s="8"/>
      <c r="I10" s="9"/>
      <c r="J10" s="10"/>
      <c r="K10" s="8"/>
      <c r="L10" s="8"/>
      <c r="M10" s="8"/>
      <c r="N10" s="8"/>
      <c r="O10" s="9"/>
      <c r="P10" s="23"/>
      <c r="Q10" s="14" t="s">
        <v>17</v>
      </c>
      <c r="R10" s="16"/>
      <c r="S10" s="10"/>
      <c r="T10" s="1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7" t="s">
        <v>13</v>
      </c>
      <c r="H11" s="8"/>
      <c r="I11" s="9"/>
      <c r="J11" s="38"/>
      <c r="K11" s="8"/>
      <c r="L11" s="8"/>
      <c r="M11" s="8"/>
      <c r="N11" s="8"/>
      <c r="O11" s="9"/>
      <c r="P11" s="23"/>
      <c r="Q11" s="14" t="s">
        <v>20</v>
      </c>
      <c r="R11" s="16"/>
      <c r="S11" s="31"/>
      <c r="T11" s="1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7" t="s">
        <v>16</v>
      </c>
      <c r="H12" s="8"/>
      <c r="I12" s="9"/>
      <c r="J12" s="34"/>
      <c r="K12" s="8"/>
      <c r="L12" s="8"/>
      <c r="M12" s="8"/>
      <c r="N12" s="8"/>
      <c r="O12" s="9"/>
      <c r="P12" s="23"/>
      <c r="Q12" s="18" t="s">
        <v>18</v>
      </c>
      <c r="R12" s="45"/>
      <c r="S12" s="36"/>
      <c r="T12" s="1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7" t="s">
        <v>19</v>
      </c>
      <c r="H13" s="8"/>
      <c r="I13" s="9"/>
      <c r="J13" s="10"/>
      <c r="K13" s="8"/>
      <c r="L13" s="8"/>
      <c r="M13" s="8"/>
      <c r="N13" s="8"/>
      <c r="O13" s="9"/>
      <c r="P13" s="23"/>
      <c r="Q13" s="14" t="s">
        <v>24</v>
      </c>
      <c r="R13" s="16"/>
      <c r="S13" s="39"/>
      <c r="T13" s="11"/>
      <c r="U13" s="1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1"/>
      <c r="H14" s="42"/>
      <c r="I14" s="4"/>
      <c r="J14" s="4"/>
      <c r="K14" s="43"/>
      <c r="P14" s="3"/>
      <c r="Q14" s="1"/>
      <c r="R14" s="1"/>
      <c r="S14" s="1"/>
      <c r="T14" s="41"/>
      <c r="U14" s="41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4" t="s">
        <v>22</v>
      </c>
      <c r="H15" s="46"/>
      <c r="I15" s="43"/>
      <c r="J15" s="1"/>
      <c r="K15" s="43" t="s">
        <v>30</v>
      </c>
      <c r="O15" s="43"/>
      <c r="P15" s="3"/>
      <c r="Q15" s="48"/>
      <c r="R15" s="49"/>
      <c r="S15" s="49"/>
      <c r="T15" s="50"/>
      <c r="U15" s="41"/>
      <c r="V15" s="4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54" t="s">
        <v>26</v>
      </c>
      <c r="H17" s="54" t="s">
        <v>27</v>
      </c>
      <c r="I17" s="55" t="s">
        <v>28</v>
      </c>
      <c r="J17" s="56"/>
      <c r="K17" s="57" t="s">
        <v>29</v>
      </c>
      <c r="L17" s="72" t="s">
        <v>40</v>
      </c>
      <c r="M17" s="59"/>
      <c r="N17" s="59"/>
      <c r="O17" s="59"/>
      <c r="P17" s="60"/>
      <c r="Q17" s="54" t="s">
        <v>31</v>
      </c>
      <c r="R17" s="62" t="s">
        <v>32</v>
      </c>
      <c r="S17" s="62" t="s">
        <v>33</v>
      </c>
      <c r="T17" s="54" t="s">
        <v>34</v>
      </c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64"/>
      <c r="H18" s="64"/>
      <c r="I18" s="65"/>
      <c r="J18" s="66"/>
      <c r="K18" s="67"/>
      <c r="L18" s="75" t="s">
        <v>42</v>
      </c>
      <c r="M18" s="69"/>
      <c r="N18" s="68" t="s">
        <v>43</v>
      </c>
      <c r="O18" s="69"/>
      <c r="P18" s="70" t="s">
        <v>44</v>
      </c>
      <c r="Q18" s="64"/>
      <c r="R18" s="64"/>
      <c r="S18" s="64"/>
      <c r="T18" s="64"/>
      <c r="U18" s="1"/>
      <c r="V18" s="1"/>
      <c r="W18" s="1"/>
      <c r="X18" s="1"/>
      <c r="Y18" s="1"/>
      <c r="Z18" s="1"/>
    </row>
    <row r="19" ht="14.25" customHeight="1">
      <c r="A19" s="1"/>
      <c r="B19" s="74">
        <v>0.01</v>
      </c>
      <c r="C19" s="76">
        <f t="shared" ref="C19:C37" si="1">SUM(N19)</f>
        <v>0.465</v>
      </c>
      <c r="D19" s="77">
        <v>0.01</v>
      </c>
      <c r="E19" s="76">
        <f t="shared" ref="E19:E37" si="2">SUM(P19)</f>
        <v>0.25</v>
      </c>
      <c r="F19" s="79">
        <f t="shared" ref="F19:F22" si="3">SUM(L19*C19*E19)</f>
        <v>0.016275</v>
      </c>
      <c r="G19" s="81"/>
      <c r="H19" s="82" t="s">
        <v>50</v>
      </c>
      <c r="I19" s="83" t="s">
        <v>47</v>
      </c>
      <c r="J19" s="73">
        <v>3503.0</v>
      </c>
      <c r="K19" s="84" t="s">
        <v>48</v>
      </c>
      <c r="L19" s="86">
        <v>0.14</v>
      </c>
      <c r="M19" s="88" t="s">
        <v>41</v>
      </c>
      <c r="N19" s="88">
        <v>0.465</v>
      </c>
      <c r="O19" s="88" t="s">
        <v>41</v>
      </c>
      <c r="P19" s="90">
        <v>0.25</v>
      </c>
      <c r="Q19" s="87">
        <f t="shared" ref="Q19:Q37" si="4">SUM(G19*L19*C19*E19)</f>
        <v>0</v>
      </c>
      <c r="R19" s="89">
        <v>865.0</v>
      </c>
      <c r="S19" s="91">
        <f t="shared" ref="S19:S37" si="5">SUM(L19*C19*E19*R19)</f>
        <v>14.077875</v>
      </c>
      <c r="T19" s="92">
        <f t="shared" ref="T19:T22" si="6">SUM(G19*S19)</f>
        <v>0</v>
      </c>
      <c r="U19" s="1"/>
      <c r="V19" s="1"/>
      <c r="W19" s="1"/>
      <c r="X19" s="1"/>
      <c r="Y19" s="1"/>
      <c r="Z19" s="1"/>
    </row>
    <row r="20" ht="14.25" customHeight="1">
      <c r="A20" s="1"/>
      <c r="B20" s="74">
        <v>0.01</v>
      </c>
      <c r="C20" s="76">
        <f t="shared" si="1"/>
        <v>0.61</v>
      </c>
      <c r="D20" s="77">
        <v>0.01</v>
      </c>
      <c r="E20" s="76">
        <f t="shared" si="2"/>
        <v>0.4</v>
      </c>
      <c r="F20" s="79">
        <f t="shared" si="3"/>
        <v>0.00122</v>
      </c>
      <c r="G20" s="81"/>
      <c r="H20" s="82" t="s">
        <v>55</v>
      </c>
      <c r="I20" s="83" t="s">
        <v>47</v>
      </c>
      <c r="J20" s="73">
        <v>3503.0</v>
      </c>
      <c r="K20" s="84" t="s">
        <v>48</v>
      </c>
      <c r="L20" s="86">
        <v>0.005</v>
      </c>
      <c r="M20" s="88" t="s">
        <v>41</v>
      </c>
      <c r="N20" s="88">
        <v>0.61</v>
      </c>
      <c r="O20" s="88" t="s">
        <v>41</v>
      </c>
      <c r="P20" s="90">
        <v>0.4</v>
      </c>
      <c r="Q20" s="87">
        <f t="shared" si="4"/>
        <v>0</v>
      </c>
      <c r="R20" s="89">
        <v>865.0</v>
      </c>
      <c r="S20" s="91">
        <f t="shared" si="5"/>
        <v>1.0553</v>
      </c>
      <c r="T20" s="92">
        <f t="shared" si="6"/>
        <v>0</v>
      </c>
      <c r="U20" s="1"/>
      <c r="V20" s="1"/>
      <c r="W20" s="1"/>
      <c r="X20" s="1"/>
      <c r="Y20" s="1"/>
      <c r="Z20" s="1"/>
    </row>
    <row r="21" ht="14.25" customHeight="1">
      <c r="A21" s="1"/>
      <c r="B21" s="74">
        <v>0.01</v>
      </c>
      <c r="C21" s="76">
        <f t="shared" si="1"/>
        <v>0.46</v>
      </c>
      <c r="D21" s="77">
        <v>0.01</v>
      </c>
      <c r="E21" s="76">
        <f t="shared" si="2"/>
        <v>0.12</v>
      </c>
      <c r="F21" s="79">
        <f t="shared" si="3"/>
        <v>0.00138</v>
      </c>
      <c r="G21" s="81"/>
      <c r="H21" s="82" t="s">
        <v>57</v>
      </c>
      <c r="I21" s="83" t="s">
        <v>47</v>
      </c>
      <c r="J21" s="73">
        <v>3503.0</v>
      </c>
      <c r="K21" s="84" t="s">
        <v>48</v>
      </c>
      <c r="L21" s="86">
        <v>0.025</v>
      </c>
      <c r="M21" s="88" t="s">
        <v>41</v>
      </c>
      <c r="N21" s="88">
        <v>0.46</v>
      </c>
      <c r="O21" s="88" t="s">
        <v>41</v>
      </c>
      <c r="P21" s="90">
        <v>0.12</v>
      </c>
      <c r="Q21" s="87">
        <f t="shared" si="4"/>
        <v>0</v>
      </c>
      <c r="R21" s="89">
        <v>865.0</v>
      </c>
      <c r="S21" s="91">
        <f t="shared" si="5"/>
        <v>1.1937</v>
      </c>
      <c r="T21" s="92">
        <f t="shared" si="6"/>
        <v>0</v>
      </c>
      <c r="U21" s="1"/>
      <c r="V21" s="1"/>
      <c r="W21" s="1"/>
      <c r="X21" s="1"/>
      <c r="Y21" s="1"/>
      <c r="Z21" s="1"/>
    </row>
    <row r="22" ht="14.25" customHeight="1">
      <c r="A22" s="1"/>
      <c r="B22" s="74">
        <v>0.01</v>
      </c>
      <c r="C22" s="76">
        <f t="shared" si="1"/>
        <v>1.36</v>
      </c>
      <c r="D22" s="77">
        <v>0.01</v>
      </c>
      <c r="E22" s="76">
        <f t="shared" si="2"/>
        <v>0.05</v>
      </c>
      <c r="F22" s="79">
        <f t="shared" si="3"/>
        <v>0.00034</v>
      </c>
      <c r="G22" s="81"/>
      <c r="H22" s="82" t="s">
        <v>60</v>
      </c>
      <c r="I22" s="83" t="s">
        <v>47</v>
      </c>
      <c r="J22" s="73">
        <v>3503.0</v>
      </c>
      <c r="K22" s="84" t="s">
        <v>48</v>
      </c>
      <c r="L22" s="86">
        <v>0.005</v>
      </c>
      <c r="M22" s="88" t="s">
        <v>41</v>
      </c>
      <c r="N22" s="88">
        <v>1.36</v>
      </c>
      <c r="O22" s="88" t="s">
        <v>41</v>
      </c>
      <c r="P22" s="90">
        <v>0.05</v>
      </c>
      <c r="Q22" s="87">
        <f t="shared" si="4"/>
        <v>0</v>
      </c>
      <c r="R22" s="89">
        <v>865.0</v>
      </c>
      <c r="S22" s="91">
        <f t="shared" si="5"/>
        <v>0.2941</v>
      </c>
      <c r="T22" s="92">
        <f t="shared" si="6"/>
        <v>0</v>
      </c>
      <c r="U22" s="1"/>
      <c r="V22" s="1"/>
      <c r="W22" s="1"/>
      <c r="X22" s="1"/>
      <c r="Y22" s="1"/>
      <c r="Z22" s="1"/>
    </row>
    <row r="23" ht="14.25" customHeight="1">
      <c r="A23" s="1"/>
      <c r="B23" s="74">
        <v>0.01</v>
      </c>
      <c r="C23" s="76">
        <f t="shared" si="1"/>
        <v>0.53</v>
      </c>
      <c r="D23" s="77">
        <v>0.01</v>
      </c>
      <c r="E23" s="76">
        <f t="shared" si="2"/>
        <v>0.495</v>
      </c>
      <c r="F23" s="79">
        <f t="shared" ref="F23:F26" si="7">SUM(E23*C23*L23)</f>
        <v>0.0183645</v>
      </c>
      <c r="G23" s="81"/>
      <c r="H23" s="82" t="s">
        <v>68</v>
      </c>
      <c r="I23" s="83" t="s">
        <v>47</v>
      </c>
      <c r="J23" s="73">
        <v>3503.0</v>
      </c>
      <c r="K23" s="84" t="s">
        <v>48</v>
      </c>
      <c r="L23" s="86">
        <v>0.07</v>
      </c>
      <c r="M23" s="88" t="s">
        <v>41</v>
      </c>
      <c r="N23" s="88">
        <v>0.53</v>
      </c>
      <c r="O23" s="88" t="s">
        <v>41</v>
      </c>
      <c r="P23" s="90">
        <v>0.495</v>
      </c>
      <c r="Q23" s="87">
        <f t="shared" si="4"/>
        <v>0</v>
      </c>
      <c r="R23" s="89">
        <v>865.0</v>
      </c>
      <c r="S23" s="91">
        <f t="shared" si="5"/>
        <v>15.8852925</v>
      </c>
      <c r="T23" s="92">
        <f t="shared" ref="T23:T37" si="8">SUM(Q23*R23)</f>
        <v>0</v>
      </c>
      <c r="U23" s="25"/>
      <c r="V23" s="1"/>
      <c r="W23" s="1"/>
      <c r="X23" s="1"/>
      <c r="Y23" s="1"/>
      <c r="Z23" s="1"/>
    </row>
    <row r="24" ht="14.25" customHeight="1">
      <c r="A24" s="1"/>
      <c r="B24" s="74">
        <v>0.01</v>
      </c>
      <c r="C24" s="76">
        <f t="shared" si="1"/>
        <v>0.47</v>
      </c>
      <c r="D24" s="77">
        <v>0.01</v>
      </c>
      <c r="E24" s="76">
        <f t="shared" si="2"/>
        <v>0.385</v>
      </c>
      <c r="F24" s="79">
        <f t="shared" si="7"/>
        <v>0.010857</v>
      </c>
      <c r="G24" s="81">
        <v>250.0</v>
      </c>
      <c r="H24" s="82" t="s">
        <v>74</v>
      </c>
      <c r="I24" s="83" t="s">
        <v>47</v>
      </c>
      <c r="J24" s="73">
        <v>3503.0</v>
      </c>
      <c r="K24" s="84" t="s">
        <v>48</v>
      </c>
      <c r="L24" s="86">
        <v>0.06</v>
      </c>
      <c r="M24" s="88" t="s">
        <v>41</v>
      </c>
      <c r="N24" s="88">
        <v>0.47</v>
      </c>
      <c r="O24" s="88" t="s">
        <v>41</v>
      </c>
      <c r="P24" s="90">
        <v>0.385</v>
      </c>
      <c r="Q24" s="87">
        <f t="shared" si="4"/>
        <v>2.71425</v>
      </c>
      <c r="R24" s="89">
        <v>865.0</v>
      </c>
      <c r="S24" s="91">
        <f t="shared" si="5"/>
        <v>9.391305</v>
      </c>
      <c r="T24" s="92">
        <f t="shared" si="8"/>
        <v>2347.82625</v>
      </c>
      <c r="U24" s="25"/>
      <c r="V24" s="1"/>
      <c r="W24" s="1"/>
      <c r="X24" s="1"/>
      <c r="Y24" s="1"/>
      <c r="Z24" s="1"/>
    </row>
    <row r="25" ht="14.25" customHeight="1">
      <c r="A25" s="1"/>
      <c r="B25" s="74">
        <v>0.01</v>
      </c>
      <c r="C25" s="76">
        <f t="shared" si="1"/>
        <v>0.58</v>
      </c>
      <c r="D25" s="77">
        <v>0.01</v>
      </c>
      <c r="E25" s="76">
        <f t="shared" si="2"/>
        <v>0.5</v>
      </c>
      <c r="F25" s="79">
        <f t="shared" si="7"/>
        <v>0.0174</v>
      </c>
      <c r="G25" s="81"/>
      <c r="H25" s="82" t="s">
        <v>79</v>
      </c>
      <c r="I25" s="83" t="s">
        <v>47</v>
      </c>
      <c r="J25" s="73">
        <v>3503.0</v>
      </c>
      <c r="K25" s="84" t="s">
        <v>48</v>
      </c>
      <c r="L25" s="86">
        <v>0.06</v>
      </c>
      <c r="M25" s="88" t="s">
        <v>41</v>
      </c>
      <c r="N25" s="88">
        <v>0.58</v>
      </c>
      <c r="O25" s="88" t="s">
        <v>41</v>
      </c>
      <c r="P25" s="90">
        <v>0.5</v>
      </c>
      <c r="Q25" s="87">
        <f t="shared" si="4"/>
        <v>0</v>
      </c>
      <c r="R25" s="89">
        <v>865.0</v>
      </c>
      <c r="S25" s="91">
        <f t="shared" si="5"/>
        <v>15.051</v>
      </c>
      <c r="T25" s="92">
        <f t="shared" si="8"/>
        <v>0</v>
      </c>
      <c r="U25" s="25"/>
      <c r="V25" s="1"/>
      <c r="W25" s="1"/>
      <c r="X25" s="1"/>
      <c r="Y25" s="1"/>
      <c r="Z25" s="1"/>
    </row>
    <row r="26" ht="14.25" customHeight="1">
      <c r="A26" s="1"/>
      <c r="B26" s="74">
        <v>0.01</v>
      </c>
      <c r="C26" s="76">
        <f t="shared" si="1"/>
        <v>0.5</v>
      </c>
      <c r="D26" s="77">
        <v>0.01</v>
      </c>
      <c r="E26" s="76">
        <f t="shared" si="2"/>
        <v>0.305</v>
      </c>
      <c r="F26" s="79">
        <f t="shared" si="7"/>
        <v>0.007625</v>
      </c>
      <c r="G26" s="81">
        <v>10.0</v>
      </c>
      <c r="H26" s="82" t="s">
        <v>82</v>
      </c>
      <c r="I26" s="83" t="s">
        <v>47</v>
      </c>
      <c r="J26" s="73">
        <v>3503.0</v>
      </c>
      <c r="K26" s="84" t="s">
        <v>48</v>
      </c>
      <c r="L26" s="86">
        <v>0.05</v>
      </c>
      <c r="M26" s="88" t="s">
        <v>41</v>
      </c>
      <c r="N26" s="88">
        <v>0.5</v>
      </c>
      <c r="O26" s="88" t="s">
        <v>41</v>
      </c>
      <c r="P26" s="90">
        <v>0.305</v>
      </c>
      <c r="Q26" s="87">
        <f t="shared" si="4"/>
        <v>0.07625</v>
      </c>
      <c r="R26" s="89">
        <v>865.0</v>
      </c>
      <c r="S26" s="91">
        <f t="shared" si="5"/>
        <v>6.595625</v>
      </c>
      <c r="T26" s="92">
        <f t="shared" si="8"/>
        <v>65.95625</v>
      </c>
      <c r="U26" s="25"/>
      <c r="V26" s="1"/>
      <c r="W26" s="1"/>
      <c r="X26" s="1"/>
      <c r="Y26" s="1"/>
      <c r="Z26" s="1"/>
    </row>
    <row r="27" ht="14.25" customHeight="1">
      <c r="A27" s="1"/>
      <c r="B27" s="74">
        <v>0.01</v>
      </c>
      <c r="C27" s="76">
        <f t="shared" si="1"/>
        <v>0.67</v>
      </c>
      <c r="D27" s="77">
        <v>0.01</v>
      </c>
      <c r="E27" s="78">
        <f t="shared" si="2"/>
        <v>0.54</v>
      </c>
      <c r="F27" s="79">
        <f>SUM(L27*C27*E27)</f>
        <v>0.01809</v>
      </c>
      <c r="G27" s="81">
        <v>880.0</v>
      </c>
      <c r="H27" s="82" t="s">
        <v>87</v>
      </c>
      <c r="I27" s="83" t="s">
        <v>47</v>
      </c>
      <c r="J27" s="73">
        <v>3503.0</v>
      </c>
      <c r="K27" s="84" t="s">
        <v>48</v>
      </c>
      <c r="L27" s="86">
        <v>0.05</v>
      </c>
      <c r="M27" s="88" t="s">
        <v>41</v>
      </c>
      <c r="N27" s="88">
        <v>0.67</v>
      </c>
      <c r="O27" s="88" t="s">
        <v>41</v>
      </c>
      <c r="P27" s="90">
        <v>0.54</v>
      </c>
      <c r="Q27" s="87">
        <f t="shared" si="4"/>
        <v>15.9192</v>
      </c>
      <c r="R27" s="89">
        <v>865.0</v>
      </c>
      <c r="S27" s="91">
        <f t="shared" si="5"/>
        <v>15.64785</v>
      </c>
      <c r="T27" s="92">
        <f t="shared" si="8"/>
        <v>13770.108</v>
      </c>
      <c r="U27" s="1"/>
      <c r="V27" s="1"/>
      <c r="W27" s="1"/>
      <c r="X27" s="1"/>
      <c r="Y27" s="1"/>
      <c r="Z27" s="1"/>
    </row>
    <row r="28" ht="14.25" customHeight="1">
      <c r="A28" s="1"/>
      <c r="B28" s="74">
        <v>0.01</v>
      </c>
      <c r="C28" s="76">
        <f t="shared" si="1"/>
        <v>0.46</v>
      </c>
      <c r="D28" s="77">
        <v>0.01</v>
      </c>
      <c r="E28" s="76">
        <f t="shared" si="2"/>
        <v>0.345</v>
      </c>
      <c r="F28" s="79">
        <f t="shared" ref="F28:F37" si="9">SUM(E28*C28*L28)</f>
        <v>0.009522</v>
      </c>
      <c r="G28" s="81"/>
      <c r="H28" s="82" t="s">
        <v>92</v>
      </c>
      <c r="I28" s="83" t="s">
        <v>47</v>
      </c>
      <c r="J28" s="73">
        <v>3503.0</v>
      </c>
      <c r="K28" s="84" t="s">
        <v>48</v>
      </c>
      <c r="L28" s="86">
        <v>0.06</v>
      </c>
      <c r="M28" s="88" t="s">
        <v>41</v>
      </c>
      <c r="N28" s="88">
        <v>0.46</v>
      </c>
      <c r="O28" s="88" t="s">
        <v>41</v>
      </c>
      <c r="P28" s="90">
        <v>0.345</v>
      </c>
      <c r="Q28" s="87">
        <f t="shared" si="4"/>
        <v>0</v>
      </c>
      <c r="R28" s="89">
        <v>865.0</v>
      </c>
      <c r="S28" s="91">
        <f t="shared" si="5"/>
        <v>8.23653</v>
      </c>
      <c r="T28" s="92">
        <f t="shared" si="8"/>
        <v>0</v>
      </c>
      <c r="U28" s="25"/>
      <c r="V28" s="1"/>
      <c r="W28" s="1"/>
      <c r="X28" s="1"/>
      <c r="Y28" s="1"/>
      <c r="Z28" s="1"/>
    </row>
    <row r="29" ht="14.25" customHeight="1">
      <c r="A29" s="1"/>
      <c r="B29" s="74">
        <v>0.01</v>
      </c>
      <c r="C29" s="76">
        <f t="shared" si="1"/>
        <v>0.74</v>
      </c>
      <c r="D29" s="77">
        <v>0.01</v>
      </c>
      <c r="E29" s="76">
        <f t="shared" si="2"/>
        <v>0.495</v>
      </c>
      <c r="F29" s="79">
        <f t="shared" si="9"/>
        <v>0.03663</v>
      </c>
      <c r="G29" s="81">
        <v>15.0</v>
      </c>
      <c r="H29" s="82" t="s">
        <v>94</v>
      </c>
      <c r="I29" s="83" t="s">
        <v>47</v>
      </c>
      <c r="J29" s="73">
        <v>3503.0</v>
      </c>
      <c r="K29" s="84" t="s">
        <v>48</v>
      </c>
      <c r="L29" s="86">
        <v>0.1</v>
      </c>
      <c r="M29" s="88" t="s">
        <v>41</v>
      </c>
      <c r="N29" s="88">
        <v>0.74</v>
      </c>
      <c r="O29" s="88" t="s">
        <v>41</v>
      </c>
      <c r="P29" s="90">
        <v>0.495</v>
      </c>
      <c r="Q29" s="87">
        <f t="shared" si="4"/>
        <v>0.54945</v>
      </c>
      <c r="R29" s="89">
        <v>865.0</v>
      </c>
      <c r="S29" s="91">
        <f t="shared" si="5"/>
        <v>31.68495</v>
      </c>
      <c r="T29" s="92">
        <f t="shared" si="8"/>
        <v>475.27425</v>
      </c>
      <c r="U29" s="25"/>
      <c r="V29" s="1"/>
      <c r="W29" s="1"/>
      <c r="X29" s="1"/>
      <c r="Y29" s="1"/>
      <c r="Z29" s="1"/>
    </row>
    <row r="30" ht="14.25" customHeight="1">
      <c r="A30" s="1"/>
      <c r="B30" s="74">
        <v>0.01</v>
      </c>
      <c r="C30" s="76">
        <f t="shared" si="1"/>
        <v>0.52</v>
      </c>
      <c r="D30" s="77">
        <v>0.01</v>
      </c>
      <c r="E30" s="76">
        <f t="shared" si="2"/>
        <v>0.5</v>
      </c>
      <c r="F30" s="79">
        <f t="shared" si="9"/>
        <v>0.0026</v>
      </c>
      <c r="G30" s="81">
        <v>15.0</v>
      </c>
      <c r="H30" s="82" t="s">
        <v>97</v>
      </c>
      <c r="I30" s="83" t="s">
        <v>47</v>
      </c>
      <c r="J30" s="73">
        <v>3503.0</v>
      </c>
      <c r="K30" s="84" t="s">
        <v>48</v>
      </c>
      <c r="L30" s="86">
        <v>0.01</v>
      </c>
      <c r="M30" s="88" t="s">
        <v>41</v>
      </c>
      <c r="N30" s="88">
        <v>0.52</v>
      </c>
      <c r="O30" s="88" t="s">
        <v>41</v>
      </c>
      <c r="P30" s="90">
        <v>0.5</v>
      </c>
      <c r="Q30" s="87">
        <f t="shared" si="4"/>
        <v>0.039</v>
      </c>
      <c r="R30" s="89">
        <v>865.0</v>
      </c>
      <c r="S30" s="91">
        <f t="shared" si="5"/>
        <v>2.249</v>
      </c>
      <c r="T30" s="92">
        <f t="shared" si="8"/>
        <v>33.735</v>
      </c>
      <c r="U30" s="25"/>
      <c r="V30" s="1"/>
      <c r="W30" s="1"/>
      <c r="X30" s="1"/>
      <c r="Y30" s="1"/>
      <c r="Z30" s="1"/>
    </row>
    <row r="31" ht="14.25" customHeight="1">
      <c r="A31" s="1"/>
      <c r="B31" s="74">
        <v>0.01</v>
      </c>
      <c r="C31" s="76">
        <f t="shared" si="1"/>
        <v>1</v>
      </c>
      <c r="D31" s="77">
        <v>0.01</v>
      </c>
      <c r="E31" s="76">
        <f t="shared" si="2"/>
        <v>0.505</v>
      </c>
      <c r="F31" s="79">
        <f t="shared" si="9"/>
        <v>0.0101</v>
      </c>
      <c r="G31" s="81">
        <v>10.0</v>
      </c>
      <c r="H31" s="82" t="s">
        <v>100</v>
      </c>
      <c r="I31" s="83" t="s">
        <v>47</v>
      </c>
      <c r="J31" s="73">
        <v>3503.0</v>
      </c>
      <c r="K31" s="84" t="s">
        <v>48</v>
      </c>
      <c r="L31" s="86">
        <v>0.02</v>
      </c>
      <c r="M31" s="88" t="s">
        <v>41</v>
      </c>
      <c r="N31" s="88">
        <v>1.0</v>
      </c>
      <c r="O31" s="88" t="s">
        <v>41</v>
      </c>
      <c r="P31" s="90">
        <v>0.505</v>
      </c>
      <c r="Q31" s="87">
        <f t="shared" si="4"/>
        <v>0.101</v>
      </c>
      <c r="R31" s="89">
        <v>865.0</v>
      </c>
      <c r="S31" s="91">
        <f t="shared" si="5"/>
        <v>8.7365</v>
      </c>
      <c r="T31" s="92">
        <f t="shared" si="8"/>
        <v>87.365</v>
      </c>
      <c r="U31" s="25"/>
      <c r="V31" s="1"/>
      <c r="W31" s="1"/>
      <c r="X31" s="1"/>
      <c r="Y31" s="1"/>
      <c r="Z31" s="1"/>
    </row>
    <row r="32" ht="14.25" customHeight="1">
      <c r="A32" s="1"/>
      <c r="B32" s="74">
        <v>0.01</v>
      </c>
      <c r="C32" s="76">
        <f t="shared" si="1"/>
        <v>0.44</v>
      </c>
      <c r="D32" s="77">
        <v>0.01</v>
      </c>
      <c r="E32" s="76">
        <f t="shared" si="2"/>
        <v>0.39</v>
      </c>
      <c r="F32" s="79">
        <f t="shared" si="9"/>
        <v>0.003432</v>
      </c>
      <c r="G32" s="81"/>
      <c r="H32" s="82" t="s">
        <v>104</v>
      </c>
      <c r="I32" s="83" t="s">
        <v>47</v>
      </c>
      <c r="J32" s="73">
        <v>3503.0</v>
      </c>
      <c r="K32" s="84" t="s">
        <v>48</v>
      </c>
      <c r="L32" s="86">
        <v>0.02</v>
      </c>
      <c r="M32" s="88" t="s">
        <v>41</v>
      </c>
      <c r="N32" s="88">
        <v>0.44</v>
      </c>
      <c r="O32" s="88" t="s">
        <v>41</v>
      </c>
      <c r="P32" s="90">
        <v>0.39</v>
      </c>
      <c r="Q32" s="87">
        <f t="shared" si="4"/>
        <v>0</v>
      </c>
      <c r="R32" s="89">
        <v>865.0</v>
      </c>
      <c r="S32" s="91">
        <f t="shared" si="5"/>
        <v>2.96868</v>
      </c>
      <c r="T32" s="92">
        <f t="shared" si="8"/>
        <v>0</v>
      </c>
      <c r="U32" s="25"/>
      <c r="V32" s="1"/>
      <c r="W32" s="1"/>
      <c r="X32" s="1"/>
      <c r="Y32" s="1"/>
      <c r="Z32" s="1"/>
    </row>
    <row r="33" ht="14.25" customHeight="1">
      <c r="A33" s="1"/>
      <c r="B33" s="74">
        <v>0.01</v>
      </c>
      <c r="C33" s="76">
        <f t="shared" si="1"/>
        <v>0.505</v>
      </c>
      <c r="D33" s="77">
        <v>0.01</v>
      </c>
      <c r="E33" s="76">
        <f t="shared" si="2"/>
        <v>0.43</v>
      </c>
      <c r="F33" s="79">
        <f t="shared" si="9"/>
        <v>0.0108575</v>
      </c>
      <c r="G33" s="81"/>
      <c r="H33" s="82" t="s">
        <v>105</v>
      </c>
      <c r="I33" s="83" t="s">
        <v>47</v>
      </c>
      <c r="J33" s="73">
        <v>3503.0</v>
      </c>
      <c r="K33" s="84" t="s">
        <v>48</v>
      </c>
      <c r="L33" s="86">
        <v>0.05</v>
      </c>
      <c r="M33" s="88" t="s">
        <v>41</v>
      </c>
      <c r="N33" s="88">
        <v>0.505</v>
      </c>
      <c r="O33" s="88" t="s">
        <v>41</v>
      </c>
      <c r="P33" s="90">
        <v>0.43</v>
      </c>
      <c r="Q33" s="87">
        <f t="shared" si="4"/>
        <v>0</v>
      </c>
      <c r="R33" s="89">
        <v>865.0</v>
      </c>
      <c r="S33" s="91">
        <f t="shared" si="5"/>
        <v>9.3917375</v>
      </c>
      <c r="T33" s="92">
        <f t="shared" si="8"/>
        <v>0</v>
      </c>
      <c r="U33" s="25"/>
      <c r="V33" s="1"/>
      <c r="W33" s="1"/>
      <c r="X33" s="1"/>
      <c r="Y33" s="1"/>
      <c r="Z33" s="1"/>
    </row>
    <row r="34" ht="14.25" customHeight="1">
      <c r="A34" s="1"/>
      <c r="B34" s="74">
        <v>0.01</v>
      </c>
      <c r="C34" s="76">
        <f t="shared" si="1"/>
        <v>0.43</v>
      </c>
      <c r="D34" s="77">
        <v>0.01</v>
      </c>
      <c r="E34" s="76">
        <f t="shared" si="2"/>
        <v>0.385</v>
      </c>
      <c r="F34" s="79">
        <f t="shared" si="9"/>
        <v>0.016555</v>
      </c>
      <c r="G34" s="81"/>
      <c r="H34" s="82" t="s">
        <v>109</v>
      </c>
      <c r="I34" s="83" t="s">
        <v>47</v>
      </c>
      <c r="J34" s="73">
        <v>3503.0</v>
      </c>
      <c r="K34" s="84" t="s">
        <v>48</v>
      </c>
      <c r="L34" s="86">
        <v>0.1</v>
      </c>
      <c r="M34" s="88" t="s">
        <v>41</v>
      </c>
      <c r="N34" s="88">
        <v>0.43</v>
      </c>
      <c r="O34" s="88" t="s">
        <v>41</v>
      </c>
      <c r="P34" s="90">
        <v>0.385</v>
      </c>
      <c r="Q34" s="87">
        <f t="shared" si="4"/>
        <v>0</v>
      </c>
      <c r="R34" s="89">
        <v>865.0</v>
      </c>
      <c r="S34" s="91">
        <f t="shared" si="5"/>
        <v>14.320075</v>
      </c>
      <c r="T34" s="92">
        <f t="shared" si="8"/>
        <v>0</v>
      </c>
      <c r="U34" s="25"/>
      <c r="V34" s="1"/>
      <c r="W34" s="1"/>
      <c r="X34" s="1"/>
      <c r="Y34" s="1"/>
      <c r="Z34" s="1"/>
    </row>
    <row r="35" ht="14.25" customHeight="1">
      <c r="A35" s="1"/>
      <c r="B35" s="95">
        <v>0.01</v>
      </c>
      <c r="C35" s="78">
        <f t="shared" si="1"/>
        <v>0.32</v>
      </c>
      <c r="D35" s="77">
        <v>0.01</v>
      </c>
      <c r="E35" s="76">
        <f t="shared" si="2"/>
        <v>0.07</v>
      </c>
      <c r="F35" s="79">
        <f t="shared" si="9"/>
        <v>0.000448</v>
      </c>
      <c r="G35" s="81"/>
      <c r="H35" s="82" t="s">
        <v>115</v>
      </c>
      <c r="I35" s="83" t="s">
        <v>47</v>
      </c>
      <c r="J35" s="73">
        <v>3503.0</v>
      </c>
      <c r="K35" s="84" t="s">
        <v>48</v>
      </c>
      <c r="L35" s="86">
        <v>0.02</v>
      </c>
      <c r="M35" s="88" t="s">
        <v>41</v>
      </c>
      <c r="N35" s="88">
        <v>0.32</v>
      </c>
      <c r="O35" s="88" t="s">
        <v>41</v>
      </c>
      <c r="P35" s="90">
        <v>0.07</v>
      </c>
      <c r="Q35" s="87">
        <f t="shared" si="4"/>
        <v>0</v>
      </c>
      <c r="R35" s="89">
        <v>865.0</v>
      </c>
      <c r="S35" s="91">
        <f t="shared" si="5"/>
        <v>0.38752</v>
      </c>
      <c r="T35" s="92">
        <f t="shared" si="8"/>
        <v>0</v>
      </c>
      <c r="U35" s="25"/>
      <c r="V35" s="1"/>
      <c r="W35" s="1"/>
      <c r="X35" s="1"/>
      <c r="Y35" s="1"/>
      <c r="Z35" s="1"/>
    </row>
    <row r="36" ht="14.25" customHeight="1">
      <c r="A36" s="1"/>
      <c r="B36" s="74">
        <v>0.01</v>
      </c>
      <c r="C36" s="76">
        <f t="shared" si="1"/>
        <v>0.46</v>
      </c>
      <c r="D36" s="77">
        <v>0.01</v>
      </c>
      <c r="E36" s="76">
        <f t="shared" si="2"/>
        <v>0.14</v>
      </c>
      <c r="F36" s="79">
        <f t="shared" si="9"/>
        <v>0.00161</v>
      </c>
      <c r="G36" s="80"/>
      <c r="H36" s="82" t="s">
        <v>119</v>
      </c>
      <c r="I36" s="83" t="s">
        <v>47</v>
      </c>
      <c r="J36" s="73">
        <v>3503.0</v>
      </c>
      <c r="K36" s="84" t="s">
        <v>48</v>
      </c>
      <c r="L36" s="108">
        <v>0.025</v>
      </c>
      <c r="M36" s="109" t="s">
        <v>41</v>
      </c>
      <c r="N36" s="109">
        <v>0.46</v>
      </c>
      <c r="O36" s="109" t="s">
        <v>41</v>
      </c>
      <c r="P36" s="110">
        <v>0.14</v>
      </c>
      <c r="Q36" s="87">
        <f t="shared" si="4"/>
        <v>0</v>
      </c>
      <c r="R36" s="89">
        <v>865.0</v>
      </c>
      <c r="S36" s="91">
        <f t="shared" si="5"/>
        <v>1.39265</v>
      </c>
      <c r="T36" s="92">
        <f t="shared" si="8"/>
        <v>0</v>
      </c>
      <c r="U36" s="25"/>
      <c r="V36" s="1"/>
      <c r="W36" s="1"/>
      <c r="X36" s="1"/>
      <c r="Y36" s="1"/>
      <c r="Z36" s="1"/>
    </row>
    <row r="37" ht="14.25" customHeight="1">
      <c r="A37" s="1"/>
      <c r="B37" s="74">
        <v>0.01</v>
      </c>
      <c r="C37" s="76">
        <f t="shared" si="1"/>
        <v>0.46</v>
      </c>
      <c r="D37" s="77">
        <v>0.01</v>
      </c>
      <c r="E37" s="76">
        <f t="shared" si="2"/>
        <v>0.12</v>
      </c>
      <c r="F37" s="79">
        <f t="shared" si="9"/>
        <v>0.00138</v>
      </c>
      <c r="G37" s="80">
        <v>525.0</v>
      </c>
      <c r="H37" s="82" t="s">
        <v>126</v>
      </c>
      <c r="I37" s="83" t="s">
        <v>47</v>
      </c>
      <c r="J37" s="73">
        <v>3503.0</v>
      </c>
      <c r="K37" s="83" t="s">
        <v>48</v>
      </c>
      <c r="L37" s="112">
        <v>0.025</v>
      </c>
      <c r="M37" s="113" t="s">
        <v>41</v>
      </c>
      <c r="N37" s="113">
        <v>0.46</v>
      </c>
      <c r="O37" s="113" t="s">
        <v>41</v>
      </c>
      <c r="P37" s="114">
        <v>0.12</v>
      </c>
      <c r="Q37" s="96">
        <f t="shared" si="4"/>
        <v>0.7245</v>
      </c>
      <c r="R37" s="89">
        <v>865.0</v>
      </c>
      <c r="S37" s="91">
        <f t="shared" si="5"/>
        <v>1.1937</v>
      </c>
      <c r="T37" s="92">
        <f t="shared" si="8"/>
        <v>626.6925</v>
      </c>
      <c r="U37" s="25"/>
      <c r="V37" s="1"/>
      <c r="W37" s="1"/>
      <c r="X37" s="1"/>
      <c r="Y37" s="1"/>
      <c r="Z37" s="1"/>
    </row>
    <row r="38" ht="14.25" customHeight="1">
      <c r="A38" s="1"/>
      <c r="B38" s="5"/>
      <c r="C38" s="94"/>
      <c r="D38" s="95"/>
      <c r="E38" s="96"/>
      <c r="F38" s="79"/>
      <c r="G38" s="97">
        <v>20.0</v>
      </c>
      <c r="H38" s="98" t="s">
        <v>130</v>
      </c>
      <c r="I38" s="83" t="s">
        <v>47</v>
      </c>
      <c r="J38" s="73">
        <v>3503.0</v>
      </c>
      <c r="K38" s="83" t="s">
        <v>48</v>
      </c>
      <c r="L38" s="116">
        <v>0.47</v>
      </c>
      <c r="M38" s="113" t="s">
        <v>41</v>
      </c>
      <c r="N38" s="117">
        <v>0.385</v>
      </c>
      <c r="O38" s="113" t="s">
        <v>41</v>
      </c>
      <c r="P38" s="119">
        <v>0.06</v>
      </c>
      <c r="Q38" s="96"/>
      <c r="R38" s="89"/>
      <c r="S38" s="89"/>
      <c r="T38" s="89"/>
      <c r="U38" s="120"/>
      <c r="V38" s="1"/>
      <c r="W38" s="1"/>
      <c r="X38" s="1"/>
      <c r="Y38" s="1"/>
      <c r="Z38" s="1"/>
    </row>
    <row r="39" ht="14.25" customHeight="1">
      <c r="A39" s="1"/>
      <c r="B39" s="5"/>
      <c r="C39" s="94"/>
      <c r="D39" s="95"/>
      <c r="E39" s="96"/>
      <c r="F39" s="79"/>
      <c r="G39" s="97">
        <v>15.0</v>
      </c>
      <c r="H39" s="124" t="s">
        <v>134</v>
      </c>
      <c r="I39" s="83" t="s">
        <v>47</v>
      </c>
      <c r="J39" s="73">
        <v>3503.0</v>
      </c>
      <c r="K39" s="83" t="s">
        <v>48</v>
      </c>
      <c r="L39" s="127">
        <v>0.005</v>
      </c>
      <c r="M39" s="128" t="s">
        <v>135</v>
      </c>
      <c r="N39" s="129">
        <v>0.37</v>
      </c>
      <c r="O39" s="128" t="s">
        <v>135</v>
      </c>
      <c r="P39" s="130">
        <v>0.07</v>
      </c>
      <c r="Q39" s="96"/>
      <c r="R39" s="89"/>
      <c r="S39" s="89"/>
      <c r="T39" s="89"/>
      <c r="U39" s="120"/>
      <c r="V39" s="1"/>
      <c r="W39" s="1"/>
      <c r="X39" s="1"/>
      <c r="Y39" s="1"/>
      <c r="Z39" s="1"/>
    </row>
    <row r="40" ht="14.25" customHeight="1">
      <c r="A40" s="1"/>
      <c r="B40" s="5"/>
      <c r="C40" s="94"/>
      <c r="D40" s="95"/>
      <c r="E40" s="96"/>
      <c r="F40" s="79"/>
      <c r="G40" s="97"/>
      <c r="H40" s="124" t="s">
        <v>138</v>
      </c>
      <c r="I40" s="83" t="s">
        <v>47</v>
      </c>
      <c r="J40" s="73">
        <v>3503.0</v>
      </c>
      <c r="K40" s="83" t="s">
        <v>48</v>
      </c>
      <c r="L40" s="127">
        <v>0.006</v>
      </c>
      <c r="M40" s="128" t="s">
        <v>135</v>
      </c>
      <c r="N40" s="129">
        <v>0.365</v>
      </c>
      <c r="O40" s="128" t="s">
        <v>135</v>
      </c>
      <c r="P40" s="130">
        <v>0.07</v>
      </c>
      <c r="Q40" s="96"/>
      <c r="R40" s="89"/>
      <c r="S40" s="89"/>
      <c r="T40" s="89"/>
      <c r="U40" s="120"/>
      <c r="V40" s="1"/>
      <c r="W40" s="1"/>
      <c r="X40" s="1"/>
      <c r="Y40" s="1"/>
      <c r="Z40" s="1"/>
    </row>
    <row r="41" ht="14.25" customHeight="1">
      <c r="A41" s="1"/>
      <c r="B41" s="5"/>
      <c r="C41" s="94"/>
      <c r="D41" s="95"/>
      <c r="E41" s="96"/>
      <c r="F41" s="79"/>
      <c r="G41" s="97"/>
      <c r="H41" s="124" t="s">
        <v>140</v>
      </c>
      <c r="I41" s="83" t="s">
        <v>47</v>
      </c>
      <c r="J41" s="73">
        <v>3503.0</v>
      </c>
      <c r="K41" s="83" t="s">
        <v>48</v>
      </c>
      <c r="L41" s="127">
        <v>0.005</v>
      </c>
      <c r="M41" s="128" t="s">
        <v>135</v>
      </c>
      <c r="N41" s="129">
        <v>0.57</v>
      </c>
      <c r="O41" s="128" t="s">
        <v>135</v>
      </c>
      <c r="P41" s="130">
        <v>0.67</v>
      </c>
      <c r="Q41" s="96"/>
      <c r="R41" s="89"/>
      <c r="S41" s="89"/>
      <c r="T41" s="89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94"/>
      <c r="D42" s="95"/>
      <c r="E42" s="96"/>
      <c r="F42" s="79"/>
      <c r="G42" s="97"/>
      <c r="H42" s="124" t="s">
        <v>142</v>
      </c>
      <c r="I42" s="83" t="s">
        <v>47</v>
      </c>
      <c r="J42" s="73">
        <v>3503.0</v>
      </c>
      <c r="K42" s="83" t="s">
        <v>48</v>
      </c>
      <c r="L42" s="127">
        <v>0.01</v>
      </c>
      <c r="M42" s="129" t="s">
        <v>135</v>
      </c>
      <c r="N42" s="129">
        <v>0.52</v>
      </c>
      <c r="O42" s="128" t="s">
        <v>135</v>
      </c>
      <c r="P42" s="135">
        <v>0.5</v>
      </c>
      <c r="Q42" s="96"/>
      <c r="R42" s="89"/>
      <c r="S42" s="89"/>
      <c r="T42" s="89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95"/>
      <c r="E43" s="96"/>
      <c r="F43" s="79"/>
      <c r="G43" s="97"/>
      <c r="H43" s="124" t="s">
        <v>145</v>
      </c>
      <c r="I43" s="83" t="s">
        <v>47</v>
      </c>
      <c r="J43" s="73">
        <v>3503.0</v>
      </c>
      <c r="K43" s="83" t="s">
        <v>48</v>
      </c>
      <c r="L43" s="127">
        <v>0.05</v>
      </c>
      <c r="M43" s="129" t="s">
        <v>135</v>
      </c>
      <c r="N43" s="129">
        <v>0.435</v>
      </c>
      <c r="O43" s="129" t="s">
        <v>135</v>
      </c>
      <c r="P43" s="135">
        <v>0.3</v>
      </c>
      <c r="Q43" s="96"/>
      <c r="R43" s="89"/>
      <c r="S43" s="89"/>
      <c r="T43" s="89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84"/>
      <c r="H44" s="124" t="s">
        <v>148</v>
      </c>
      <c r="I44" s="83" t="s">
        <v>47</v>
      </c>
      <c r="J44" s="73">
        <v>3503.0</v>
      </c>
      <c r="K44" s="83" t="s">
        <v>48</v>
      </c>
      <c r="L44" s="127">
        <v>0.06</v>
      </c>
      <c r="M44" s="129" t="s">
        <v>135</v>
      </c>
      <c r="N44" s="129">
        <v>0.22</v>
      </c>
      <c r="O44" s="129" t="s">
        <v>135</v>
      </c>
      <c r="P44" s="135">
        <v>0.12</v>
      </c>
      <c r="Q44" s="132"/>
      <c r="R44" s="84"/>
      <c r="S44" s="133"/>
      <c r="T44" s="84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38"/>
      <c r="H45" s="124" t="s">
        <v>152</v>
      </c>
      <c r="I45" s="83" t="s">
        <v>47</v>
      </c>
      <c r="J45" s="73">
        <v>3503.0</v>
      </c>
      <c r="K45" s="83" t="s">
        <v>48</v>
      </c>
      <c r="L45" s="127">
        <v>0.06</v>
      </c>
      <c r="M45" s="129" t="s">
        <v>135</v>
      </c>
      <c r="N45" s="129">
        <v>0.5</v>
      </c>
      <c r="O45" s="128" t="s">
        <v>135</v>
      </c>
      <c r="P45" s="135">
        <v>0.385</v>
      </c>
      <c r="Q45" s="137"/>
      <c r="R45" s="138"/>
      <c r="S45" s="138"/>
      <c r="T45" s="138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38"/>
      <c r="H46" s="124" t="s">
        <v>154</v>
      </c>
      <c r="I46" s="83" t="s">
        <v>47</v>
      </c>
      <c r="J46" s="73">
        <v>3503.0</v>
      </c>
      <c r="K46" s="83" t="s">
        <v>48</v>
      </c>
      <c r="L46" s="127">
        <v>0.01</v>
      </c>
      <c r="M46" s="129" t="s">
        <v>135</v>
      </c>
      <c r="N46" s="129">
        <v>0.4</v>
      </c>
      <c r="O46" s="128" t="s">
        <v>135</v>
      </c>
      <c r="P46" s="135">
        <v>0.305</v>
      </c>
      <c r="Q46" s="137"/>
      <c r="R46" s="138"/>
      <c r="S46" s="138"/>
      <c r="T46" s="138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38"/>
      <c r="H47" s="124" t="s">
        <v>155</v>
      </c>
      <c r="I47" s="83" t="s">
        <v>47</v>
      </c>
      <c r="J47" s="73">
        <v>3503.0</v>
      </c>
      <c r="K47" s="83" t="s">
        <v>48</v>
      </c>
      <c r="L47" s="127">
        <v>0.01</v>
      </c>
      <c r="M47" s="129" t="s">
        <v>135</v>
      </c>
      <c r="N47" s="129">
        <v>0.69</v>
      </c>
      <c r="O47" s="128" t="s">
        <v>135</v>
      </c>
      <c r="P47" s="135">
        <v>0.535</v>
      </c>
      <c r="Q47" s="137"/>
      <c r="R47" s="138"/>
      <c r="S47" s="138"/>
      <c r="T47" s="138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38"/>
      <c r="H48" s="124" t="s">
        <v>156</v>
      </c>
      <c r="I48" s="83" t="s">
        <v>47</v>
      </c>
      <c r="J48" s="73">
        <v>3503.0</v>
      </c>
      <c r="K48" s="83" t="s">
        <v>48</v>
      </c>
      <c r="L48" s="127">
        <v>0.05</v>
      </c>
      <c r="M48" s="129" t="s">
        <v>135</v>
      </c>
      <c r="N48" s="129">
        <v>0.34</v>
      </c>
      <c r="O48" s="128" t="s">
        <v>135</v>
      </c>
      <c r="P48" s="135">
        <v>0.175</v>
      </c>
      <c r="Q48" s="137"/>
      <c r="R48" s="138"/>
      <c r="S48" s="138"/>
      <c r="T48" s="138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38"/>
      <c r="Q49" s="137"/>
      <c r="R49" s="138"/>
      <c r="S49" s="138"/>
      <c r="T49" s="138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84"/>
      <c r="H50" s="124"/>
      <c r="I50" s="83"/>
      <c r="J50" s="73"/>
      <c r="K50" s="83"/>
      <c r="L50" s="127"/>
      <c r="M50" s="129"/>
      <c r="N50" s="129"/>
      <c r="O50" s="128"/>
      <c r="P50" s="135"/>
      <c r="Q50" s="142"/>
      <c r="R50" s="84"/>
      <c r="S50" s="84"/>
      <c r="T50" s="84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84"/>
      <c r="Q51" s="142"/>
      <c r="R51" s="84"/>
      <c r="S51" s="84"/>
      <c r="T51" s="84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84"/>
      <c r="H52" s="124"/>
      <c r="I52" s="83"/>
      <c r="J52" s="73"/>
      <c r="K52" s="83"/>
      <c r="L52" s="127"/>
      <c r="M52" s="129"/>
      <c r="N52" s="129"/>
      <c r="O52" s="128"/>
      <c r="P52" s="135"/>
      <c r="Q52" s="142"/>
      <c r="R52" s="84"/>
      <c r="S52" s="84"/>
      <c r="T52" s="84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84"/>
      <c r="H53" s="124"/>
      <c r="I53" s="83"/>
      <c r="J53" s="73"/>
      <c r="K53" s="83"/>
      <c r="L53" s="127"/>
      <c r="M53" s="129"/>
      <c r="N53" s="129"/>
      <c r="O53" s="128"/>
      <c r="P53" s="135"/>
      <c r="Q53" s="142"/>
      <c r="R53" s="84"/>
      <c r="S53" s="84"/>
      <c r="T53" s="84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84"/>
      <c r="H54" s="124"/>
      <c r="I54" s="134"/>
      <c r="J54" s="73"/>
      <c r="K54" s="83"/>
      <c r="L54" s="127"/>
      <c r="M54" s="129"/>
      <c r="N54" s="129"/>
      <c r="O54" s="128"/>
      <c r="P54" s="135"/>
      <c r="Q54" s="142"/>
      <c r="R54" s="84"/>
      <c r="S54" s="84"/>
      <c r="T54" s="84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84"/>
      <c r="H55" s="143"/>
      <c r="I55" s="144"/>
      <c r="K55" s="145"/>
      <c r="P55" s="143"/>
      <c r="Q55" s="142"/>
      <c r="R55" s="84"/>
      <c r="S55" s="84"/>
      <c r="T55" s="84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84"/>
      <c r="H56" s="137"/>
      <c r="I56" s="146"/>
      <c r="J56" s="137"/>
      <c r="K56" s="137"/>
      <c r="L56" s="146"/>
      <c r="M56" s="146"/>
      <c r="N56" s="146"/>
      <c r="O56" s="146"/>
      <c r="P56" s="137"/>
      <c r="Q56" s="142"/>
      <c r="R56" s="84"/>
      <c r="S56" s="84"/>
      <c r="T56" s="84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84"/>
      <c r="I57" s="147"/>
      <c r="J57" s="143"/>
      <c r="K57" s="145"/>
      <c r="P57" s="143"/>
      <c r="Q57" s="142"/>
      <c r="R57" s="84"/>
      <c r="S57" s="84"/>
      <c r="T57" s="84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84"/>
      <c r="H58" s="124"/>
      <c r="I58" s="148"/>
      <c r="J58" s="73"/>
      <c r="K58" s="83"/>
      <c r="L58" s="127"/>
      <c r="M58" s="129"/>
      <c r="N58" s="129"/>
      <c r="O58" s="128"/>
      <c r="P58" s="135"/>
      <c r="Q58" s="142"/>
      <c r="R58" s="84"/>
      <c r="S58" s="84"/>
      <c r="T58" s="84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84"/>
      <c r="H59" s="124"/>
      <c r="I59" s="83"/>
      <c r="J59" s="73"/>
      <c r="K59" s="83"/>
      <c r="L59" s="127"/>
      <c r="M59" s="129"/>
      <c r="N59" s="129"/>
      <c r="O59" s="128"/>
      <c r="P59" s="135"/>
      <c r="Q59" s="142"/>
      <c r="R59" s="84"/>
      <c r="S59" s="84"/>
      <c r="T59" s="84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84"/>
      <c r="H60" s="124"/>
      <c r="I60" s="83"/>
      <c r="J60" s="73"/>
      <c r="K60" s="84"/>
      <c r="L60" s="127"/>
      <c r="M60" s="129"/>
      <c r="N60" s="129"/>
      <c r="O60" s="128"/>
      <c r="P60" s="135"/>
      <c r="Q60" s="142"/>
      <c r="R60" s="84"/>
      <c r="S60" s="84"/>
      <c r="T60" s="84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84"/>
      <c r="Q61" s="142"/>
      <c r="R61" s="84"/>
      <c r="S61" s="84"/>
      <c r="T61" s="84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84"/>
      <c r="Q62" s="84"/>
      <c r="R62" s="84"/>
      <c r="S62" s="84"/>
      <c r="T62" s="84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3"/>
      <c r="I65" s="1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4.25" customHeight="1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00" t="s">
        <v>59</v>
      </c>
      <c r="O66" s="6"/>
      <c r="P66" s="6"/>
      <c r="Q66" s="101">
        <f>SUM(Q19:Q43)</f>
        <v>20.12365</v>
      </c>
      <c r="R66" s="1"/>
      <c r="S66" s="101"/>
      <c r="T66" s="102">
        <f>SUM(T19:T37)</f>
        <v>17406.95725</v>
      </c>
    </row>
    <row r="67" ht="14.25" customHeight="1">
      <c r="A67" s="1"/>
      <c r="B67" s="1"/>
      <c r="C67" s="1"/>
      <c r="D67" s="1"/>
      <c r="E67" s="1"/>
      <c r="F67" s="1"/>
      <c r="G67" s="5" t="s">
        <v>63</v>
      </c>
      <c r="H67" s="6"/>
      <c r="I67" s="6"/>
      <c r="J67" s="6"/>
      <c r="K67" s="1" t="s">
        <v>64</v>
      </c>
      <c r="L67" s="103" t="s">
        <v>157</v>
      </c>
      <c r="M67" s="8"/>
      <c r="N67" s="8"/>
      <c r="O67" s="8"/>
      <c r="P67" s="8"/>
      <c r="Q67" s="8"/>
      <c r="R67" s="8"/>
      <c r="S67" s="8"/>
      <c r="T67" s="11"/>
    </row>
    <row r="68" ht="14.25" customHeight="1">
      <c r="A68" s="1"/>
      <c r="B68" s="1"/>
      <c r="C68" s="1"/>
      <c r="D68" s="1"/>
      <c r="E68" s="1"/>
      <c r="F68" s="1"/>
      <c r="G68" s="83" t="s">
        <v>66</v>
      </c>
      <c r="H68" s="8"/>
      <c r="I68" s="8"/>
      <c r="J68" s="11"/>
      <c r="K68" s="1"/>
      <c r="L68" s="103" t="s">
        <v>158</v>
      </c>
      <c r="M68" s="8"/>
      <c r="N68" s="8"/>
      <c r="O68" s="8"/>
      <c r="P68" s="8"/>
      <c r="Q68" s="8"/>
      <c r="R68" s="8"/>
      <c r="S68" s="8"/>
      <c r="T68" s="11"/>
    </row>
    <row r="69" ht="14.25" customHeight="1">
      <c r="A69" s="1"/>
      <c r="B69" s="1"/>
      <c r="C69" s="1"/>
      <c r="D69" s="1"/>
      <c r="E69" s="1"/>
      <c r="F69" s="1"/>
      <c r="G69" s="5" t="s">
        <v>69</v>
      </c>
      <c r="H69" s="6"/>
      <c r="I69" s="6"/>
      <c r="J69" s="6"/>
      <c r="K69" s="1"/>
      <c r="L69" s="103"/>
      <c r="M69" s="8"/>
      <c r="N69" s="8"/>
      <c r="O69" s="8"/>
      <c r="P69" s="8"/>
      <c r="Q69" s="8"/>
      <c r="R69" s="8"/>
      <c r="S69" s="8"/>
      <c r="T69" s="11"/>
    </row>
    <row r="70" ht="14.25" customHeight="1">
      <c r="A70" s="1"/>
      <c r="B70" s="1"/>
      <c r="C70" s="1"/>
      <c r="D70" s="1"/>
      <c r="E70" s="1"/>
      <c r="F70" s="1"/>
      <c r="G70" s="105" t="s">
        <v>73</v>
      </c>
      <c r="H70" s="106"/>
      <c r="I70" s="106"/>
      <c r="J70" s="106"/>
      <c r="K70" s="1"/>
      <c r="L70" s="103"/>
      <c r="M70" s="8"/>
      <c r="N70" s="8"/>
      <c r="O70" s="8"/>
      <c r="P70" s="8"/>
      <c r="Q70" s="8"/>
      <c r="R70" s="8"/>
      <c r="S70" s="8"/>
      <c r="T70" s="11"/>
    </row>
    <row r="71" ht="14.25" customHeight="1">
      <c r="A71" s="1"/>
      <c r="B71" s="1"/>
      <c r="C71" s="1"/>
      <c r="D71" s="1"/>
      <c r="E71" s="1"/>
      <c r="F71" s="1"/>
      <c r="G71" s="1"/>
      <c r="H71" s="3"/>
      <c r="I71" s="1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T$62"/>
  <mergeCells count="52">
    <mergeCell ref="G11:I11"/>
    <mergeCell ref="G12:I12"/>
    <mergeCell ref="J12:O12"/>
    <mergeCell ref="S12:T12"/>
    <mergeCell ref="G13:I13"/>
    <mergeCell ref="Q13:R13"/>
    <mergeCell ref="S13:T13"/>
    <mergeCell ref="J13:O13"/>
    <mergeCell ref="K14:O14"/>
    <mergeCell ref="K15:N15"/>
    <mergeCell ref="Q15:T15"/>
    <mergeCell ref="G17:G18"/>
    <mergeCell ref="H17:H18"/>
    <mergeCell ref="I17:J18"/>
    <mergeCell ref="L68:T68"/>
    <mergeCell ref="L69:T69"/>
    <mergeCell ref="Q17:Q18"/>
    <mergeCell ref="R17:R18"/>
    <mergeCell ref="N66:P66"/>
    <mergeCell ref="G67:J67"/>
    <mergeCell ref="L67:T67"/>
    <mergeCell ref="G68:J68"/>
    <mergeCell ref="G69:J69"/>
    <mergeCell ref="J7:O7"/>
    <mergeCell ref="S7:T7"/>
    <mergeCell ref="K2:Q2"/>
    <mergeCell ref="J3:Q3"/>
    <mergeCell ref="I4:Q4"/>
    <mergeCell ref="I5:Q5"/>
    <mergeCell ref="G6:I6"/>
    <mergeCell ref="J6:T6"/>
    <mergeCell ref="G7:H7"/>
    <mergeCell ref="G8:I8"/>
    <mergeCell ref="J8:O8"/>
    <mergeCell ref="S8:T8"/>
    <mergeCell ref="G9:I9"/>
    <mergeCell ref="J9:O9"/>
    <mergeCell ref="Q9:R9"/>
    <mergeCell ref="S9:T9"/>
    <mergeCell ref="G10:I10"/>
    <mergeCell ref="J10:O10"/>
    <mergeCell ref="Q10:R10"/>
    <mergeCell ref="S10:T10"/>
    <mergeCell ref="J11:O11"/>
    <mergeCell ref="Q11:R11"/>
    <mergeCell ref="S11:T11"/>
    <mergeCell ref="K17:K18"/>
    <mergeCell ref="L17:P17"/>
    <mergeCell ref="S17:S18"/>
    <mergeCell ref="T17:T18"/>
    <mergeCell ref="G70:J70"/>
    <mergeCell ref="L70:T70"/>
  </mergeCells>
  <dataValidations>
    <dataValidation type="list" allowBlank="1" showErrorMessage="1" sqref="I19:I48 I50 I52:I54 I58:I60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22.43"/>
    <col customWidth="1" min="11" max="11" width="5.0"/>
    <col customWidth="1" min="12" max="12" width="5.86"/>
    <col customWidth="1" min="13" max="13" width="11.29"/>
    <col customWidth="1" min="14" max="14" width="7.86"/>
    <col customWidth="1" min="15" max="15" width="1.43"/>
    <col customWidth="1" min="16" max="16" width="7.86"/>
    <col customWidth="1" min="17" max="17" width="1.43"/>
    <col customWidth="1" min="18" max="18" width="7.86"/>
    <col customWidth="1" min="19" max="19" width="9.14"/>
    <col customWidth="1" min="20" max="20" width="11.29"/>
    <col customWidth="1" min="21" max="21" width="12.14"/>
    <col customWidth="1" min="22" max="22" width="17.57"/>
    <col customWidth="1" min="23" max="23" width="14.71"/>
    <col customWidth="1" min="24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T2" s="1"/>
      <c r="U2" s="1"/>
      <c r="V2" s="1"/>
      <c r="W2" s="1"/>
      <c r="X2" s="1"/>
      <c r="Y2" s="1"/>
      <c r="Z2" s="1"/>
      <c r="AA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T3" s="4"/>
      <c r="U3" s="4"/>
      <c r="V3" s="1"/>
      <c r="W3" s="1"/>
      <c r="X3" s="1"/>
      <c r="Y3" s="1"/>
      <c r="Z3" s="4"/>
      <c r="AA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T4" s="4"/>
      <c r="U4" s="4"/>
      <c r="V4" s="1"/>
      <c r="W4" s="4"/>
      <c r="X4" s="4"/>
      <c r="Y4" s="4"/>
      <c r="Z4" s="4"/>
      <c r="AA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6"/>
      <c r="S5" s="6"/>
      <c r="T5" s="4"/>
      <c r="U5" s="4"/>
      <c r="V5" s="1"/>
      <c r="W5" s="1"/>
      <c r="X5" s="4"/>
      <c r="Y5" s="4"/>
      <c r="Z5" s="4"/>
      <c r="AA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8"/>
      <c r="U6" s="8"/>
      <c r="V6" s="11"/>
      <c r="W6" s="1"/>
      <c r="X6" s="1"/>
      <c r="Y6" s="1"/>
      <c r="Z6" s="1"/>
      <c r="AA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5"/>
      <c r="P7" s="15"/>
      <c r="Q7" s="16"/>
      <c r="R7" s="17"/>
      <c r="S7" s="18"/>
      <c r="T7" s="19"/>
      <c r="U7" s="20"/>
      <c r="V7" s="21"/>
      <c r="W7" s="1"/>
      <c r="X7" s="1"/>
      <c r="Y7" s="1"/>
      <c r="Z7" s="1"/>
      <c r="AA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9</v>
      </c>
      <c r="J8" s="8"/>
      <c r="K8" s="9"/>
      <c r="L8" s="10"/>
      <c r="M8" s="8"/>
      <c r="N8" s="8"/>
      <c r="O8" s="8"/>
      <c r="P8" s="8"/>
      <c r="Q8" s="9"/>
      <c r="R8" s="23"/>
      <c r="S8" s="13"/>
      <c r="T8" s="24"/>
      <c r="U8" s="10"/>
      <c r="V8" s="11"/>
      <c r="W8" s="25"/>
      <c r="X8" s="1"/>
      <c r="Y8" s="1"/>
      <c r="Z8" s="1"/>
      <c r="AA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8"/>
      <c r="P9" s="8"/>
      <c r="Q9" s="9"/>
      <c r="R9" s="23"/>
      <c r="S9" s="13"/>
      <c r="T9" s="26"/>
      <c r="U9" s="27"/>
      <c r="V9" s="11"/>
      <c r="W9" s="1"/>
      <c r="X9" s="1"/>
      <c r="Y9" s="1"/>
      <c r="Z9" s="1"/>
      <c r="AA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12</v>
      </c>
      <c r="J10" s="8"/>
      <c r="K10" s="9"/>
      <c r="L10" s="10"/>
      <c r="M10" s="8"/>
      <c r="N10" s="8"/>
      <c r="O10" s="8"/>
      <c r="P10" s="8"/>
      <c r="Q10" s="9"/>
      <c r="R10" s="23"/>
      <c r="S10" s="13"/>
      <c r="T10" s="24"/>
      <c r="U10" s="10"/>
      <c r="V10" s="11"/>
      <c r="W10" s="1"/>
      <c r="X10" s="1"/>
      <c r="Y10" s="1"/>
      <c r="Z10" s="1"/>
      <c r="AA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13</v>
      </c>
      <c r="J11" s="8"/>
      <c r="K11" s="9"/>
      <c r="L11" s="29"/>
      <c r="M11" s="9"/>
      <c r="N11" s="33"/>
      <c r="O11" s="33"/>
      <c r="P11" s="29"/>
      <c r="Q11" s="9"/>
      <c r="R11" s="23"/>
      <c r="S11" s="13"/>
      <c r="T11" s="30"/>
      <c r="U11" s="31"/>
      <c r="V11" s="11"/>
      <c r="W11" s="1"/>
      <c r="X11" s="1"/>
      <c r="Y11" s="1"/>
      <c r="Z11" s="1"/>
      <c r="AA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16</v>
      </c>
      <c r="J12" s="8"/>
      <c r="K12" s="9"/>
      <c r="L12" s="34"/>
      <c r="M12" s="8"/>
      <c r="N12" s="8"/>
      <c r="O12" s="8"/>
      <c r="P12" s="8"/>
      <c r="Q12" s="9"/>
      <c r="R12" s="23"/>
      <c r="S12" s="13" t="s">
        <v>18</v>
      </c>
      <c r="T12" s="35"/>
      <c r="U12" s="36"/>
      <c r="V12" s="11"/>
      <c r="W12" s="1"/>
      <c r="X12" s="1"/>
      <c r="Y12" s="1"/>
      <c r="Z12" s="1"/>
      <c r="AA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21</v>
      </c>
      <c r="J13" s="8"/>
      <c r="K13" s="9"/>
      <c r="L13" s="10"/>
      <c r="M13" s="8"/>
      <c r="N13" s="8"/>
      <c r="O13" s="8"/>
      <c r="P13" s="8"/>
      <c r="Q13" s="9"/>
      <c r="R13" s="23"/>
      <c r="S13" s="10"/>
      <c r="T13" s="9"/>
      <c r="U13" s="39"/>
      <c r="V13" s="11"/>
      <c r="W13" s="1"/>
      <c r="X13" s="1"/>
      <c r="Y13" s="1"/>
      <c r="Z13" s="1"/>
      <c r="AA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1"/>
      <c r="J14" s="42"/>
      <c r="K14" s="4"/>
      <c r="L14" s="4"/>
      <c r="M14" s="43"/>
      <c r="R14" s="3"/>
      <c r="S14" s="1"/>
      <c r="T14" s="1"/>
      <c r="U14" s="1"/>
      <c r="V14" s="41"/>
      <c r="W14" s="41"/>
      <c r="X14" s="4"/>
      <c r="Y14" s="4"/>
      <c r="Z14" s="4"/>
      <c r="AA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4" t="s">
        <v>22</v>
      </c>
      <c r="J15" s="46"/>
      <c r="K15" s="43"/>
      <c r="L15" s="47" t="s">
        <v>25</v>
      </c>
      <c r="S15" s="48"/>
      <c r="T15" s="49"/>
      <c r="U15" s="49"/>
      <c r="V15" s="50"/>
      <c r="W15" s="41"/>
      <c r="X15" s="4"/>
      <c r="Y15" s="4"/>
      <c r="Z15" s="4"/>
      <c r="AA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3"/>
      <c r="Q16" s="1"/>
      <c r="R16" s="3"/>
      <c r="S16" s="1"/>
      <c r="T16" s="1"/>
      <c r="U16" s="1"/>
      <c r="V16" s="1"/>
      <c r="W16" s="1"/>
      <c r="X16" s="1"/>
      <c r="Y16" s="1"/>
      <c r="Z16" s="1"/>
      <c r="AA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4" t="s">
        <v>26</v>
      </c>
      <c r="J17" s="54" t="s">
        <v>27</v>
      </c>
      <c r="K17" s="55" t="s">
        <v>28</v>
      </c>
      <c r="L17" s="56"/>
      <c r="M17" s="57" t="s">
        <v>29</v>
      </c>
      <c r="N17" s="61"/>
      <c r="O17" s="61"/>
      <c r="P17" s="58"/>
      <c r="Q17" s="59"/>
      <c r="R17" s="60"/>
      <c r="S17" s="54" t="s">
        <v>31</v>
      </c>
      <c r="T17" s="62" t="s">
        <v>32</v>
      </c>
      <c r="U17" s="62" t="s">
        <v>33</v>
      </c>
      <c r="V17" s="54" t="s">
        <v>34</v>
      </c>
      <c r="W17" s="1"/>
      <c r="X17" s="1"/>
      <c r="Y17" s="1"/>
      <c r="Z17" s="1"/>
      <c r="AA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64"/>
      <c r="J18" s="64"/>
      <c r="K18" s="65"/>
      <c r="L18" s="66"/>
      <c r="M18" s="67"/>
      <c r="N18" s="63" t="s">
        <v>36</v>
      </c>
      <c r="O18" s="63"/>
      <c r="P18" s="63" t="s">
        <v>38</v>
      </c>
      <c r="Q18" s="69"/>
      <c r="R18" s="63" t="s">
        <v>39</v>
      </c>
      <c r="S18" s="64"/>
      <c r="T18" s="64"/>
      <c r="U18" s="64"/>
      <c r="V18" s="64"/>
      <c r="W18" s="1"/>
      <c r="X18" s="1"/>
      <c r="Y18" s="1"/>
      <c r="Z18" s="1"/>
      <c r="AA18" s="1"/>
    </row>
    <row r="19" ht="15.0" customHeight="1">
      <c r="A19" s="1"/>
      <c r="B19" s="1"/>
      <c r="C19" s="1"/>
      <c r="D19" s="74">
        <v>0.02</v>
      </c>
      <c r="E19" s="76">
        <f>SUM(P19)</f>
        <v>0.2</v>
      </c>
      <c r="F19" s="77">
        <v>0.0</v>
      </c>
      <c r="G19" s="78">
        <f>SUM(R19)</f>
        <v>0.15</v>
      </c>
      <c r="H19" s="79">
        <f>SUM(N19*E19*G19)</f>
        <v>0.0108</v>
      </c>
      <c r="I19" s="81"/>
      <c r="J19" s="82" t="s">
        <v>46</v>
      </c>
      <c r="K19" s="83" t="s">
        <v>47</v>
      </c>
      <c r="L19" s="73">
        <v>3503.0</v>
      </c>
      <c r="M19" s="84" t="s">
        <v>48</v>
      </c>
      <c r="N19" s="71">
        <v>0.36</v>
      </c>
      <c r="O19" s="73" t="s">
        <v>41</v>
      </c>
      <c r="P19" s="76">
        <v>0.2</v>
      </c>
      <c r="Q19" s="74">
        <v>0.15</v>
      </c>
      <c r="R19" s="85">
        <v>0.15</v>
      </c>
      <c r="S19" s="87">
        <f>SUM(I19*N19*E19*G19+D19)</f>
        <v>0.02</v>
      </c>
      <c r="T19" s="89">
        <v>865.0</v>
      </c>
      <c r="U19" s="91">
        <f>SUM(N19*E19*G19*T19)</f>
        <v>9.342</v>
      </c>
      <c r="V19" s="92">
        <f>SUM(S19*T19)</f>
        <v>17.3</v>
      </c>
      <c r="W19" s="1"/>
      <c r="X19" s="1"/>
      <c r="Y19" s="1"/>
      <c r="Z19" s="1"/>
      <c r="AA19" s="1"/>
    </row>
    <row r="20" ht="14.25" customHeight="1">
      <c r="A20" s="1"/>
      <c r="B20" s="1"/>
      <c r="C20" s="1"/>
      <c r="D20" s="5"/>
      <c r="E20" s="94"/>
      <c r="F20" s="95"/>
      <c r="G20" s="96"/>
      <c r="H20" s="79"/>
      <c r="I20" s="97"/>
      <c r="J20" s="98"/>
      <c r="K20" s="83"/>
      <c r="L20" s="73"/>
      <c r="M20" s="84"/>
      <c r="N20" s="99"/>
      <c r="O20" s="5"/>
      <c r="P20" s="94"/>
      <c r="Q20" s="95"/>
      <c r="R20" s="85"/>
      <c r="S20" s="87"/>
      <c r="T20" s="89"/>
      <c r="U20" s="89"/>
      <c r="V20" s="89"/>
      <c r="W20" s="1"/>
      <c r="X20" s="1"/>
      <c r="Y20" s="1"/>
      <c r="Z20" s="1"/>
      <c r="AA20" s="1"/>
    </row>
    <row r="21" ht="14.25" customHeight="1">
      <c r="A21" s="1"/>
      <c r="B21" s="1"/>
      <c r="C21" s="1"/>
      <c r="D21" s="5"/>
      <c r="E21" s="94"/>
      <c r="F21" s="95"/>
      <c r="G21" s="96"/>
      <c r="H21" s="79"/>
      <c r="I21" s="97"/>
      <c r="J21" s="98"/>
      <c r="K21" s="83"/>
      <c r="L21" s="73"/>
      <c r="M21" s="84"/>
      <c r="N21" s="99"/>
      <c r="O21" s="5"/>
      <c r="P21" s="94"/>
      <c r="Q21" s="95"/>
      <c r="R21" s="85"/>
      <c r="S21" s="87"/>
      <c r="T21" s="89"/>
      <c r="U21" s="89"/>
      <c r="V21" s="89"/>
      <c r="W21" s="1"/>
      <c r="X21" s="1"/>
      <c r="Y21" s="1"/>
      <c r="Z21" s="1"/>
      <c r="AA21" s="1"/>
    </row>
    <row r="22" ht="4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3"/>
      <c r="Q22" s="1"/>
      <c r="R22" s="3"/>
      <c r="S22" s="3"/>
      <c r="T22" s="1"/>
      <c r="U22" s="3"/>
      <c r="V22" s="1"/>
      <c r="W22" s="1"/>
      <c r="X22" s="1"/>
      <c r="Y22" s="1"/>
      <c r="Z22" s="1"/>
      <c r="AA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00" t="s">
        <v>59</v>
      </c>
      <c r="Q23" s="6"/>
      <c r="R23" s="6"/>
      <c r="S23" s="101">
        <f>SUM(S19:S21)</f>
        <v>0.02</v>
      </c>
      <c r="T23" s="1"/>
      <c r="U23" s="101"/>
      <c r="V23" s="102">
        <f>SUM(V19)</f>
        <v>17.3</v>
      </c>
      <c r="W23" s="1"/>
      <c r="X23" s="1"/>
      <c r="Y23" s="1"/>
      <c r="Z23" s="1"/>
      <c r="AA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5" t="s">
        <v>63</v>
      </c>
      <c r="J24" s="6"/>
      <c r="K24" s="6"/>
      <c r="L24" s="6"/>
      <c r="M24" s="1" t="s">
        <v>64</v>
      </c>
      <c r="N24" s="1"/>
      <c r="O24" s="1"/>
      <c r="P24" s="103"/>
      <c r="Q24" s="8"/>
      <c r="R24" s="8"/>
      <c r="S24" s="8"/>
      <c r="T24" s="8"/>
      <c r="U24" s="8"/>
      <c r="V24" s="11"/>
      <c r="W24" s="1"/>
      <c r="X24" s="1"/>
      <c r="Y24" s="1"/>
      <c r="Z24" s="1"/>
      <c r="A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83" t="s">
        <v>66</v>
      </c>
      <c r="J25" s="8"/>
      <c r="K25" s="8"/>
      <c r="L25" s="11"/>
      <c r="M25" s="1"/>
      <c r="N25" s="1"/>
      <c r="O25" s="1"/>
      <c r="P25" s="103"/>
      <c r="Q25" s="8"/>
      <c r="R25" s="8"/>
      <c r="S25" s="8"/>
      <c r="T25" s="8"/>
      <c r="U25" s="8"/>
      <c r="V25" s="11"/>
      <c r="W25" s="1"/>
      <c r="X25" s="1"/>
      <c r="Y25" s="1"/>
      <c r="Z25" s="1"/>
      <c r="AA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5" t="s">
        <v>69</v>
      </c>
      <c r="J26" s="6"/>
      <c r="K26" s="6"/>
      <c r="L26" s="6"/>
      <c r="M26" s="1"/>
      <c r="N26" s="1"/>
      <c r="O26" s="1"/>
      <c r="P26" s="103"/>
      <c r="Q26" s="8"/>
      <c r="R26" s="8"/>
      <c r="S26" s="8"/>
      <c r="T26" s="8"/>
      <c r="U26" s="8"/>
      <c r="V26" s="11"/>
      <c r="W26" s="1"/>
      <c r="X26" s="1"/>
      <c r="Y26" s="1"/>
      <c r="Z26" s="1"/>
      <c r="AA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05" t="s">
        <v>73</v>
      </c>
      <c r="J27" s="106"/>
      <c r="K27" s="106"/>
      <c r="L27" s="106"/>
      <c r="M27" s="1"/>
      <c r="N27" s="1"/>
      <c r="O27" s="1"/>
      <c r="P27" s="103"/>
      <c r="Q27" s="8"/>
      <c r="R27" s="8"/>
      <c r="S27" s="8"/>
      <c r="T27" s="8"/>
      <c r="U27" s="8"/>
      <c r="V27" s="11"/>
      <c r="W27" s="1"/>
      <c r="X27" s="1"/>
      <c r="Y27" s="1"/>
      <c r="Z27" s="1"/>
      <c r="AA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3"/>
      <c r="Q28" s="1"/>
      <c r="R28" s="3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3"/>
      <c r="Q29" s="1"/>
      <c r="R29" s="3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3"/>
      <c r="Q30" s="1"/>
      <c r="R30" s="3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3"/>
      <c r="Q31" s="1"/>
      <c r="R31" s="3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3"/>
      <c r="Q32" s="1"/>
      <c r="R32" s="3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3"/>
      <c r="Q33" s="1"/>
      <c r="R33" s="3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3"/>
      <c r="Q34" s="1"/>
      <c r="R34" s="3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3"/>
      <c r="Q35" s="1"/>
      <c r="R35" s="3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3"/>
      <c r="Q36" s="1"/>
      <c r="R36" s="3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3"/>
      <c r="Q37" s="1"/>
      <c r="R37" s="3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3"/>
      <c r="Q38" s="1"/>
      <c r="R38" s="3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3"/>
      <c r="Q39" s="1"/>
      <c r="R39" s="3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3"/>
      <c r="Q40" s="1"/>
      <c r="R40" s="3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3"/>
      <c r="Q41" s="1"/>
      <c r="R41" s="3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3"/>
      <c r="Q42" s="1"/>
      <c r="R42" s="3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3"/>
      <c r="Q43" s="1"/>
      <c r="R43" s="3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3"/>
      <c r="Q44" s="1"/>
      <c r="R44" s="3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3"/>
      <c r="Q45" s="1"/>
      <c r="R45" s="3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3"/>
      <c r="Q46" s="1"/>
      <c r="R46" s="3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3"/>
      <c r="Q47" s="1"/>
      <c r="R47" s="3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3"/>
      <c r="Q48" s="1"/>
      <c r="R48" s="3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3"/>
      <c r="Q49" s="1"/>
      <c r="R49" s="3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3"/>
      <c r="Q50" s="1"/>
      <c r="R50" s="3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3"/>
      <c r="Q51" s="1"/>
      <c r="R51" s="3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3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3"/>
      <c r="Q53" s="1"/>
      <c r="R53" s="3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3"/>
      <c r="Q54" s="1"/>
      <c r="R54" s="3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3"/>
      <c r="Q55" s="1"/>
      <c r="R55" s="3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3"/>
      <c r="Q56" s="1"/>
      <c r="R56" s="3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3"/>
      <c r="Q57" s="1"/>
      <c r="R57" s="3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3"/>
      <c r="Q58" s="1"/>
      <c r="R58" s="3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3"/>
      <c r="Q59" s="1"/>
      <c r="R59" s="3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3"/>
      <c r="Q60" s="1"/>
      <c r="R60" s="3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3"/>
      <c r="Q61" s="1"/>
      <c r="R61" s="3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3"/>
      <c r="Q62" s="1"/>
      <c r="R62" s="3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3"/>
      <c r="Q63" s="1"/>
      <c r="R63" s="3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3"/>
      <c r="Q64" s="1"/>
      <c r="R64" s="3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3"/>
      <c r="Q65" s="1"/>
      <c r="R65" s="3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3"/>
      <c r="Q66" s="1"/>
      <c r="R66" s="3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3"/>
      <c r="Q67" s="1"/>
      <c r="R67" s="3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3"/>
      <c r="Q68" s="1"/>
      <c r="R68" s="3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3"/>
      <c r="Q69" s="1"/>
      <c r="R69" s="3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3"/>
      <c r="Q70" s="1"/>
      <c r="R70" s="3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3"/>
      <c r="Q71" s="1"/>
      <c r="R71" s="3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3"/>
      <c r="Q72" s="1"/>
      <c r="R72" s="3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3"/>
      <c r="Q73" s="1"/>
      <c r="R73" s="3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3"/>
      <c r="Q74" s="1"/>
      <c r="R74" s="3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3"/>
      <c r="Q75" s="1"/>
      <c r="R75" s="3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3"/>
      <c r="Q76" s="1"/>
      <c r="R76" s="3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3"/>
      <c r="Q77" s="1"/>
      <c r="R77" s="3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3"/>
      <c r="Q78" s="1"/>
      <c r="R78" s="3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3"/>
      <c r="Q79" s="1"/>
      <c r="R79" s="3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3"/>
      <c r="Q80" s="1"/>
      <c r="R80" s="3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3"/>
      <c r="Q81" s="1"/>
      <c r="R81" s="3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3"/>
      <c r="Q82" s="1"/>
      <c r="R82" s="3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3"/>
      <c r="Q83" s="1"/>
      <c r="R83" s="3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3"/>
      <c r="Q84" s="1"/>
      <c r="R84" s="3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3"/>
      <c r="Q85" s="1"/>
      <c r="R85" s="3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3"/>
      <c r="Q86" s="1"/>
      <c r="R86" s="3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3"/>
      <c r="Q87" s="1"/>
      <c r="R87" s="3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3"/>
      <c r="Q88" s="1"/>
      <c r="R88" s="3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3"/>
      <c r="Q89" s="1"/>
      <c r="R89" s="3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3"/>
      <c r="Q90" s="1"/>
      <c r="R90" s="3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3"/>
      <c r="Q91" s="1"/>
      <c r="R91" s="3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3"/>
      <c r="Q92" s="1"/>
      <c r="R92" s="3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3"/>
      <c r="Q93" s="1"/>
      <c r="R93" s="3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3"/>
      <c r="Q94" s="1"/>
      <c r="R94" s="3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3"/>
      <c r="Q95" s="1"/>
      <c r="R95" s="3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3"/>
      <c r="Q96" s="1"/>
      <c r="R96" s="3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3"/>
      <c r="Q97" s="1"/>
      <c r="R97" s="3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3"/>
      <c r="Q98" s="1"/>
      <c r="R98" s="3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3"/>
      <c r="Q99" s="1"/>
      <c r="R99" s="3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3"/>
      <c r="Q100" s="1"/>
      <c r="R100" s="3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3"/>
      <c r="Q101" s="1"/>
      <c r="R101" s="3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3"/>
      <c r="Q102" s="1"/>
      <c r="R102" s="3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3"/>
      <c r="Q103" s="1"/>
      <c r="R103" s="3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3"/>
      <c r="Q104" s="1"/>
      <c r="R104" s="3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3"/>
      <c r="Q105" s="1"/>
      <c r="R105" s="3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3"/>
      <c r="Q106" s="1"/>
      <c r="R106" s="3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3"/>
      <c r="Q107" s="1"/>
      <c r="R107" s="3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3"/>
      <c r="Q108" s="1"/>
      <c r="R108" s="3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3"/>
      <c r="Q109" s="1"/>
      <c r="R109" s="3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3"/>
      <c r="Q110" s="1"/>
      <c r="R110" s="3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3"/>
      <c r="Q111" s="1"/>
      <c r="R111" s="3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3"/>
      <c r="Q112" s="1"/>
      <c r="R112" s="3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3"/>
      <c r="Q113" s="1"/>
      <c r="R113" s="3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3"/>
      <c r="Q114" s="1"/>
      <c r="R114" s="3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3"/>
      <c r="Q115" s="1"/>
      <c r="R115" s="3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3"/>
      <c r="Q116" s="1"/>
      <c r="R116" s="3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3"/>
      <c r="Q117" s="1"/>
      <c r="R117" s="3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3"/>
      <c r="Q118" s="1"/>
      <c r="R118" s="3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3"/>
      <c r="Q119" s="1"/>
      <c r="R119" s="3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3"/>
      <c r="Q120" s="1"/>
      <c r="R120" s="3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3"/>
      <c r="Q121" s="1"/>
      <c r="R121" s="3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3"/>
      <c r="Q122" s="1"/>
      <c r="R122" s="3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3"/>
      <c r="Q123" s="1"/>
      <c r="R123" s="3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3"/>
      <c r="Q124" s="1"/>
      <c r="R124" s="3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3"/>
      <c r="Q125" s="1"/>
      <c r="R125" s="3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3"/>
      <c r="Q126" s="1"/>
      <c r="R126" s="3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3"/>
      <c r="Q127" s="1"/>
      <c r="R127" s="3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3"/>
      <c r="Q128" s="1"/>
      <c r="R128" s="3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3"/>
      <c r="Q129" s="1"/>
      <c r="R129" s="3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3"/>
      <c r="Q130" s="1"/>
      <c r="R130" s="3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3"/>
      <c r="Q131" s="1"/>
      <c r="R131" s="3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3"/>
      <c r="Q132" s="1"/>
      <c r="R132" s="3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3"/>
      <c r="Q133" s="1"/>
      <c r="R133" s="3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3"/>
      <c r="Q134" s="1"/>
      <c r="R134" s="3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3"/>
      <c r="Q135" s="1"/>
      <c r="R135" s="3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3"/>
      <c r="Q136" s="1"/>
      <c r="R136" s="3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3"/>
      <c r="Q137" s="1"/>
      <c r="R137" s="3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3"/>
      <c r="Q138" s="1"/>
      <c r="R138" s="3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3"/>
      <c r="Q139" s="1"/>
      <c r="R139" s="3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3"/>
      <c r="Q140" s="1"/>
      <c r="R140" s="3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3"/>
      <c r="Q141" s="1"/>
      <c r="R141" s="3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3"/>
      <c r="Q142" s="1"/>
      <c r="R142" s="3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3"/>
      <c r="Q143" s="1"/>
      <c r="R143" s="3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3"/>
      <c r="Q144" s="1"/>
      <c r="R144" s="3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3"/>
      <c r="Q145" s="1"/>
      <c r="R145" s="3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3"/>
      <c r="Q146" s="1"/>
      <c r="R146" s="3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3"/>
      <c r="Q147" s="1"/>
      <c r="R147" s="3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3"/>
      <c r="Q148" s="1"/>
      <c r="R148" s="3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3"/>
      <c r="Q149" s="1"/>
      <c r="R149" s="3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3"/>
      <c r="Q150" s="1"/>
      <c r="R150" s="3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3"/>
      <c r="Q151" s="1"/>
      <c r="R151" s="3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3"/>
      <c r="Q152" s="1"/>
      <c r="R152" s="3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3"/>
      <c r="Q153" s="1"/>
      <c r="R153" s="3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3"/>
      <c r="Q154" s="1"/>
      <c r="R154" s="3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3"/>
      <c r="Q155" s="1"/>
      <c r="R155" s="3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3"/>
      <c r="Q156" s="1"/>
      <c r="R156" s="3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3"/>
      <c r="Q157" s="1"/>
      <c r="R157" s="3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3"/>
      <c r="Q158" s="1"/>
      <c r="R158" s="3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3"/>
      <c r="Q159" s="1"/>
      <c r="R159" s="3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3"/>
      <c r="Q160" s="1"/>
      <c r="R160" s="3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3"/>
      <c r="Q161" s="1"/>
      <c r="R161" s="3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3"/>
      <c r="Q162" s="1"/>
      <c r="R162" s="3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3"/>
      <c r="Q163" s="1"/>
      <c r="R163" s="3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3"/>
      <c r="Q164" s="1"/>
      <c r="R164" s="3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3"/>
      <c r="Q165" s="1"/>
      <c r="R165" s="3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3"/>
      <c r="Q166" s="1"/>
      <c r="R166" s="3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3"/>
      <c r="Q167" s="1"/>
      <c r="R167" s="3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3"/>
      <c r="Q168" s="1"/>
      <c r="R168" s="3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3"/>
      <c r="Q169" s="1"/>
      <c r="R169" s="3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3"/>
      <c r="Q170" s="1"/>
      <c r="R170" s="3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3"/>
      <c r="Q171" s="1"/>
      <c r="R171" s="3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3"/>
      <c r="Q172" s="1"/>
      <c r="R172" s="3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3"/>
      <c r="Q173" s="1"/>
      <c r="R173" s="3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3"/>
      <c r="Q174" s="1"/>
      <c r="R174" s="3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3"/>
      <c r="Q175" s="1"/>
      <c r="R175" s="3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3"/>
      <c r="Q176" s="1"/>
      <c r="R176" s="3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3"/>
      <c r="Q177" s="1"/>
      <c r="R177" s="3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3"/>
      <c r="Q178" s="1"/>
      <c r="R178" s="3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3"/>
      <c r="Q179" s="1"/>
      <c r="R179" s="3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3"/>
      <c r="Q180" s="1"/>
      <c r="R180" s="3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3"/>
      <c r="Q181" s="1"/>
      <c r="R181" s="3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3"/>
      <c r="Q182" s="1"/>
      <c r="R182" s="3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3"/>
      <c r="Q183" s="1"/>
      <c r="R183" s="3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3"/>
      <c r="Q184" s="1"/>
      <c r="R184" s="3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3"/>
      <c r="Q185" s="1"/>
      <c r="R185" s="3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3"/>
      <c r="Q186" s="1"/>
      <c r="R186" s="3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3"/>
      <c r="Q187" s="1"/>
      <c r="R187" s="3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3"/>
      <c r="Q188" s="1"/>
      <c r="R188" s="3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3"/>
      <c r="Q189" s="1"/>
      <c r="R189" s="3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3"/>
      <c r="Q190" s="1"/>
      <c r="R190" s="3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3"/>
      <c r="Q191" s="1"/>
      <c r="R191" s="3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3"/>
      <c r="Q192" s="1"/>
      <c r="R192" s="3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3"/>
      <c r="Q193" s="1"/>
      <c r="R193" s="3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3"/>
      <c r="Q194" s="1"/>
      <c r="R194" s="3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3"/>
      <c r="Q195" s="1"/>
      <c r="R195" s="3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3"/>
      <c r="Q196" s="1"/>
      <c r="R196" s="3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3"/>
      <c r="Q197" s="1"/>
      <c r="R197" s="3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3"/>
      <c r="Q198" s="1"/>
      <c r="R198" s="3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3"/>
      <c r="Q199" s="1"/>
      <c r="R199" s="3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3"/>
      <c r="Q200" s="1"/>
      <c r="R200" s="3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3"/>
      <c r="Q201" s="1"/>
      <c r="R201" s="3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3"/>
      <c r="Q202" s="1"/>
      <c r="R202" s="3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3"/>
      <c r="Q203" s="1"/>
      <c r="R203" s="3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3"/>
      <c r="Q204" s="1"/>
      <c r="R204" s="3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3"/>
      <c r="Q205" s="1"/>
      <c r="R205" s="3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3"/>
      <c r="Q206" s="1"/>
      <c r="R206" s="3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3"/>
      <c r="Q207" s="1"/>
      <c r="R207" s="3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3"/>
      <c r="Q208" s="1"/>
      <c r="R208" s="3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3"/>
      <c r="Q209" s="1"/>
      <c r="R209" s="3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3"/>
      <c r="Q210" s="1"/>
      <c r="R210" s="3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3"/>
      <c r="Q211" s="1"/>
      <c r="R211" s="3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3"/>
      <c r="Q212" s="1"/>
      <c r="R212" s="3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3"/>
      <c r="Q213" s="1"/>
      <c r="R213" s="3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3"/>
      <c r="Q214" s="1"/>
      <c r="R214" s="3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3"/>
      <c r="Q215" s="1"/>
      <c r="R215" s="3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3"/>
      <c r="Q216" s="1"/>
      <c r="R216" s="3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3"/>
      <c r="Q217" s="1"/>
      <c r="R217" s="3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3"/>
      <c r="Q218" s="1"/>
      <c r="R218" s="3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3"/>
      <c r="Q219" s="1"/>
      <c r="R219" s="3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3"/>
      <c r="Q220" s="1"/>
      <c r="R220" s="3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3"/>
      <c r="Q221" s="1"/>
      <c r="R221" s="3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3"/>
      <c r="Q222" s="1"/>
      <c r="R222" s="3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3"/>
      <c r="Q223" s="1"/>
      <c r="R223" s="3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3"/>
      <c r="Q224" s="1"/>
      <c r="R224" s="3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3"/>
      <c r="Q225" s="1"/>
      <c r="R225" s="3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3"/>
      <c r="Q226" s="1"/>
      <c r="R226" s="3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3"/>
      <c r="Q227" s="1"/>
      <c r="R227" s="3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3"/>
      <c r="Q228" s="1"/>
      <c r="R228" s="3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3"/>
      <c r="Q229" s="1"/>
      <c r="R229" s="3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3"/>
      <c r="Q230" s="1"/>
      <c r="R230" s="3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3"/>
      <c r="Q231" s="1"/>
      <c r="R231" s="3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3"/>
      <c r="Q232" s="1"/>
      <c r="R232" s="3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3"/>
      <c r="Q233" s="1"/>
      <c r="R233" s="3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3"/>
      <c r="Q234" s="1"/>
      <c r="R234" s="3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3"/>
      <c r="Q235" s="1"/>
      <c r="R235" s="3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3"/>
      <c r="Q236" s="1"/>
      <c r="R236" s="3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3"/>
      <c r="Q237" s="1"/>
      <c r="R237" s="3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3"/>
      <c r="Q238" s="1"/>
      <c r="R238" s="3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3"/>
      <c r="Q239" s="1"/>
      <c r="R239" s="3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3"/>
      <c r="Q240" s="1"/>
      <c r="R240" s="3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3"/>
      <c r="Q241" s="1"/>
      <c r="R241" s="3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3"/>
      <c r="Q242" s="1"/>
      <c r="R242" s="3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3"/>
      <c r="Q243" s="1"/>
      <c r="R243" s="3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3"/>
      <c r="Q244" s="1"/>
      <c r="R244" s="3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3"/>
      <c r="Q245" s="1"/>
      <c r="R245" s="3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3"/>
      <c r="Q246" s="1"/>
      <c r="R246" s="3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3"/>
      <c r="Q247" s="1"/>
      <c r="R247" s="3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3"/>
      <c r="Q248" s="1"/>
      <c r="R248" s="3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3"/>
      <c r="Q249" s="1"/>
      <c r="R249" s="3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3"/>
      <c r="Q250" s="1"/>
      <c r="R250" s="3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3"/>
      <c r="Q251" s="1"/>
      <c r="R251" s="3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3"/>
      <c r="Q252" s="1"/>
      <c r="R252" s="3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3"/>
      <c r="Q253" s="1"/>
      <c r="R253" s="3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3"/>
      <c r="Q254" s="1"/>
      <c r="R254" s="3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3"/>
      <c r="Q255" s="1"/>
      <c r="R255" s="3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3"/>
      <c r="Q256" s="1"/>
      <c r="R256" s="3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3"/>
      <c r="Q257" s="1"/>
      <c r="R257" s="3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3"/>
      <c r="Q258" s="1"/>
      <c r="R258" s="3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3"/>
      <c r="Q259" s="1"/>
      <c r="R259" s="3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3"/>
      <c r="Q260" s="1"/>
      <c r="R260" s="3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3"/>
      <c r="Q261" s="1"/>
      <c r="R261" s="3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3"/>
      <c r="Q262" s="1"/>
      <c r="R262" s="3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3"/>
      <c r="Q263" s="1"/>
      <c r="R263" s="3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3"/>
      <c r="Q264" s="1"/>
      <c r="R264" s="3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3"/>
      <c r="Q265" s="1"/>
      <c r="R265" s="3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3"/>
      <c r="Q266" s="1"/>
      <c r="R266" s="3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3"/>
      <c r="Q267" s="1"/>
      <c r="R267" s="3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3"/>
      <c r="Q268" s="1"/>
      <c r="R268" s="3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3"/>
      <c r="Q269" s="1"/>
      <c r="R269" s="3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3"/>
      <c r="Q270" s="1"/>
      <c r="R270" s="3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3"/>
      <c r="Q271" s="1"/>
      <c r="R271" s="3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3"/>
      <c r="Q272" s="1"/>
      <c r="R272" s="3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3"/>
      <c r="Q273" s="1"/>
      <c r="R273" s="3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3"/>
      <c r="Q274" s="1"/>
      <c r="R274" s="3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3"/>
      <c r="Q275" s="1"/>
      <c r="R275" s="3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3"/>
      <c r="Q276" s="1"/>
      <c r="R276" s="3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3"/>
      <c r="Q277" s="1"/>
      <c r="R277" s="3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3"/>
      <c r="Q278" s="1"/>
      <c r="R278" s="3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3"/>
      <c r="Q279" s="1"/>
      <c r="R279" s="3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3"/>
      <c r="Q280" s="1"/>
      <c r="R280" s="3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3"/>
      <c r="Q281" s="1"/>
      <c r="R281" s="3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3"/>
      <c r="Q282" s="1"/>
      <c r="R282" s="3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3"/>
      <c r="Q283" s="1"/>
      <c r="R283" s="3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3"/>
      <c r="Q284" s="1"/>
      <c r="R284" s="3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3"/>
      <c r="Q285" s="1"/>
      <c r="R285" s="3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3"/>
      <c r="Q286" s="1"/>
      <c r="R286" s="3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3"/>
      <c r="Q287" s="1"/>
      <c r="R287" s="3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3"/>
      <c r="Q288" s="1"/>
      <c r="R288" s="3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3"/>
      <c r="Q289" s="1"/>
      <c r="R289" s="3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3"/>
      <c r="Q290" s="1"/>
      <c r="R290" s="3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3"/>
      <c r="Q291" s="1"/>
      <c r="R291" s="3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3"/>
      <c r="Q292" s="1"/>
      <c r="R292" s="3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3"/>
      <c r="Q293" s="1"/>
      <c r="R293" s="3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3"/>
      <c r="Q294" s="1"/>
      <c r="R294" s="3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3"/>
      <c r="Q295" s="1"/>
      <c r="R295" s="3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3"/>
      <c r="Q296" s="1"/>
      <c r="R296" s="3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3"/>
      <c r="Q297" s="1"/>
      <c r="R297" s="3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3"/>
      <c r="Q298" s="1"/>
      <c r="R298" s="3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3"/>
      <c r="Q299" s="1"/>
      <c r="R299" s="3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3"/>
      <c r="Q300" s="1"/>
      <c r="R300" s="3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3"/>
      <c r="Q301" s="1"/>
      <c r="R301" s="3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3"/>
      <c r="Q302" s="1"/>
      <c r="R302" s="3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3"/>
      <c r="Q303" s="1"/>
      <c r="R303" s="3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3"/>
      <c r="Q304" s="1"/>
      <c r="R304" s="3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3"/>
      <c r="Q305" s="1"/>
      <c r="R305" s="3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3"/>
      <c r="Q306" s="1"/>
      <c r="R306" s="3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3"/>
      <c r="Q307" s="1"/>
      <c r="R307" s="3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3"/>
      <c r="Q308" s="1"/>
      <c r="R308" s="3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3"/>
      <c r="Q309" s="1"/>
      <c r="R309" s="3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3"/>
      <c r="Q310" s="1"/>
      <c r="R310" s="3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3"/>
      <c r="Q311" s="1"/>
      <c r="R311" s="3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3"/>
      <c r="Q312" s="1"/>
      <c r="R312" s="3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3"/>
      <c r="Q313" s="1"/>
      <c r="R313" s="3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3"/>
      <c r="Q314" s="1"/>
      <c r="R314" s="3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3"/>
      <c r="Q315" s="1"/>
      <c r="R315" s="3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3"/>
      <c r="Q316" s="1"/>
      <c r="R316" s="3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3"/>
      <c r="Q317" s="1"/>
      <c r="R317" s="3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3"/>
      <c r="Q318" s="1"/>
      <c r="R318" s="3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3"/>
      <c r="Q319" s="1"/>
      <c r="R319" s="3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3"/>
      <c r="Q320" s="1"/>
      <c r="R320" s="3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3"/>
      <c r="Q321" s="1"/>
      <c r="R321" s="3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3"/>
      <c r="Q322" s="1"/>
      <c r="R322" s="3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3"/>
      <c r="Q323" s="1"/>
      <c r="R323" s="3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3"/>
      <c r="Q324" s="1"/>
      <c r="R324" s="3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3"/>
      <c r="Q325" s="1"/>
      <c r="R325" s="3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3"/>
      <c r="Q326" s="1"/>
      <c r="R326" s="3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3"/>
      <c r="Q327" s="1"/>
      <c r="R327" s="3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3"/>
      <c r="Q328" s="1"/>
      <c r="R328" s="3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3"/>
      <c r="Q329" s="1"/>
      <c r="R329" s="3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3"/>
      <c r="Q330" s="1"/>
      <c r="R330" s="3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3"/>
      <c r="Q331" s="1"/>
      <c r="R331" s="3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3"/>
      <c r="Q332" s="1"/>
      <c r="R332" s="3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3"/>
      <c r="Q333" s="1"/>
      <c r="R333" s="3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3"/>
      <c r="Q334" s="1"/>
      <c r="R334" s="3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3"/>
      <c r="Q335" s="1"/>
      <c r="R335" s="3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3"/>
      <c r="Q336" s="1"/>
      <c r="R336" s="3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3"/>
      <c r="Q337" s="1"/>
      <c r="R337" s="3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3"/>
      <c r="Q338" s="1"/>
      <c r="R338" s="3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3"/>
      <c r="Q339" s="1"/>
      <c r="R339" s="3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3"/>
      <c r="Q340" s="1"/>
      <c r="R340" s="3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3"/>
      <c r="Q341" s="1"/>
      <c r="R341" s="3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3"/>
      <c r="Q342" s="1"/>
      <c r="R342" s="3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3"/>
      <c r="Q343" s="1"/>
      <c r="R343" s="3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3"/>
      <c r="Q344" s="1"/>
      <c r="R344" s="3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3"/>
      <c r="Q345" s="1"/>
      <c r="R345" s="3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3"/>
      <c r="Q346" s="1"/>
      <c r="R346" s="3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3"/>
      <c r="Q347" s="1"/>
      <c r="R347" s="3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3"/>
      <c r="Q348" s="1"/>
      <c r="R348" s="3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3"/>
      <c r="Q349" s="1"/>
      <c r="R349" s="3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3"/>
      <c r="Q350" s="1"/>
      <c r="R350" s="3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3"/>
      <c r="Q351" s="1"/>
      <c r="R351" s="3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3"/>
      <c r="Q352" s="1"/>
      <c r="R352" s="3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3"/>
      <c r="Q353" s="1"/>
      <c r="R353" s="3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3"/>
      <c r="Q354" s="1"/>
      <c r="R354" s="3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3"/>
      <c r="Q355" s="1"/>
      <c r="R355" s="3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3"/>
      <c r="Q356" s="1"/>
      <c r="R356" s="3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3"/>
      <c r="Q357" s="1"/>
      <c r="R357" s="3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3"/>
      <c r="Q358" s="1"/>
      <c r="R358" s="3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3"/>
      <c r="Q359" s="1"/>
      <c r="R359" s="3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3"/>
      <c r="Q360" s="1"/>
      <c r="R360" s="3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3"/>
      <c r="Q361" s="1"/>
      <c r="R361" s="3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3"/>
      <c r="Q362" s="1"/>
      <c r="R362" s="3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3"/>
      <c r="Q363" s="1"/>
      <c r="R363" s="3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3"/>
      <c r="Q364" s="1"/>
      <c r="R364" s="3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3"/>
      <c r="Q365" s="1"/>
      <c r="R365" s="3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3"/>
      <c r="Q366" s="1"/>
      <c r="R366" s="3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3"/>
      <c r="Q367" s="1"/>
      <c r="R367" s="3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3"/>
      <c r="Q368" s="1"/>
      <c r="R368" s="3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3"/>
      <c r="Q369" s="1"/>
      <c r="R369" s="3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3"/>
      <c r="Q370" s="1"/>
      <c r="R370" s="3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3"/>
      <c r="Q371" s="1"/>
      <c r="R371" s="3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3"/>
      <c r="Q372" s="1"/>
      <c r="R372" s="3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3"/>
      <c r="Q373" s="1"/>
      <c r="R373" s="3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3"/>
      <c r="Q374" s="1"/>
      <c r="R374" s="3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3"/>
      <c r="Q375" s="1"/>
      <c r="R375" s="3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3"/>
      <c r="Q376" s="1"/>
      <c r="R376" s="3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3"/>
      <c r="Q377" s="1"/>
      <c r="R377" s="3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3"/>
      <c r="Q378" s="1"/>
      <c r="R378" s="3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3"/>
      <c r="Q379" s="1"/>
      <c r="R379" s="3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3"/>
      <c r="Q380" s="1"/>
      <c r="R380" s="3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3"/>
      <c r="Q381" s="1"/>
      <c r="R381" s="3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3"/>
      <c r="Q382" s="1"/>
      <c r="R382" s="3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3"/>
      <c r="Q383" s="1"/>
      <c r="R383" s="3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3"/>
      <c r="Q384" s="1"/>
      <c r="R384" s="3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3"/>
      <c r="Q385" s="1"/>
      <c r="R385" s="3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3"/>
      <c r="Q386" s="1"/>
      <c r="R386" s="3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3"/>
      <c r="Q387" s="1"/>
      <c r="R387" s="3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3"/>
      <c r="Q388" s="1"/>
      <c r="R388" s="3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3"/>
      <c r="Q389" s="1"/>
      <c r="R389" s="3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3"/>
      <c r="Q390" s="1"/>
      <c r="R390" s="3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3"/>
      <c r="Q391" s="1"/>
      <c r="R391" s="3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3"/>
      <c r="Q392" s="1"/>
      <c r="R392" s="3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3"/>
      <c r="Q393" s="1"/>
      <c r="R393" s="3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3"/>
      <c r="Q394" s="1"/>
      <c r="R394" s="3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3"/>
      <c r="Q395" s="1"/>
      <c r="R395" s="3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3"/>
      <c r="Q396" s="1"/>
      <c r="R396" s="3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3"/>
      <c r="Q397" s="1"/>
      <c r="R397" s="3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3"/>
      <c r="Q398" s="1"/>
      <c r="R398" s="3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3"/>
      <c r="Q399" s="1"/>
      <c r="R399" s="3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3"/>
      <c r="Q400" s="1"/>
      <c r="R400" s="3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3"/>
      <c r="Q401" s="1"/>
      <c r="R401" s="3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3"/>
      <c r="Q402" s="1"/>
      <c r="R402" s="3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3"/>
      <c r="Q403" s="1"/>
      <c r="R403" s="3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3"/>
      <c r="Q404" s="1"/>
      <c r="R404" s="3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3"/>
      <c r="Q405" s="1"/>
      <c r="R405" s="3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3"/>
      <c r="Q406" s="1"/>
      <c r="R406" s="3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3"/>
      <c r="Q407" s="1"/>
      <c r="R407" s="3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3"/>
      <c r="Q408" s="1"/>
      <c r="R408" s="3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3"/>
      <c r="Q409" s="1"/>
      <c r="R409" s="3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3"/>
      <c r="Q410" s="1"/>
      <c r="R410" s="3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3"/>
      <c r="Q411" s="1"/>
      <c r="R411" s="3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3"/>
      <c r="Q412" s="1"/>
      <c r="R412" s="3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3"/>
      <c r="Q413" s="1"/>
      <c r="R413" s="3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3"/>
      <c r="Q414" s="1"/>
      <c r="R414" s="3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3"/>
      <c r="Q415" s="1"/>
      <c r="R415" s="3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3"/>
      <c r="Q416" s="1"/>
      <c r="R416" s="3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3"/>
      <c r="Q417" s="1"/>
      <c r="R417" s="3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3"/>
      <c r="Q418" s="1"/>
      <c r="R418" s="3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3"/>
      <c r="Q419" s="1"/>
      <c r="R419" s="3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3"/>
      <c r="Q420" s="1"/>
      <c r="R420" s="3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3"/>
      <c r="Q421" s="1"/>
      <c r="R421" s="3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3"/>
      <c r="Q422" s="1"/>
      <c r="R422" s="3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3"/>
      <c r="Q423" s="1"/>
      <c r="R423" s="3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3"/>
      <c r="Q424" s="1"/>
      <c r="R424" s="3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3"/>
      <c r="Q425" s="1"/>
      <c r="R425" s="3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3"/>
      <c r="Q426" s="1"/>
      <c r="R426" s="3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3"/>
      <c r="Q427" s="1"/>
      <c r="R427" s="3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3"/>
      <c r="Q428" s="1"/>
      <c r="R428" s="3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3"/>
      <c r="Q429" s="1"/>
      <c r="R429" s="3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3"/>
      <c r="Q430" s="1"/>
      <c r="R430" s="3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3"/>
      <c r="Q431" s="1"/>
      <c r="R431" s="3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3"/>
      <c r="Q432" s="1"/>
      <c r="R432" s="3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3"/>
      <c r="Q433" s="1"/>
      <c r="R433" s="3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3"/>
      <c r="Q434" s="1"/>
      <c r="R434" s="3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3"/>
      <c r="Q435" s="1"/>
      <c r="R435" s="3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3"/>
      <c r="Q436" s="1"/>
      <c r="R436" s="3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3"/>
      <c r="Q437" s="1"/>
      <c r="R437" s="3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3"/>
      <c r="Q438" s="1"/>
      <c r="R438" s="3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3"/>
      <c r="Q439" s="1"/>
      <c r="R439" s="3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3"/>
      <c r="Q440" s="1"/>
      <c r="R440" s="3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3"/>
      <c r="Q441" s="1"/>
      <c r="R441" s="3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3"/>
      <c r="Q442" s="1"/>
      <c r="R442" s="3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3"/>
      <c r="Q443" s="1"/>
      <c r="R443" s="3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3"/>
      <c r="Q444" s="1"/>
      <c r="R444" s="3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3"/>
      <c r="Q445" s="1"/>
      <c r="R445" s="3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3"/>
      <c r="Q446" s="1"/>
      <c r="R446" s="3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3"/>
      <c r="Q447" s="1"/>
      <c r="R447" s="3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3"/>
      <c r="Q448" s="1"/>
      <c r="R448" s="3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3"/>
      <c r="Q449" s="1"/>
      <c r="R449" s="3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3"/>
      <c r="Q450" s="1"/>
      <c r="R450" s="3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3"/>
      <c r="Q451" s="1"/>
      <c r="R451" s="3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3"/>
      <c r="Q452" s="1"/>
      <c r="R452" s="3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3"/>
      <c r="Q453" s="1"/>
      <c r="R453" s="3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3"/>
      <c r="Q454" s="1"/>
      <c r="R454" s="3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3"/>
      <c r="Q455" s="1"/>
      <c r="R455" s="3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3"/>
      <c r="Q456" s="1"/>
      <c r="R456" s="3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3"/>
      <c r="Q457" s="1"/>
      <c r="R457" s="3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3"/>
      <c r="Q458" s="1"/>
      <c r="R458" s="3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3"/>
      <c r="Q459" s="1"/>
      <c r="R459" s="3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3"/>
      <c r="Q460" s="1"/>
      <c r="R460" s="3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3"/>
      <c r="Q461" s="1"/>
      <c r="R461" s="3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3"/>
      <c r="Q462" s="1"/>
      <c r="R462" s="3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3"/>
      <c r="Q463" s="1"/>
      <c r="R463" s="3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3"/>
      <c r="Q464" s="1"/>
      <c r="R464" s="3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3"/>
      <c r="Q465" s="1"/>
      <c r="R465" s="3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3"/>
      <c r="Q466" s="1"/>
      <c r="R466" s="3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3"/>
      <c r="Q467" s="1"/>
      <c r="R467" s="3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3"/>
      <c r="Q468" s="1"/>
      <c r="R468" s="3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3"/>
      <c r="Q469" s="1"/>
      <c r="R469" s="3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3"/>
      <c r="Q470" s="1"/>
      <c r="R470" s="3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3"/>
      <c r="Q471" s="1"/>
      <c r="R471" s="3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3"/>
      <c r="Q472" s="1"/>
      <c r="R472" s="3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3"/>
      <c r="Q473" s="1"/>
      <c r="R473" s="3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3"/>
      <c r="Q474" s="1"/>
      <c r="R474" s="3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3"/>
      <c r="Q475" s="1"/>
      <c r="R475" s="3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3"/>
      <c r="Q476" s="1"/>
      <c r="R476" s="3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3"/>
      <c r="Q477" s="1"/>
      <c r="R477" s="3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3"/>
      <c r="Q478" s="1"/>
      <c r="R478" s="3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3"/>
      <c r="Q479" s="1"/>
      <c r="R479" s="3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3"/>
      <c r="Q480" s="1"/>
      <c r="R480" s="3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3"/>
      <c r="Q481" s="1"/>
      <c r="R481" s="3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3"/>
      <c r="Q482" s="1"/>
      <c r="R482" s="3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3"/>
      <c r="Q483" s="1"/>
      <c r="R483" s="3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3"/>
      <c r="Q484" s="1"/>
      <c r="R484" s="3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3"/>
      <c r="Q485" s="1"/>
      <c r="R485" s="3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3"/>
      <c r="Q486" s="1"/>
      <c r="R486" s="3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3"/>
      <c r="Q487" s="1"/>
      <c r="R487" s="3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3"/>
      <c r="Q488" s="1"/>
      <c r="R488" s="3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3"/>
      <c r="Q489" s="1"/>
      <c r="R489" s="3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3"/>
      <c r="Q490" s="1"/>
      <c r="R490" s="3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3"/>
      <c r="Q491" s="1"/>
      <c r="R491" s="3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3"/>
      <c r="Q492" s="1"/>
      <c r="R492" s="3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3"/>
      <c r="Q493" s="1"/>
      <c r="R493" s="3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3"/>
      <c r="Q494" s="1"/>
      <c r="R494" s="3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3"/>
      <c r="Q495" s="1"/>
      <c r="R495" s="3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3"/>
      <c r="Q496" s="1"/>
      <c r="R496" s="3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3"/>
      <c r="Q497" s="1"/>
      <c r="R497" s="3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3"/>
      <c r="Q498" s="1"/>
      <c r="R498" s="3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3"/>
      <c r="Q499" s="1"/>
      <c r="R499" s="3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3"/>
      <c r="Q500" s="1"/>
      <c r="R500" s="3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3"/>
      <c r="Q501" s="1"/>
      <c r="R501" s="3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3"/>
      <c r="Q502" s="1"/>
      <c r="R502" s="3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3"/>
      <c r="Q503" s="1"/>
      <c r="R503" s="3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3"/>
      <c r="Q504" s="1"/>
      <c r="R504" s="3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3"/>
      <c r="Q505" s="1"/>
      <c r="R505" s="3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3"/>
      <c r="Q506" s="1"/>
      <c r="R506" s="3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3"/>
      <c r="Q507" s="1"/>
      <c r="R507" s="3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3"/>
      <c r="Q508" s="1"/>
      <c r="R508" s="3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3"/>
      <c r="Q509" s="1"/>
      <c r="R509" s="3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3"/>
      <c r="Q510" s="1"/>
      <c r="R510" s="3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3"/>
      <c r="Q511" s="1"/>
      <c r="R511" s="3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3"/>
      <c r="Q512" s="1"/>
      <c r="R512" s="3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3"/>
      <c r="Q513" s="1"/>
      <c r="R513" s="3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3"/>
      <c r="Q514" s="1"/>
      <c r="R514" s="3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3"/>
      <c r="Q515" s="1"/>
      <c r="R515" s="3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3"/>
      <c r="Q516" s="1"/>
      <c r="R516" s="3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3"/>
      <c r="Q517" s="1"/>
      <c r="R517" s="3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3"/>
      <c r="Q518" s="1"/>
      <c r="R518" s="3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3"/>
      <c r="Q519" s="1"/>
      <c r="R519" s="3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3"/>
      <c r="Q520" s="1"/>
      <c r="R520" s="3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3"/>
      <c r="Q521" s="1"/>
      <c r="R521" s="3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3"/>
      <c r="Q522" s="1"/>
      <c r="R522" s="3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3"/>
      <c r="Q523" s="1"/>
      <c r="R523" s="3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3"/>
      <c r="Q524" s="1"/>
      <c r="R524" s="3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3"/>
      <c r="Q525" s="1"/>
      <c r="R525" s="3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3"/>
      <c r="Q526" s="1"/>
      <c r="R526" s="3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3"/>
      <c r="Q527" s="1"/>
      <c r="R527" s="3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3"/>
      <c r="Q528" s="1"/>
      <c r="R528" s="3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3"/>
      <c r="Q529" s="1"/>
      <c r="R529" s="3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3"/>
      <c r="Q530" s="1"/>
      <c r="R530" s="3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3"/>
      <c r="Q531" s="1"/>
      <c r="R531" s="3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3"/>
      <c r="Q532" s="1"/>
      <c r="R532" s="3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3"/>
      <c r="Q533" s="1"/>
      <c r="R533" s="3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3"/>
      <c r="Q534" s="1"/>
      <c r="R534" s="3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3"/>
      <c r="Q535" s="1"/>
      <c r="R535" s="3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3"/>
      <c r="Q536" s="1"/>
      <c r="R536" s="3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3"/>
      <c r="Q537" s="1"/>
      <c r="R537" s="3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3"/>
      <c r="Q538" s="1"/>
      <c r="R538" s="3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3"/>
      <c r="Q539" s="1"/>
      <c r="R539" s="3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3"/>
      <c r="Q540" s="1"/>
      <c r="R540" s="3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3"/>
      <c r="Q541" s="1"/>
      <c r="R541" s="3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3"/>
      <c r="Q542" s="1"/>
      <c r="R542" s="3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3"/>
      <c r="Q543" s="1"/>
      <c r="R543" s="3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3"/>
      <c r="Q544" s="1"/>
      <c r="R544" s="3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3"/>
      <c r="Q545" s="1"/>
      <c r="R545" s="3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3"/>
      <c r="Q546" s="1"/>
      <c r="R546" s="3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3"/>
      <c r="Q547" s="1"/>
      <c r="R547" s="3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3"/>
      <c r="Q548" s="1"/>
      <c r="R548" s="3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3"/>
      <c r="Q549" s="1"/>
      <c r="R549" s="3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3"/>
      <c r="Q550" s="1"/>
      <c r="R550" s="3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3"/>
      <c r="Q551" s="1"/>
      <c r="R551" s="3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3"/>
      <c r="Q552" s="1"/>
      <c r="R552" s="3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3"/>
      <c r="Q553" s="1"/>
      <c r="R553" s="3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3"/>
      <c r="Q554" s="1"/>
      <c r="R554" s="3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3"/>
      <c r="Q555" s="1"/>
      <c r="R555" s="3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3"/>
      <c r="Q556" s="1"/>
      <c r="R556" s="3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3"/>
      <c r="Q557" s="1"/>
      <c r="R557" s="3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3"/>
      <c r="Q558" s="1"/>
      <c r="R558" s="3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3"/>
      <c r="Q559" s="1"/>
      <c r="R559" s="3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3"/>
      <c r="Q560" s="1"/>
      <c r="R560" s="3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3"/>
      <c r="Q561" s="1"/>
      <c r="R561" s="3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3"/>
      <c r="Q562" s="1"/>
      <c r="R562" s="3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3"/>
      <c r="Q563" s="1"/>
      <c r="R563" s="3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3"/>
      <c r="Q564" s="1"/>
      <c r="R564" s="3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3"/>
      <c r="Q565" s="1"/>
      <c r="R565" s="3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3"/>
      <c r="Q566" s="1"/>
      <c r="R566" s="3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3"/>
      <c r="Q567" s="1"/>
      <c r="R567" s="3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3"/>
      <c r="Q568" s="1"/>
      <c r="R568" s="3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3"/>
      <c r="Q569" s="1"/>
      <c r="R569" s="3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3"/>
      <c r="Q570" s="1"/>
      <c r="R570" s="3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3"/>
      <c r="Q571" s="1"/>
      <c r="R571" s="3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3"/>
      <c r="Q572" s="1"/>
      <c r="R572" s="3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3"/>
      <c r="Q573" s="1"/>
      <c r="R573" s="3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3"/>
      <c r="Q574" s="1"/>
      <c r="R574" s="3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3"/>
      <c r="Q575" s="1"/>
      <c r="R575" s="3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3"/>
      <c r="Q576" s="1"/>
      <c r="R576" s="3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3"/>
      <c r="Q577" s="1"/>
      <c r="R577" s="3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3"/>
      <c r="Q578" s="1"/>
      <c r="R578" s="3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3"/>
      <c r="Q579" s="1"/>
      <c r="R579" s="3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3"/>
      <c r="Q580" s="1"/>
      <c r="R580" s="3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3"/>
      <c r="Q581" s="1"/>
      <c r="R581" s="3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3"/>
      <c r="Q582" s="1"/>
      <c r="R582" s="3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3"/>
      <c r="Q583" s="1"/>
      <c r="R583" s="3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3"/>
      <c r="Q584" s="1"/>
      <c r="R584" s="3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3"/>
      <c r="Q585" s="1"/>
      <c r="R585" s="3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3"/>
      <c r="Q586" s="1"/>
      <c r="R586" s="3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3"/>
      <c r="Q587" s="1"/>
      <c r="R587" s="3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3"/>
      <c r="Q588" s="1"/>
      <c r="R588" s="3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3"/>
      <c r="Q589" s="1"/>
      <c r="R589" s="3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3"/>
      <c r="Q590" s="1"/>
      <c r="R590" s="3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3"/>
      <c r="Q591" s="1"/>
      <c r="R591" s="3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3"/>
      <c r="Q592" s="1"/>
      <c r="R592" s="3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3"/>
      <c r="Q593" s="1"/>
      <c r="R593" s="3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3"/>
      <c r="Q594" s="1"/>
      <c r="R594" s="3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3"/>
      <c r="Q595" s="1"/>
      <c r="R595" s="3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3"/>
      <c r="Q596" s="1"/>
      <c r="R596" s="3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3"/>
      <c r="Q597" s="1"/>
      <c r="R597" s="3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3"/>
      <c r="Q598" s="1"/>
      <c r="R598" s="3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3"/>
      <c r="Q599" s="1"/>
      <c r="R599" s="3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3"/>
      <c r="Q600" s="1"/>
      <c r="R600" s="3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3"/>
      <c r="Q601" s="1"/>
      <c r="R601" s="3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3"/>
      <c r="Q602" s="1"/>
      <c r="R602" s="3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3"/>
      <c r="Q603" s="1"/>
      <c r="R603" s="3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3"/>
      <c r="Q604" s="1"/>
      <c r="R604" s="3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3"/>
      <c r="Q605" s="1"/>
      <c r="R605" s="3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3"/>
      <c r="Q606" s="1"/>
      <c r="R606" s="3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3"/>
      <c r="Q607" s="1"/>
      <c r="R607" s="3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3"/>
      <c r="Q608" s="1"/>
      <c r="R608" s="3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3"/>
      <c r="Q609" s="1"/>
      <c r="R609" s="3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3"/>
      <c r="Q610" s="1"/>
      <c r="R610" s="3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3"/>
      <c r="Q611" s="1"/>
      <c r="R611" s="3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3"/>
      <c r="Q612" s="1"/>
      <c r="R612" s="3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3"/>
      <c r="Q613" s="1"/>
      <c r="R613" s="3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3"/>
      <c r="Q614" s="1"/>
      <c r="R614" s="3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3"/>
      <c r="Q615" s="1"/>
      <c r="R615" s="3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3"/>
      <c r="Q616" s="1"/>
      <c r="R616" s="3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3"/>
      <c r="Q617" s="1"/>
      <c r="R617" s="3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3"/>
      <c r="Q618" s="1"/>
      <c r="R618" s="3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3"/>
      <c r="Q619" s="1"/>
      <c r="R619" s="3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3"/>
      <c r="Q620" s="1"/>
      <c r="R620" s="3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3"/>
      <c r="Q621" s="1"/>
      <c r="R621" s="3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3"/>
      <c r="Q622" s="1"/>
      <c r="R622" s="3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3"/>
      <c r="Q623" s="1"/>
      <c r="R623" s="3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3"/>
      <c r="Q624" s="1"/>
      <c r="R624" s="3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3"/>
      <c r="Q625" s="1"/>
      <c r="R625" s="3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3"/>
      <c r="Q626" s="1"/>
      <c r="R626" s="3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3"/>
      <c r="Q627" s="1"/>
      <c r="R627" s="3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3"/>
      <c r="Q628" s="1"/>
      <c r="R628" s="3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3"/>
      <c r="Q629" s="1"/>
      <c r="R629" s="3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3"/>
      <c r="Q630" s="1"/>
      <c r="R630" s="3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3"/>
      <c r="Q631" s="1"/>
      <c r="R631" s="3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3"/>
      <c r="Q632" s="1"/>
      <c r="R632" s="3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3"/>
      <c r="Q633" s="1"/>
      <c r="R633" s="3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3"/>
      <c r="Q634" s="1"/>
      <c r="R634" s="3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3"/>
      <c r="Q635" s="1"/>
      <c r="R635" s="3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3"/>
      <c r="Q636" s="1"/>
      <c r="R636" s="3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3"/>
      <c r="Q637" s="1"/>
      <c r="R637" s="3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3"/>
      <c r="Q638" s="1"/>
      <c r="R638" s="3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3"/>
      <c r="Q639" s="1"/>
      <c r="R639" s="3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3"/>
      <c r="Q640" s="1"/>
      <c r="R640" s="3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3"/>
      <c r="Q641" s="1"/>
      <c r="R641" s="3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3"/>
      <c r="Q642" s="1"/>
      <c r="R642" s="3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3"/>
      <c r="Q643" s="1"/>
      <c r="R643" s="3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3"/>
      <c r="Q644" s="1"/>
      <c r="R644" s="3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3"/>
      <c r="Q645" s="1"/>
      <c r="R645" s="3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3"/>
      <c r="Q646" s="1"/>
      <c r="R646" s="3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3"/>
      <c r="Q647" s="1"/>
      <c r="R647" s="3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3"/>
      <c r="Q648" s="1"/>
      <c r="R648" s="3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3"/>
      <c r="Q649" s="1"/>
      <c r="R649" s="3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3"/>
      <c r="Q650" s="1"/>
      <c r="R650" s="3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3"/>
      <c r="Q651" s="1"/>
      <c r="R651" s="3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3"/>
      <c r="Q652" s="1"/>
      <c r="R652" s="3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3"/>
      <c r="Q653" s="1"/>
      <c r="R653" s="3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3"/>
      <c r="Q654" s="1"/>
      <c r="R654" s="3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3"/>
      <c r="Q655" s="1"/>
      <c r="R655" s="3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3"/>
      <c r="Q656" s="1"/>
      <c r="R656" s="3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3"/>
      <c r="Q657" s="1"/>
      <c r="R657" s="3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3"/>
      <c r="Q658" s="1"/>
      <c r="R658" s="3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3"/>
      <c r="Q659" s="1"/>
      <c r="R659" s="3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3"/>
      <c r="Q660" s="1"/>
      <c r="R660" s="3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3"/>
      <c r="Q661" s="1"/>
      <c r="R661" s="3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3"/>
      <c r="Q662" s="1"/>
      <c r="R662" s="3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3"/>
      <c r="Q663" s="1"/>
      <c r="R663" s="3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3"/>
      <c r="Q664" s="1"/>
      <c r="R664" s="3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3"/>
      <c r="Q665" s="1"/>
      <c r="R665" s="3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3"/>
      <c r="Q666" s="1"/>
      <c r="R666" s="3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3"/>
      <c r="Q667" s="1"/>
      <c r="R667" s="3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3"/>
      <c r="Q668" s="1"/>
      <c r="R668" s="3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3"/>
      <c r="Q669" s="1"/>
      <c r="R669" s="3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3"/>
      <c r="Q670" s="1"/>
      <c r="R670" s="3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3"/>
      <c r="Q671" s="1"/>
      <c r="R671" s="3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3"/>
      <c r="Q672" s="1"/>
      <c r="R672" s="3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3"/>
      <c r="Q673" s="1"/>
      <c r="R673" s="3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3"/>
      <c r="Q674" s="1"/>
      <c r="R674" s="3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3"/>
      <c r="Q675" s="1"/>
      <c r="R675" s="3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3"/>
      <c r="Q676" s="1"/>
      <c r="R676" s="3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3"/>
      <c r="Q677" s="1"/>
      <c r="R677" s="3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3"/>
      <c r="Q678" s="1"/>
      <c r="R678" s="3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3"/>
      <c r="Q679" s="1"/>
      <c r="R679" s="3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3"/>
      <c r="Q680" s="1"/>
      <c r="R680" s="3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3"/>
      <c r="Q681" s="1"/>
      <c r="R681" s="3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3"/>
      <c r="Q682" s="1"/>
      <c r="R682" s="3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3"/>
      <c r="Q683" s="1"/>
      <c r="R683" s="3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3"/>
      <c r="Q684" s="1"/>
      <c r="R684" s="3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3"/>
      <c r="Q685" s="1"/>
      <c r="R685" s="3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3"/>
      <c r="Q686" s="1"/>
      <c r="R686" s="3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3"/>
      <c r="Q687" s="1"/>
      <c r="R687" s="3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3"/>
      <c r="Q688" s="1"/>
      <c r="R688" s="3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3"/>
      <c r="Q689" s="1"/>
      <c r="R689" s="3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3"/>
      <c r="Q690" s="1"/>
      <c r="R690" s="3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3"/>
      <c r="Q691" s="1"/>
      <c r="R691" s="3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3"/>
      <c r="Q692" s="1"/>
      <c r="R692" s="3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3"/>
      <c r="Q693" s="1"/>
      <c r="R693" s="3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3"/>
      <c r="Q694" s="1"/>
      <c r="R694" s="3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3"/>
      <c r="Q695" s="1"/>
      <c r="R695" s="3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3"/>
      <c r="Q696" s="1"/>
      <c r="R696" s="3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3"/>
      <c r="Q697" s="1"/>
      <c r="R697" s="3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3"/>
      <c r="Q698" s="1"/>
      <c r="R698" s="3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3"/>
      <c r="Q699" s="1"/>
      <c r="R699" s="3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3"/>
      <c r="Q700" s="1"/>
      <c r="R700" s="3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3"/>
      <c r="Q701" s="1"/>
      <c r="R701" s="3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3"/>
      <c r="Q702" s="1"/>
      <c r="R702" s="3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3"/>
      <c r="Q703" s="1"/>
      <c r="R703" s="3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3"/>
      <c r="Q704" s="1"/>
      <c r="R704" s="3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3"/>
      <c r="Q705" s="1"/>
      <c r="R705" s="3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3"/>
      <c r="Q706" s="1"/>
      <c r="R706" s="3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3"/>
      <c r="Q707" s="1"/>
      <c r="R707" s="3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3"/>
      <c r="Q708" s="1"/>
      <c r="R708" s="3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3"/>
      <c r="Q709" s="1"/>
      <c r="R709" s="3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3"/>
      <c r="Q710" s="1"/>
      <c r="R710" s="3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3"/>
      <c r="Q711" s="1"/>
      <c r="R711" s="3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3"/>
      <c r="Q712" s="1"/>
      <c r="R712" s="3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3"/>
      <c r="Q713" s="1"/>
      <c r="R713" s="3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3"/>
      <c r="Q714" s="1"/>
      <c r="R714" s="3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3"/>
      <c r="Q715" s="1"/>
      <c r="R715" s="3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3"/>
      <c r="Q716" s="1"/>
      <c r="R716" s="3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3"/>
      <c r="Q717" s="1"/>
      <c r="R717" s="3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3"/>
      <c r="Q718" s="1"/>
      <c r="R718" s="3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3"/>
      <c r="Q719" s="1"/>
      <c r="R719" s="3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3"/>
      <c r="Q720" s="1"/>
      <c r="R720" s="3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3"/>
      <c r="Q721" s="1"/>
      <c r="R721" s="3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3"/>
      <c r="Q722" s="1"/>
      <c r="R722" s="3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3"/>
      <c r="Q723" s="1"/>
      <c r="R723" s="3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3"/>
      <c r="Q724" s="1"/>
      <c r="R724" s="3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3"/>
      <c r="Q725" s="1"/>
      <c r="R725" s="3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3"/>
      <c r="Q726" s="1"/>
      <c r="R726" s="3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3"/>
      <c r="Q727" s="1"/>
      <c r="R727" s="3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3"/>
      <c r="Q728" s="1"/>
      <c r="R728" s="3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3"/>
      <c r="Q729" s="1"/>
      <c r="R729" s="3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3"/>
      <c r="Q730" s="1"/>
      <c r="R730" s="3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3"/>
      <c r="Q731" s="1"/>
      <c r="R731" s="3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3"/>
      <c r="Q732" s="1"/>
      <c r="R732" s="3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3"/>
      <c r="Q733" s="1"/>
      <c r="R733" s="3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3"/>
      <c r="Q734" s="1"/>
      <c r="R734" s="3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3"/>
      <c r="Q735" s="1"/>
      <c r="R735" s="3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3"/>
      <c r="Q736" s="1"/>
      <c r="R736" s="3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3"/>
      <c r="Q737" s="1"/>
      <c r="R737" s="3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3"/>
      <c r="Q738" s="1"/>
      <c r="R738" s="3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3"/>
      <c r="Q739" s="1"/>
      <c r="R739" s="3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3"/>
      <c r="Q740" s="1"/>
      <c r="R740" s="3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3"/>
      <c r="Q741" s="1"/>
      <c r="R741" s="3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3"/>
      <c r="Q742" s="1"/>
      <c r="R742" s="3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3"/>
      <c r="Q743" s="1"/>
      <c r="R743" s="3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3"/>
      <c r="Q744" s="1"/>
      <c r="R744" s="3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3"/>
      <c r="Q745" s="1"/>
      <c r="R745" s="3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3"/>
      <c r="Q746" s="1"/>
      <c r="R746" s="3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3"/>
      <c r="Q747" s="1"/>
      <c r="R747" s="3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3"/>
      <c r="Q748" s="1"/>
      <c r="R748" s="3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3"/>
      <c r="Q749" s="1"/>
      <c r="R749" s="3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3"/>
      <c r="Q750" s="1"/>
      <c r="R750" s="3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3"/>
      <c r="Q751" s="1"/>
      <c r="R751" s="3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3"/>
      <c r="Q752" s="1"/>
      <c r="R752" s="3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3"/>
      <c r="Q753" s="1"/>
      <c r="R753" s="3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3"/>
      <c r="Q754" s="1"/>
      <c r="R754" s="3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3"/>
      <c r="Q755" s="1"/>
      <c r="R755" s="3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3"/>
      <c r="Q756" s="1"/>
      <c r="R756" s="3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3"/>
      <c r="Q757" s="1"/>
      <c r="R757" s="3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3"/>
      <c r="Q758" s="1"/>
      <c r="R758" s="3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3"/>
      <c r="Q759" s="1"/>
      <c r="R759" s="3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3"/>
      <c r="Q760" s="1"/>
      <c r="R760" s="3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3"/>
      <c r="Q761" s="1"/>
      <c r="R761" s="3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3"/>
      <c r="Q762" s="1"/>
      <c r="R762" s="3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3"/>
      <c r="Q763" s="1"/>
      <c r="R763" s="3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3"/>
      <c r="Q764" s="1"/>
      <c r="R764" s="3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3"/>
      <c r="Q765" s="1"/>
      <c r="R765" s="3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3"/>
      <c r="Q766" s="1"/>
      <c r="R766" s="3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3"/>
      <c r="Q767" s="1"/>
      <c r="R767" s="3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3"/>
      <c r="Q768" s="1"/>
      <c r="R768" s="3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3"/>
      <c r="Q769" s="1"/>
      <c r="R769" s="3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3"/>
      <c r="Q770" s="1"/>
      <c r="R770" s="3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3"/>
      <c r="Q771" s="1"/>
      <c r="R771" s="3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3"/>
      <c r="Q772" s="1"/>
      <c r="R772" s="3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3"/>
      <c r="Q773" s="1"/>
      <c r="R773" s="3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3"/>
      <c r="Q774" s="1"/>
      <c r="R774" s="3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3"/>
      <c r="Q775" s="1"/>
      <c r="R775" s="3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3"/>
      <c r="Q776" s="1"/>
      <c r="R776" s="3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3"/>
      <c r="Q777" s="1"/>
      <c r="R777" s="3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3"/>
      <c r="Q778" s="1"/>
      <c r="R778" s="3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3"/>
      <c r="Q779" s="1"/>
      <c r="R779" s="3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3"/>
      <c r="Q780" s="1"/>
      <c r="R780" s="3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3"/>
      <c r="Q781" s="1"/>
      <c r="R781" s="3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3"/>
      <c r="Q782" s="1"/>
      <c r="R782" s="3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3"/>
      <c r="Q783" s="1"/>
      <c r="R783" s="3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3"/>
      <c r="Q784" s="1"/>
      <c r="R784" s="3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3"/>
      <c r="Q785" s="1"/>
      <c r="R785" s="3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3"/>
      <c r="Q786" s="1"/>
      <c r="R786" s="3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3"/>
      <c r="Q787" s="1"/>
      <c r="R787" s="3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3"/>
      <c r="Q788" s="1"/>
      <c r="R788" s="3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3"/>
      <c r="Q789" s="1"/>
      <c r="R789" s="3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3"/>
      <c r="Q790" s="1"/>
      <c r="R790" s="3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3"/>
      <c r="Q791" s="1"/>
      <c r="R791" s="3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3"/>
      <c r="Q792" s="1"/>
      <c r="R792" s="3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3"/>
      <c r="Q793" s="1"/>
      <c r="R793" s="3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3"/>
      <c r="Q794" s="1"/>
      <c r="R794" s="3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3"/>
      <c r="Q795" s="1"/>
      <c r="R795" s="3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3"/>
      <c r="Q796" s="1"/>
      <c r="R796" s="3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3"/>
      <c r="Q797" s="1"/>
      <c r="R797" s="3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3"/>
      <c r="Q798" s="1"/>
      <c r="R798" s="3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3"/>
      <c r="Q799" s="1"/>
      <c r="R799" s="3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3"/>
      <c r="Q800" s="1"/>
      <c r="R800" s="3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3"/>
      <c r="Q801" s="1"/>
      <c r="R801" s="3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3"/>
      <c r="Q802" s="1"/>
      <c r="R802" s="3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3"/>
      <c r="Q803" s="1"/>
      <c r="R803" s="3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3"/>
      <c r="Q804" s="1"/>
      <c r="R804" s="3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3"/>
      <c r="Q805" s="1"/>
      <c r="R805" s="3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3"/>
      <c r="Q806" s="1"/>
      <c r="R806" s="3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3"/>
      <c r="Q807" s="1"/>
      <c r="R807" s="3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3"/>
      <c r="Q808" s="1"/>
      <c r="R808" s="3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3"/>
      <c r="Q809" s="1"/>
      <c r="R809" s="3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3"/>
      <c r="Q810" s="1"/>
      <c r="R810" s="3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3"/>
      <c r="Q811" s="1"/>
      <c r="R811" s="3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3"/>
      <c r="Q812" s="1"/>
      <c r="R812" s="3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3"/>
      <c r="Q813" s="1"/>
      <c r="R813" s="3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3"/>
      <c r="Q814" s="1"/>
      <c r="R814" s="3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3"/>
      <c r="Q815" s="1"/>
      <c r="R815" s="3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3"/>
      <c r="Q816" s="1"/>
      <c r="R816" s="3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3"/>
      <c r="Q817" s="1"/>
      <c r="R817" s="3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3"/>
      <c r="Q818" s="1"/>
      <c r="R818" s="3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3"/>
      <c r="Q819" s="1"/>
      <c r="R819" s="3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3"/>
      <c r="Q820" s="1"/>
      <c r="R820" s="3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3"/>
      <c r="Q821" s="1"/>
      <c r="R821" s="3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3"/>
      <c r="Q822" s="1"/>
      <c r="R822" s="3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3"/>
      <c r="Q823" s="1"/>
      <c r="R823" s="3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3"/>
      <c r="Q824" s="1"/>
      <c r="R824" s="3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3"/>
      <c r="Q825" s="1"/>
      <c r="R825" s="3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3"/>
      <c r="Q826" s="1"/>
      <c r="R826" s="3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3"/>
      <c r="Q827" s="1"/>
      <c r="R827" s="3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3"/>
      <c r="Q828" s="1"/>
      <c r="R828" s="3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3"/>
      <c r="Q829" s="1"/>
      <c r="R829" s="3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3"/>
      <c r="Q830" s="1"/>
      <c r="R830" s="3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3"/>
      <c r="Q831" s="1"/>
      <c r="R831" s="3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3"/>
      <c r="Q832" s="1"/>
      <c r="R832" s="3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3"/>
      <c r="Q833" s="1"/>
      <c r="R833" s="3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3"/>
      <c r="Q834" s="1"/>
      <c r="R834" s="3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3"/>
      <c r="Q835" s="1"/>
      <c r="R835" s="3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3"/>
      <c r="Q836" s="1"/>
      <c r="R836" s="3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3"/>
      <c r="Q837" s="1"/>
      <c r="R837" s="3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3"/>
      <c r="Q838" s="1"/>
      <c r="R838" s="3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3"/>
      <c r="Q839" s="1"/>
      <c r="R839" s="3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3"/>
      <c r="Q840" s="1"/>
      <c r="R840" s="3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3"/>
      <c r="Q841" s="1"/>
      <c r="R841" s="3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3"/>
      <c r="Q842" s="1"/>
      <c r="R842" s="3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3"/>
      <c r="Q843" s="1"/>
      <c r="R843" s="3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3"/>
      <c r="Q844" s="1"/>
      <c r="R844" s="3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3"/>
      <c r="Q845" s="1"/>
      <c r="R845" s="3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3"/>
      <c r="Q846" s="1"/>
      <c r="R846" s="3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3"/>
      <c r="Q847" s="1"/>
      <c r="R847" s="3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3"/>
      <c r="Q848" s="1"/>
      <c r="R848" s="3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3"/>
      <c r="Q849" s="1"/>
      <c r="R849" s="3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3"/>
      <c r="Q850" s="1"/>
      <c r="R850" s="3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3"/>
      <c r="Q851" s="1"/>
      <c r="R851" s="3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3"/>
      <c r="Q852" s="1"/>
      <c r="R852" s="3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3"/>
      <c r="Q853" s="1"/>
      <c r="R853" s="3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3"/>
      <c r="Q854" s="1"/>
      <c r="R854" s="3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3"/>
      <c r="Q855" s="1"/>
      <c r="R855" s="3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3"/>
      <c r="Q856" s="1"/>
      <c r="R856" s="3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3"/>
      <c r="Q857" s="1"/>
      <c r="R857" s="3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3"/>
      <c r="Q858" s="1"/>
      <c r="R858" s="3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3"/>
      <c r="Q859" s="1"/>
      <c r="R859" s="3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3"/>
      <c r="Q860" s="1"/>
      <c r="R860" s="3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3"/>
      <c r="Q861" s="1"/>
      <c r="R861" s="3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3"/>
      <c r="Q862" s="1"/>
      <c r="R862" s="3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3"/>
      <c r="Q863" s="1"/>
      <c r="R863" s="3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3"/>
      <c r="Q864" s="1"/>
      <c r="R864" s="3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3"/>
      <c r="Q865" s="1"/>
      <c r="R865" s="3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3"/>
      <c r="Q866" s="1"/>
      <c r="R866" s="3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3"/>
      <c r="Q867" s="1"/>
      <c r="R867" s="3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3"/>
      <c r="Q868" s="1"/>
      <c r="R868" s="3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3"/>
      <c r="Q869" s="1"/>
      <c r="R869" s="3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3"/>
      <c r="Q870" s="1"/>
      <c r="R870" s="3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3"/>
      <c r="Q871" s="1"/>
      <c r="R871" s="3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3"/>
      <c r="Q872" s="1"/>
      <c r="R872" s="3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3"/>
      <c r="Q873" s="1"/>
      <c r="R873" s="3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3"/>
      <c r="Q874" s="1"/>
      <c r="R874" s="3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3"/>
      <c r="Q875" s="1"/>
      <c r="R875" s="3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3"/>
      <c r="Q876" s="1"/>
      <c r="R876" s="3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3"/>
      <c r="Q877" s="1"/>
      <c r="R877" s="3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3"/>
      <c r="Q878" s="1"/>
      <c r="R878" s="3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3"/>
      <c r="Q879" s="1"/>
      <c r="R879" s="3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3"/>
      <c r="Q880" s="1"/>
      <c r="R880" s="3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3"/>
      <c r="Q881" s="1"/>
      <c r="R881" s="3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3"/>
      <c r="Q882" s="1"/>
      <c r="R882" s="3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3"/>
      <c r="Q883" s="1"/>
      <c r="R883" s="3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3"/>
      <c r="Q884" s="1"/>
      <c r="R884" s="3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3"/>
      <c r="Q885" s="1"/>
      <c r="R885" s="3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3"/>
      <c r="Q886" s="1"/>
      <c r="R886" s="3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3"/>
      <c r="Q887" s="1"/>
      <c r="R887" s="3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3"/>
      <c r="Q888" s="1"/>
      <c r="R888" s="3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3"/>
      <c r="Q889" s="1"/>
      <c r="R889" s="3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3"/>
      <c r="Q890" s="1"/>
      <c r="R890" s="3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3"/>
      <c r="Q891" s="1"/>
      <c r="R891" s="3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3"/>
      <c r="Q892" s="1"/>
      <c r="R892" s="3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3"/>
      <c r="Q893" s="1"/>
      <c r="R893" s="3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3"/>
      <c r="Q894" s="1"/>
      <c r="R894" s="3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3"/>
      <c r="Q895" s="1"/>
      <c r="R895" s="3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3"/>
      <c r="Q896" s="1"/>
      <c r="R896" s="3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3"/>
      <c r="Q897" s="1"/>
      <c r="R897" s="3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3"/>
      <c r="Q898" s="1"/>
      <c r="R898" s="3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3"/>
      <c r="Q899" s="1"/>
      <c r="R899" s="3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3"/>
      <c r="Q900" s="1"/>
      <c r="R900" s="3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3"/>
      <c r="Q901" s="1"/>
      <c r="R901" s="3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3"/>
      <c r="Q902" s="1"/>
      <c r="R902" s="3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3"/>
      <c r="Q903" s="1"/>
      <c r="R903" s="3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3"/>
      <c r="Q904" s="1"/>
      <c r="R904" s="3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3"/>
      <c r="Q905" s="1"/>
      <c r="R905" s="3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3"/>
      <c r="Q906" s="1"/>
      <c r="R906" s="3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3"/>
      <c r="Q907" s="1"/>
      <c r="R907" s="3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3"/>
      <c r="Q908" s="1"/>
      <c r="R908" s="3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3"/>
      <c r="Q909" s="1"/>
      <c r="R909" s="3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3"/>
      <c r="Q910" s="1"/>
      <c r="R910" s="3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3"/>
      <c r="Q911" s="1"/>
      <c r="R911" s="3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3"/>
      <c r="Q912" s="1"/>
      <c r="R912" s="3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3"/>
      <c r="Q913" s="1"/>
      <c r="R913" s="3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3"/>
      <c r="Q914" s="1"/>
      <c r="R914" s="3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3"/>
      <c r="Q915" s="1"/>
      <c r="R915" s="3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3"/>
      <c r="Q916" s="1"/>
      <c r="R916" s="3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3"/>
      <c r="Q917" s="1"/>
      <c r="R917" s="3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3"/>
      <c r="Q918" s="1"/>
      <c r="R918" s="3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3"/>
      <c r="Q919" s="1"/>
      <c r="R919" s="3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3"/>
      <c r="Q920" s="1"/>
      <c r="R920" s="3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3"/>
      <c r="Q921" s="1"/>
      <c r="R921" s="3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3"/>
      <c r="Q922" s="1"/>
      <c r="R922" s="3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3"/>
      <c r="Q923" s="1"/>
      <c r="R923" s="3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3"/>
      <c r="Q924" s="1"/>
      <c r="R924" s="3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3"/>
      <c r="Q925" s="1"/>
      <c r="R925" s="3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3"/>
      <c r="Q926" s="1"/>
      <c r="R926" s="3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3"/>
      <c r="Q927" s="1"/>
      <c r="R927" s="3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3"/>
      <c r="Q928" s="1"/>
      <c r="R928" s="3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3"/>
      <c r="Q929" s="1"/>
      <c r="R929" s="3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3"/>
      <c r="Q930" s="1"/>
      <c r="R930" s="3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3"/>
      <c r="Q931" s="1"/>
      <c r="R931" s="3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3"/>
      <c r="Q932" s="1"/>
      <c r="R932" s="3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3"/>
      <c r="Q933" s="1"/>
      <c r="R933" s="3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3"/>
      <c r="Q934" s="1"/>
      <c r="R934" s="3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3"/>
      <c r="Q935" s="1"/>
      <c r="R935" s="3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3"/>
      <c r="Q936" s="1"/>
      <c r="R936" s="3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3"/>
      <c r="Q937" s="1"/>
      <c r="R937" s="3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3"/>
      <c r="Q938" s="1"/>
      <c r="R938" s="3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3"/>
      <c r="Q939" s="1"/>
      <c r="R939" s="3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3"/>
      <c r="Q940" s="1"/>
      <c r="R940" s="3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3"/>
      <c r="Q941" s="1"/>
      <c r="R941" s="3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3"/>
      <c r="Q942" s="1"/>
      <c r="R942" s="3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3"/>
      <c r="Q943" s="1"/>
      <c r="R943" s="3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3"/>
      <c r="Q944" s="1"/>
      <c r="R944" s="3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3"/>
      <c r="Q945" s="1"/>
      <c r="R945" s="3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3"/>
      <c r="Q946" s="1"/>
      <c r="R946" s="3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3"/>
      <c r="Q947" s="1"/>
      <c r="R947" s="3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3"/>
      <c r="Q948" s="1"/>
      <c r="R948" s="3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3"/>
      <c r="Q949" s="1"/>
      <c r="R949" s="3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3"/>
      <c r="Q950" s="1"/>
      <c r="R950" s="3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3"/>
      <c r="Q951" s="1"/>
      <c r="R951" s="3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3"/>
      <c r="Q952" s="1"/>
      <c r="R952" s="3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3"/>
      <c r="Q953" s="1"/>
      <c r="R953" s="3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3"/>
      <c r="Q954" s="1"/>
      <c r="R954" s="3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3"/>
      <c r="Q955" s="1"/>
      <c r="R955" s="3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3"/>
      <c r="Q956" s="1"/>
      <c r="R956" s="3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3"/>
      <c r="Q957" s="1"/>
      <c r="R957" s="3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3"/>
      <c r="Q958" s="1"/>
      <c r="R958" s="3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3"/>
      <c r="Q959" s="1"/>
      <c r="R959" s="3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3"/>
      <c r="Q960" s="1"/>
      <c r="R960" s="3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3"/>
      <c r="Q961" s="1"/>
      <c r="R961" s="3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3"/>
      <c r="Q962" s="1"/>
      <c r="R962" s="3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3"/>
      <c r="Q963" s="1"/>
      <c r="R963" s="3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3"/>
      <c r="Q964" s="1"/>
      <c r="R964" s="3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3"/>
      <c r="Q965" s="1"/>
      <c r="R965" s="3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3"/>
      <c r="Q966" s="1"/>
      <c r="R966" s="3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3"/>
      <c r="Q967" s="1"/>
      <c r="R967" s="3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3"/>
      <c r="Q968" s="1"/>
      <c r="R968" s="3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3"/>
      <c r="Q969" s="1"/>
      <c r="R969" s="3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3"/>
      <c r="Q970" s="1"/>
      <c r="R970" s="3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3"/>
      <c r="Q971" s="1"/>
      <c r="R971" s="3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3"/>
      <c r="Q972" s="1"/>
      <c r="R972" s="3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3"/>
      <c r="Q973" s="1"/>
      <c r="R973" s="3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3"/>
      <c r="Q974" s="1"/>
      <c r="R974" s="3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3"/>
      <c r="Q975" s="1"/>
      <c r="R975" s="3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3"/>
      <c r="Q976" s="1"/>
      <c r="R976" s="3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3"/>
      <c r="Q977" s="1"/>
      <c r="R977" s="3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3"/>
      <c r="Q978" s="1"/>
      <c r="R978" s="3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3"/>
      <c r="Q979" s="1"/>
      <c r="R979" s="3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3"/>
      <c r="Q980" s="1"/>
      <c r="R980" s="3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3"/>
      <c r="Q981" s="1"/>
      <c r="R981" s="3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3"/>
      <c r="Q982" s="1"/>
      <c r="R982" s="3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3"/>
      <c r="Q983" s="1"/>
      <c r="R983" s="3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3"/>
      <c r="Q984" s="1"/>
      <c r="R984" s="3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3"/>
      <c r="Q985" s="1"/>
      <c r="R985" s="3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3"/>
      <c r="Q986" s="1"/>
      <c r="R986" s="3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3"/>
      <c r="Q987" s="1"/>
      <c r="R987" s="3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3"/>
      <c r="Q988" s="1"/>
      <c r="R988" s="3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3"/>
      <c r="Q989" s="1"/>
      <c r="R989" s="3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3"/>
      <c r="Q990" s="1"/>
      <c r="R990" s="3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3"/>
      <c r="Q991" s="1"/>
      <c r="R991" s="3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3"/>
      <c r="Q992" s="1"/>
      <c r="R992" s="3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3"/>
      <c r="Q993" s="1"/>
      <c r="R993" s="3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3"/>
      <c r="Q994" s="1"/>
      <c r="R994" s="3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3"/>
      <c r="Q995" s="1"/>
      <c r="R995" s="3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3"/>
      <c r="Q996" s="1"/>
      <c r="R996" s="3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3"/>
      <c r="Q997" s="1"/>
      <c r="R997" s="3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3"/>
      <c r="Q998" s="1"/>
      <c r="R998" s="3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3"/>
      <c r="Q999" s="1"/>
      <c r="R999" s="3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3"/>
      <c r="Q1000" s="1"/>
      <c r="R1000" s="3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M17:M18"/>
    <mergeCell ref="P17:R17"/>
    <mergeCell ref="L13:Q13"/>
    <mergeCell ref="M14:Q14"/>
    <mergeCell ref="L15:R15"/>
    <mergeCell ref="S15:V15"/>
    <mergeCell ref="I17:I18"/>
    <mergeCell ref="J17:J18"/>
    <mergeCell ref="K17:L18"/>
    <mergeCell ref="P25:V25"/>
    <mergeCell ref="P26:V26"/>
    <mergeCell ref="S17:S18"/>
    <mergeCell ref="T17:T18"/>
    <mergeCell ref="P23:R23"/>
    <mergeCell ref="I24:L24"/>
    <mergeCell ref="P24:V24"/>
    <mergeCell ref="I25:L25"/>
    <mergeCell ref="I26:L26"/>
    <mergeCell ref="L7:Q7"/>
    <mergeCell ref="U7:V7"/>
    <mergeCell ref="M2:S2"/>
    <mergeCell ref="L3:S3"/>
    <mergeCell ref="K4:S4"/>
    <mergeCell ref="K5:S5"/>
    <mergeCell ref="I6:K6"/>
    <mergeCell ref="L6:V6"/>
    <mergeCell ref="I7:J7"/>
    <mergeCell ref="U9:V9"/>
    <mergeCell ref="U10:V10"/>
    <mergeCell ref="U11:V11"/>
    <mergeCell ref="U12:V12"/>
    <mergeCell ref="U13:V13"/>
    <mergeCell ref="I8:K8"/>
    <mergeCell ref="L8:Q8"/>
    <mergeCell ref="U8:V8"/>
    <mergeCell ref="I9:K9"/>
    <mergeCell ref="L9:Q9"/>
    <mergeCell ref="I10:K10"/>
    <mergeCell ref="L10:Q10"/>
    <mergeCell ref="I11:K11"/>
    <mergeCell ref="L11:M11"/>
    <mergeCell ref="P11:Q11"/>
    <mergeCell ref="I12:K12"/>
    <mergeCell ref="L12:Q12"/>
    <mergeCell ref="I13:K13"/>
    <mergeCell ref="S13:T13"/>
    <mergeCell ref="U17:U18"/>
    <mergeCell ref="V17:V18"/>
    <mergeCell ref="I27:L27"/>
    <mergeCell ref="P27:V27"/>
  </mergeCells>
  <dataValidations>
    <dataValidation type="list" allowBlank="1" showErrorMessage="1" sqref="K19:K21">
      <formula1>"NRM,NR,NRF,NRD,LNC,NRAE,DS"</formula1>
    </dataValidation>
    <dataValidation type="list" allowBlank="1" showErrorMessage="1" sqref="J20:J21">
      <formula1>"BLOCO,LAMINA,LAMINA BLOCO,PEÇAS,TORNEADOS,PERFILADOS"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