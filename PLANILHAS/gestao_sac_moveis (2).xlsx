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" sheetId="1" r:id="rId4"/>
    <sheet state="visible" name="INDICADORES" sheetId="2" r:id="rId5"/>
    <sheet state="visible" name="RESUMO MENSAL" sheetId="3" r:id="rId6"/>
    <sheet state="visible" name="BASE NC" sheetId="4" r:id="rId7"/>
    <sheet state="visible" name="SAC" sheetId="5" r:id="rId8"/>
    <sheet state="visible" name="NC CANAIS" sheetId="6" r:id="rId9"/>
    <sheet state="visible" name="POS-VENDA" sheetId="7" r:id="rId10"/>
    <sheet state="visible" name="CAUSAS E QUALIDADE" sheetId="8" r:id="rId11"/>
    <sheet state="visible" name="TROCAS-DEVOLUCOES" sheetId="9" r:id="rId12"/>
    <sheet state="visible" name="CLIENTES E RECOMPRA" sheetId="10" r:id="rId13"/>
    <sheet state="visible" name="PLANO DE ACAO" sheetId="11" r:id="rId14"/>
    <sheet state="visible" name="LISTAS" sheetId="12" r:id="rId15"/>
  </sheets>
  <definedNames/>
  <calcPr/>
</workbook>
</file>

<file path=xl/sharedStrings.xml><?xml version="1.0" encoding="utf-8"?>
<sst xmlns="http://schemas.openxmlformats.org/spreadsheetml/2006/main" count="512" uniqueCount="271">
  <si>
    <t>PAINEL DE GESTAO DO SAC</t>
  </si>
  <si>
    <t>Mes de referencia (dia 1 do mes):</t>
  </si>
  <si>
    <t>Preencha esta celula para filtrar os indicadores abaixo pelo mes desejado.</t>
  </si>
  <si>
    <t>INDICADORES DO MES</t>
  </si>
  <si>
    <t>Indicador</t>
  </si>
  <si>
    <t>Realizado</t>
  </si>
  <si>
    <t>Meta</t>
  </si>
  <si>
    <t>Status</t>
  </si>
  <si>
    <t>Observacao</t>
  </si>
  <si>
    <t>Chamados recebidos</t>
  </si>
  <si>
    <t>Chamados resolvidos</t>
  </si>
  <si>
    <t>Chamados pendentes (em aberto hoje)</t>
  </si>
  <si>
    <t>Tempo medio de resposta (dias)</t>
  </si>
  <si>
    <t>Tempo medio de solucao (dias)</t>
  </si>
  <si>
    <t>Reclamacoes</t>
  </si>
  <si>
    <t>Trocas</t>
  </si>
  <si>
    <t>Avarias</t>
  </si>
  <si>
    <t>Pecas faltantes</t>
  </si>
  <si>
    <t>Satisfacao media (1-5)</t>
  </si>
  <si>
    <t>Pos-vendas realizados</t>
  </si>
  <si>
    <t>Recompras no mes</t>
  </si>
  <si>
    <t>Custo gerado pelo SAC (R$)</t>
  </si>
  <si>
    <t>NC canais externos (ML+Instagram+Lojista) no mes</t>
  </si>
  <si>
    <t>Custo NC canais externos no mes (R$)</t>
  </si>
  <si>
    <t>Coluna Meta (amarela): edite livremente com a meta desejada de cada indicador.</t>
  </si>
  <si>
    <t>Verde = dentro da meta | Amarelo = ate 20% fora da meta | Vermelho = mais de 20% fora da meta.</t>
  </si>
  <si>
    <t>Os indicadores puxam automaticamente das abas SAC, POS-VENDA e CLIENTES E RECOMPRA - basta preencher os chamados la.</t>
  </si>
  <si>
    <t>PRIORIDADES EM ABERTO (o que resolver primeiro)</t>
  </si>
  <si>
    <t>ID</t>
  </si>
  <si>
    <t>Cliente</t>
  </si>
  <si>
    <t>Tipo</t>
  </si>
  <si>
    <t>Prioridade</t>
  </si>
  <si>
    <t>Dias em aberto</t>
  </si>
  <si>
    <t>Use um filtro/classificacao na aba SAC (coluna Prioridade e Status) para listar aqui os chamados em aberto por urgencia.</t>
  </si>
  <si>
    <t>INDICADORES DE NAO CONFORMIDADE</t>
  </si>
  <si>
    <t>Mes de referencia:</t>
  </si>
  <si>
    <t>CHAMADOS POR CATEGORIA (NAO CONFORMIDADE)</t>
  </si>
  <si>
    <t>Categoria do problema</t>
  </si>
  <si>
    <t>Qtd no mes</t>
  </si>
  <si>
    <t>Qtd total (historico)</t>
  </si>
  <si>
    <t>Custo total (R$)</t>
  </si>
  <si>
    <t>Acabamento</t>
  </si>
  <si>
    <t>Embalagem</t>
  </si>
  <si>
    <t>Material</t>
  </si>
  <si>
    <t>Hidraulica</t>
  </si>
  <si>
    <t>Costura</t>
  </si>
  <si>
    <t>Montagem</t>
  </si>
  <si>
    <t>Peca faltante</t>
  </si>
  <si>
    <t>Peca quebrada</t>
  </si>
  <si>
    <t>Dificuldade de montagem</t>
  </si>
  <si>
    <t>Outros</t>
  </si>
  <si>
    <t>TOTAL</t>
  </si>
  <si>
    <t>TENDENCIA - ULTIMOS 6 MESES</t>
  </si>
  <si>
    <t>Mes</t>
  </si>
  <si>
    <t>Custo (R$)</t>
  </si>
  <si>
    <t>Os graficos atualizam automaticamente ao preencher a coluna 'Causa raiz' na aba SAC com uma das categorias da lista.</t>
  </si>
  <si>
    <t>CONTROLE DIARIO - AGOSTO/2026 A JANEIRO/2027</t>
  </si>
  <si>
    <t>Dia</t>
  </si>
  <si>
    <t>Chamados abertos</t>
  </si>
  <si>
    <t>TOTAL AGO/26-JAN/27</t>
  </si>
  <si>
    <t>A tabela ja traz todos os 153 dias de agosto a dezembro/2026 prontos; os valores atualizam sozinhos conforme os chamados forem lancados na aba SAC.</t>
  </si>
  <si>
    <t>NC POR CANAL DE VENDA (HISTORICO TOTAL)</t>
  </si>
  <si>
    <t>Canal</t>
  </si>
  <si>
    <t>Qtd de NC/chamados</t>
  </si>
  <si>
    <t>SAC (geral)</t>
  </si>
  <si>
    <t>Mercado Livre</t>
  </si>
  <si>
    <t>Instagram</t>
  </si>
  <si>
    <t>Lojista</t>
  </si>
  <si>
    <t>RESUMO MENSAL DO SAC - AGOSTO/2026 A JANEIRO/2027</t>
  </si>
  <si>
    <t>Pendentes (abertos no mes sem resolucao)</t>
  </si>
  <si>
    <t>Mapa de cores: verde = melhor valor da linha, vermelho = pior valor da linha (comparativo entre os 6 meses).</t>
  </si>
  <si>
    <t>GRAFICOS MES A MES</t>
  </si>
  <si>
    <t>BASE UNICA DE RECLAMACOES</t>
  </si>
  <si>
    <t>INDICADORES</t>
  </si>
  <si>
    <t>Total de reclamacoes</t>
  </si>
  <si>
    <t>Data</t>
  </si>
  <si>
    <t>Pedido</t>
  </si>
  <si>
    <t>Produto</t>
  </si>
  <si>
    <t>Reclamacao</t>
  </si>
  <si>
    <t>Categoria</t>
  </si>
  <si>
    <t>Falha da embalagem</t>
  </si>
  <si>
    <t>Causa provavel</t>
  </si>
  <si>
    <t>Setor responsavel</t>
  </si>
  <si>
    <t>Solucao</t>
  </si>
  <si>
    <t>Transportadora</t>
  </si>
  <si>
    <t>Reincidencia</t>
  </si>
  <si>
    <t>PED-10234</t>
  </si>
  <si>
    <t>Lavatorio/Shampoo</t>
  </si>
  <si>
    <t>Cliente relatou vazamento na cuba apos poucos dias de uso</t>
  </si>
  <si>
    <t>Producao interna</t>
  </si>
  <si>
    <t>Producao</t>
  </si>
  <si>
    <t>Peca substituida em garantia</t>
  </si>
  <si>
    <t>Transportadora Rapida</t>
  </si>
  <si>
    <t>Nao</t>
  </si>
  <si>
    <t>Resolvido</t>
  </si>
  <si>
    <t>% reincidencia</t>
  </si>
  <si>
    <t>Custo medio por reclamacao (R$)</t>
  </si>
  <si>
    <t>RESUMO - CATEGORIA DA RECLAMACAO</t>
  </si>
  <si>
    <t>Qtd</t>
  </si>
  <si>
    <t>RESUMO - FALHA DA EMBALAGEM</t>
  </si>
  <si>
    <t>Falha</t>
  </si>
  <si>
    <t>Sem protecao/calco interno</t>
  </si>
  <si>
    <t>Caixa amassada ou papelao fino</t>
  </si>
  <si>
    <t>Falta fita de reforco</t>
  </si>
  <si>
    <t>Sem plastico bolha/espuma</t>
  </si>
  <si>
    <t>Caixa subdimensionada para o produto</t>
  </si>
  <si>
    <t>Etiqueta de fragil ausente</t>
  </si>
  <si>
    <t>Fixacao/paletizacao inadequada</t>
  </si>
  <si>
    <t>RESUMO - SETOR RESPONSAVEL</t>
  </si>
  <si>
    <t>Setor</t>
  </si>
  <si>
    <t>Qualidade</t>
  </si>
  <si>
    <t>Logistica/Expedicao</t>
  </si>
  <si>
    <t>Compras/Fornecedor</t>
  </si>
  <si>
    <t>Comercial/Atendimento</t>
  </si>
  <si>
    <t>Design/Engenharia</t>
  </si>
  <si>
    <t>Outro</t>
  </si>
  <si>
    <t>RESUMO - PRODUTO</t>
  </si>
  <si>
    <t>Cadeira de cabelo</t>
  </si>
  <si>
    <t>Carrinho auxiliar</t>
  </si>
  <si>
    <t>Espelho/Estacao</t>
  </si>
  <si>
    <t>Recepcao/Sofa</t>
  </si>
  <si>
    <t>Maca</t>
  </si>
  <si>
    <t>RESUMO - REINCIDENCIA</t>
  </si>
  <si>
    <t>Sim</t>
  </si>
  <si>
    <t>RESUMO - RECLAMACOES POR MES</t>
  </si>
  <si>
    <t>PARETO - Categoria da reclamacao (Base NC)</t>
  </si>
  <si>
    <t>Categoria (ordenada)</t>
  </si>
  <si>
    <t>% acumulado</t>
  </si>
  <si>
    <t>PARETO - Onde a embalagem esta falhando</t>
  </si>
  <si>
    <t>Preencha as reclamacoes a partir da linha abaixo do exemplo; todos os indicadores, resumos, Paretos e graficos desta aba atualizam sozinhos.</t>
  </si>
  <si>
    <t>Data abertura</t>
  </si>
  <si>
    <t>Contato</t>
  </si>
  <si>
    <t>Categoria produto</t>
  </si>
  <si>
    <t>Produto/Pedido</t>
  </si>
  <si>
    <t>Tipo de chamado</t>
  </si>
  <si>
    <t>Descricao do problema</t>
  </si>
  <si>
    <t>Causa raiz</t>
  </si>
  <si>
    <t>Responsavel</t>
  </si>
  <si>
    <t>Data resolucao</t>
  </si>
  <si>
    <t>Tempo resposta (dias)</t>
  </si>
  <si>
    <t>Tempo solucao (dias)</t>
  </si>
  <si>
    <t>Custo gerado (R$)</t>
  </si>
  <si>
    <t>Satisfacao (1-5)</t>
  </si>
  <si>
    <t>Observacoes</t>
  </si>
  <si>
    <t>RESUMO - STATUS ATUAL</t>
  </si>
  <si>
    <t>RESUMO - CATEGORIA DO DEFEITO</t>
  </si>
  <si>
    <t>Salao Bela Vida</t>
  </si>
  <si>
    <t>(11) 90000-0000</t>
  </si>
  <si>
    <t>WhatsApp</t>
  </si>
  <si>
    <t>Pedido 4521</t>
  </si>
  <si>
    <t>Avaria</t>
  </si>
  <si>
    <t>Cadeira chegou com o pistao hidraulico com vazamento</t>
  </si>
  <si>
    <t>Alta</t>
  </si>
  <si>
    <t>Em andamento</t>
  </si>
  <si>
    <t>Ana</t>
  </si>
  <si>
    <t>Aguardando peca do fornecedor</t>
  </si>
  <si>
    <t>Aberto</t>
  </si>
  <si>
    <t>Aguardando cliente</t>
  </si>
  <si>
    <t>Cancelado</t>
  </si>
  <si>
    <t>PARETO - Categoria do defeito - SAC</t>
  </si>
  <si>
    <t>Data da ocorrencia</t>
  </si>
  <si>
    <t>No da NC</t>
  </si>
  <si>
    <t>Peca danificada</t>
  </si>
  <si>
    <t>Categoria da reclamacao</t>
  </si>
  <si>
    <t>Descricao da reclamacao</t>
  </si>
  <si>
    <t>Tratativa</t>
  </si>
  <si>
    <t>Resolucao</t>
  </si>
  <si>
    <t>Prazo</t>
  </si>
  <si>
    <t>Custo transportadora (R$)</t>
  </si>
  <si>
    <t>Custo coleta reversa (R$)</t>
  </si>
  <si>
    <t>Custo reembolso (R$)</t>
  </si>
  <si>
    <t>Custo da peca (R$)</t>
  </si>
  <si>
    <t>RESUMO - NC POR CANAL</t>
  </si>
  <si>
    <t>Pistao hidraulico</t>
  </si>
  <si>
    <t>Cliente relatou vazamento no pistao ao receber o produto</t>
  </si>
  <si>
    <t>Contato via Mercado Livre, coleta reversa agendada</t>
  </si>
  <si>
    <t>Peca substituida e enviada nova cadeira ao cliente</t>
  </si>
  <si>
    <t>RESUMO - NC POR PRODUTO</t>
  </si>
  <si>
    <t>RESUMO - CUSTOS POR TIPO</t>
  </si>
  <si>
    <t>Tipo de custo</t>
  </si>
  <si>
    <t>Total (R$)</t>
  </si>
  <si>
    <t>Coleta reversa</t>
  </si>
  <si>
    <t>Reembolso</t>
  </si>
  <si>
    <t>Peca</t>
  </si>
  <si>
    <t>RESUMO - NC POR MES</t>
  </si>
  <si>
    <t>Preencha as NC a partir da linha 2; todos os resumos e graficos desta aba atualizam sozinhos.</t>
  </si>
  <si>
    <t>PARETO - Pareto - categoria da reclamacao</t>
  </si>
  <si>
    <t>Data do contato</t>
  </si>
  <si>
    <t>Produto comprado</t>
  </si>
  <si>
    <t>Data da compra</t>
  </si>
  <si>
    <t>Tipo de contato</t>
  </si>
  <si>
    <t>NPS (0-10)</t>
  </si>
  <si>
    <t>Comentarios do cliente</t>
  </si>
  <si>
    <t>Recompra prevista</t>
  </si>
  <si>
    <t>RESUMO - SATISFACAO</t>
  </si>
  <si>
    <t>Studio Hair Design</t>
  </si>
  <si>
    <t>Kit 3 cadeiras</t>
  </si>
  <si>
    <t>Follow-up 30 dias</t>
  </si>
  <si>
    <t>Muito satisfeita, elogiou o acabamento</t>
  </si>
  <si>
    <t>Nota</t>
  </si>
  <si>
    <t>ID chamado (SAC)</t>
  </si>
  <si>
    <t>Descricao da nao conformidade</t>
  </si>
  <si>
    <t>Acao corretiva</t>
  </si>
  <si>
    <t>RESUMO - CAUSAS</t>
  </si>
  <si>
    <t>Logistica/Transportadora</t>
  </si>
  <si>
    <t>Pistao hidraulico vazando por mau acondicionamento na carga</t>
  </si>
  <si>
    <t>Revisar procedimento de fixacao da carga com a transportadora</t>
  </si>
  <si>
    <t>Carlos</t>
  </si>
  <si>
    <t>Causa</t>
  </si>
  <si>
    <t>PARETO - Nao conformidades por causa</t>
  </si>
  <si>
    <t>Data solicitacao</t>
  </si>
  <si>
    <t>Motivo</t>
  </si>
  <si>
    <t>Peca faltante?</t>
  </si>
  <si>
    <t>Data conclusao</t>
  </si>
  <si>
    <t>Dias para conclusao</t>
  </si>
  <si>
    <t>RESUMO - TIPO</t>
  </si>
  <si>
    <t>Troca de peca</t>
  </si>
  <si>
    <t>Pistao com vazamento</t>
  </si>
  <si>
    <t>Troca do produto</t>
  </si>
  <si>
    <t>Devolucao total</t>
  </si>
  <si>
    <t>Devolucao parcial</t>
  </si>
  <si>
    <t>Primeira compra</t>
  </si>
  <si>
    <t>Ultima compra</t>
  </si>
  <si>
    <t>N de compras</t>
  </si>
  <si>
    <t>Valor total (R$)</t>
  </si>
  <si>
    <t>Ja recomprou?</t>
  </si>
  <si>
    <t>Proxima recompra prevista</t>
  </si>
  <si>
    <t>Status do relacionamento</t>
  </si>
  <si>
    <t>RESUMO - RELACIONAMENTO</t>
  </si>
  <si>
    <t>Ativo</t>
  </si>
  <si>
    <t>Cliente fidelizado, indicou 2 novos</t>
  </si>
  <si>
    <t>Em risco</t>
  </si>
  <si>
    <t>Inativo</t>
  </si>
  <si>
    <t>VIP</t>
  </si>
  <si>
    <t>Problema / Acao</t>
  </si>
  <si>
    <t>Origem (ID chamado)</t>
  </si>
  <si>
    <t>Resultado esperado</t>
  </si>
  <si>
    <t>RESUMO - STATUS DAS ACOES</t>
  </si>
  <si>
    <t>Padronizar embalagem das cadeiras para evitar avarias no transporte</t>
  </si>
  <si>
    <t>Reduzir avarias de transporte em 50% no proximo trimestre</t>
  </si>
  <si>
    <t>Nao iniciado</t>
  </si>
  <si>
    <t>Concluido</t>
  </si>
  <si>
    <t>Atrasado</t>
  </si>
  <si>
    <t>STATUS_CHAMADO</t>
  </si>
  <si>
    <t>PRIORIDADE</t>
  </si>
  <si>
    <t>CAUSA</t>
  </si>
  <si>
    <t>TIPO_CHAMADO</t>
  </si>
  <si>
    <t>CANAL</t>
  </si>
  <si>
    <t>CATEGORIA_PRODUTO</t>
  </si>
  <si>
    <t>SIM_NAO</t>
  </si>
  <si>
    <t>STATUS_ACAO</t>
  </si>
  <si>
    <t>FALHA_EMBALAGEM</t>
  </si>
  <si>
    <t>CAUSA_PROVAVEL</t>
  </si>
  <si>
    <t>SETOR_RESPONSAVEL</t>
  </si>
  <si>
    <t>Telefone</t>
  </si>
  <si>
    <t>Fornecedor</t>
  </si>
  <si>
    <t>Media</t>
  </si>
  <si>
    <t>Troca</t>
  </si>
  <si>
    <t>Baixa</t>
  </si>
  <si>
    <t>Devolucao</t>
  </si>
  <si>
    <t>E-mail</t>
  </si>
  <si>
    <t>Transporte/Transportadora</t>
  </si>
  <si>
    <t>Site</t>
  </si>
  <si>
    <t>Projeto/Design</t>
  </si>
  <si>
    <t>Loja fisica</t>
  </si>
  <si>
    <t>Uso inadequado pelo cliente</t>
  </si>
  <si>
    <t>Duvida tecnica</t>
  </si>
  <si>
    <t>Rede social</t>
  </si>
  <si>
    <t>Erro operacional</t>
  </si>
  <si>
    <t>Elogio</t>
  </si>
  <si>
    <t>Estas listas alimentam os menus suspensos das outras abas. Adicione itens nas celulas abaixo dos titulos se precisar.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</si>
</sst>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/yyyy"/>
    <numFmt numFmtId="165" formatCode="0.0"/>
    <numFmt numFmtId="166" formatCode="&quot;R$ &quot;#,##0.00"/>
    <numFmt numFmtId="167" formatCode="mmm/yy"/>
    <numFmt numFmtId="168" formatCode="dd/mm/yyyy"/>
    <numFmt numFmtId="169" formatCode="0.0%"/>
  </numFmts>
  <fonts count="11">
    <font>
      <sz val="11.0"/>
      <color/>
      <name val="Arial"/>
      <scheme val="minor"/>
    </font>
    <font>
      <b/>
      <sz val="16.0"/>
      <color rgb="FF1F3864"/>
      <name val="Arial"/>
    </font>
    <font>
      <b/>
      <sz val="10.0"/>
      <name val="Arial"/>
    </font>
    <font>
      <b/>
      <sz val="11.0"/>
      <name val="Arial"/>
    </font>
    <font>
      <i/>
      <sz val="9.0"/>
      <color rgb="FF808080"/>
      <name val="Arial"/>
    </font>
    <font>
      <b/>
      <sz val="12.0"/>
      <color rgb="FF1F3864"/>
      <name val="Arial"/>
    </font>
    <font>
      <b/>
      <sz val="11.0"/>
      <color rgb="FFFFFFFF"/>
      <name val="Arial"/>
    </font>
    <font>
      <sz val="10.0"/>
      <name val="Arial"/>
    </font>
    <font>
      <b/>
      <sz val="11.0"/>
      <color rgb="FF1F3864"/>
      <name val="Arial"/>
    </font>
    <font>
      <i/>
      <sz val="11.0"/>
      <color rgb="FF808080"/>
      <name val="Arial"/>
    </font>
    <font>
      <sz val="1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164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3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shrinkToFit="0" vertical="bottom" wrapText="0"/>
    </xf>
    <xf borderId="1" fillId="0" fontId="3" numFmtId="1" xfId="0" applyAlignment="1" applyBorder="1" applyFont="1" applyNumberFormat="1">
      <alignment shrinkToFit="0" vertical="bottom" wrapText="0"/>
    </xf>
    <xf borderId="1" fillId="2" fontId="7" numFmtId="1" xfId="0" applyAlignment="1" applyBorder="1" applyFill="1" applyFont="1" applyNumberForma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2" fontId="7" numFmtId="165" xfId="0" applyAlignment="1" applyBorder="1" applyFill="1" applyFont="1" applyNumberFormat="1">
      <alignment shrinkToFit="0" vertical="bottom" wrapText="0"/>
    </xf>
    <xf borderId="1" fillId="0" fontId="3" numFmtId="166" xfId="0" applyAlignment="1" applyBorder="1" applyFont="1" applyNumberFormat="1">
      <alignment shrinkToFit="0" vertical="bottom" wrapText="0"/>
    </xf>
    <xf borderId="1" fillId="2" fontId="7" numFmtId="166" xfId="0" applyAlignment="1" applyBorder="1" applyFill="1" applyFont="1" applyNumberForma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1" fillId="0" fontId="7" numFmtId="1" xfId="0" applyAlignment="1" applyBorder="1" applyFont="1" applyNumberFormat="1">
      <alignment shrinkToFit="0" vertical="bottom" wrapText="0"/>
    </xf>
    <xf borderId="1" fillId="0" fontId="7" numFmtId="166" xfId="0" applyAlignment="1" applyBorder="1" applyFont="1" applyNumberForma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4" fontId="2" numFmtId="1" xfId="0" applyAlignment="1" applyBorder="1" applyFill="1" applyFont="1" applyNumberFormat="1">
      <alignment shrinkToFit="0" vertical="bottom" wrapText="0"/>
    </xf>
    <xf borderId="1" fillId="4" fontId="2" numFmtId="166" xfId="0" applyAlignment="1" applyBorder="1" applyFill="1" applyFont="1" applyNumberFormat="1">
      <alignment shrinkToFit="0" vertical="bottom" wrapText="0"/>
    </xf>
    <xf borderId="1" fillId="0" fontId="7" numFmtId="167" xfId="0" applyAlignment="1" applyBorder="1" applyFont="1" applyNumberFormat="1">
      <alignment shrinkToFit="0" vertical="bottom" wrapText="0"/>
    </xf>
    <xf borderId="1" fillId="0" fontId="7" numFmtId="168" xfId="0" applyAlignment="1" applyBorder="1" applyFont="1" applyNumberFormat="1">
      <alignment shrinkToFit="0" vertical="bottom" wrapText="0"/>
    </xf>
    <xf borderId="1" fillId="3" fontId="6" numFmtId="167" xfId="0" applyAlignment="1" applyBorder="1" applyFill="1" applyFont="1" applyNumberFormat="1">
      <alignment horizontal="center" shrinkToFit="0" vertical="center" wrapText="1"/>
    </xf>
    <xf borderId="1" fillId="0" fontId="7" numFmtId="165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4" fontId="5" numFmtId="1" xfId="0" applyAlignment="1" applyBorder="1" applyFill="1" applyFont="1" applyNumberFormat="1">
      <alignment shrinkToFit="0" vertical="bottom" wrapText="0"/>
    </xf>
    <xf borderId="1" fillId="4" fontId="5" numFmtId="166" xfId="0" applyAlignment="1" applyBorder="1" applyFill="1" applyFont="1" applyNumberFormat="1">
      <alignment shrinkToFit="0" vertical="bottom" wrapText="0"/>
    </xf>
    <xf borderId="1" fillId="0" fontId="9" numFmtId="168" xfId="0" applyAlignment="1" applyBorder="1" applyFont="1" applyNumberForma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9" numFmtId="166" xfId="0" applyAlignment="1" applyBorder="1" applyFont="1" applyNumberFormat="1">
      <alignment shrinkToFit="0" vertical="bottom" wrapText="0"/>
    </xf>
    <xf borderId="1" fillId="4" fontId="5" numFmtId="169" xfId="0" applyAlignment="1" applyBorder="1" applyFill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0" fontId="9" numFmtId="1" xfId="0" applyAlignment="1" applyBorder="1" applyFont="1" applyNumberFormat="1">
      <alignment shrinkToFit="0" vertical="bottom" wrapText="0"/>
    </xf>
    <xf borderId="2" fillId="3" fontId="6" numFmtId="0" xfId="0" applyAlignment="1" applyBorder="1" applyFill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Realizado x Meta - visao geral do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Realizado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PAINEL!$A$7:$A$9</c:f>
            </c:strRef>
          </c:cat>
          <c:val>
            <c:numRef>
              <c:f>PAINEL!$B$7:$B$9</c:f>
              <c:numCache/>
            </c:numRef>
          </c:val>
        </c:ser>
        <c:ser>
          <c:idx val="1"/>
          <c:order val="1"/>
          <c:tx>
            <c:v>Meta</c:v>
          </c:tx>
          <c:spPr>
            <a:solidFill>
              <a:srgbClr val="BFBFBF"/>
            </a:solidFill>
            <a:ln cmpd="sng">
              <a:noFill/>
            </a:ln>
          </c:spPr>
          <c:cat>
            <c:strRef>
              <c:f>PAINEL!$A$7:$A$9</c:f>
            </c:strRef>
          </c:cat>
          <c:val>
            <c:numRef>
              <c:f>PAINEL!$C$7:$C$9</c:f>
              <c:numCache/>
            </c:numRef>
          </c:val>
        </c:ser>
        <c:axId val="736406615"/>
        <c:axId val="328036873"/>
      </c:barChart>
      <c:catAx>
        <c:axId val="736406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28036873"/>
      </c:catAx>
      <c:valAx>
        <c:axId val="328036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640661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Chamados por categoria (mes selecionado)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 no mes</c:v>
          </c:tx>
          <c:spPr>
            <a:solidFill>
              <a:srgbClr val="1F386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INDICADORES!$A$6:$A$15</c:f>
            </c:strRef>
          </c:cat>
          <c:val>
            <c:numRef>
              <c:f>INDICADORES!$B$6:$B$15</c:f>
              <c:numCache/>
            </c:numRef>
          </c:val>
        </c:ser>
        <c:axId val="1329443788"/>
        <c:axId val="396946982"/>
      </c:barChart>
      <c:catAx>
        <c:axId val="1329443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6946982"/>
      </c:catAx>
      <c:valAx>
        <c:axId val="396946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 de chamados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29443788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Distribuicao historica por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INDICADORES!$C$5</c:f>
            </c:strRef>
          </c:tx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INDICADORES!$A$6:$A$15</c:f>
            </c:strRef>
          </c:cat>
          <c:val>
            <c:numRef>
              <c:f>INDICADORES!$C$6:$C$15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Tendencia de chamados - ultimos 6 meses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Chamados recebidos</c:v>
          </c:tx>
          <c:spPr>
            <a:ln cmpd="sng" w="38100">
              <a:solidFill>
                <a:srgbClr val="AA433F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AA433F">
                  <a:alpha val="100000"/>
                </a:srgbClr>
              </a:solidFill>
              <a:ln cmpd="sng">
                <a:solidFill>
                  <a:srgbClr val="AA433F">
                    <a:alpha val="100000"/>
                  </a:srgbClr>
                </a:solidFill>
              </a:ln>
            </c:spPr>
          </c:marker>
          <c:cat>
            <c:strRef>
              <c:f>INDICADORES!$A$20:$A$25</c:f>
            </c:strRef>
          </c:cat>
          <c:val>
            <c:numRef>
              <c:f>INDICADORES!$B$20:$B$25</c:f>
              <c:numCache/>
            </c:numRef>
          </c:val>
          <c:smooth val="0"/>
        </c:ser>
        <c:ser>
          <c:idx val="1"/>
          <c:order val="1"/>
          <c:tx>
            <c:v>Chamados resolvidos</c:v>
          </c:tx>
          <c:spPr>
            <a:ln cmpd="sng" w="38100">
              <a:solidFill>
                <a:srgbClr val="CC8F8E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C8F8E">
                  <a:alpha val="100000"/>
                </a:srgbClr>
              </a:solidFill>
              <a:ln cmpd="sng">
                <a:solidFill>
                  <a:srgbClr val="CC8F8E">
                    <a:alpha val="100000"/>
                  </a:srgbClr>
                </a:solidFill>
              </a:ln>
            </c:spPr>
          </c:marker>
          <c:cat>
            <c:strRef>
              <c:f>INDICADORES!$A$20:$A$25</c:f>
            </c:strRef>
          </c:cat>
          <c:val>
            <c:numRef>
              <c:f>INDICADORES!$C$20:$C$25</c:f>
              <c:numCache/>
            </c:numRef>
          </c:val>
          <c:smooth val="0"/>
        </c:ser>
        <c:axId val="1696357374"/>
        <c:axId val="1397257600"/>
      </c:lineChart>
      <c:catAx>
        <c:axId val="1696357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97257600"/>
      </c:catAx>
      <c:valAx>
        <c:axId val="1397257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 de chamados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9635737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Custo gerado por categoria (historico)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Custo total (R$)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INDICADORES!$A$6:$A$15</c:f>
            </c:strRef>
          </c:cat>
          <c:val>
            <c:numRef>
              <c:f>INDICADORES!$D$6:$D$15</c:f>
              <c:numCache/>
            </c:numRef>
          </c:val>
        </c:ser>
        <c:axId val="1301757889"/>
        <c:axId val="1270040746"/>
      </c:barChart>
      <c:catAx>
        <c:axId val="13017578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70040746"/>
      </c:catAx>
      <c:valAx>
        <c:axId val="12700407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01757889"/>
        <c:crosses val="max"/>
      </c:valAx>
    </c:plotArea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Chamados por dia - Agosto/2026 a Janeiro/2027</a:t>
            </a:r>
          </a:p>
        </c:rich>
      </c:tx>
      <c:overlay val="0"/>
    </c:title>
    <c:plotArea>
      <c:layout/>
      <c:lineChart>
        <c:ser>
          <c:idx val="0"/>
          <c:order val="0"/>
          <c:tx>
            <c:v>Chamados abertos</c:v>
          </c:tx>
          <c:spPr>
            <a:ln cmpd="sng" w="38100">
              <a:solidFill>
                <a:srgbClr val="1F386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INDICADORES!$A$31:$A$214</c:f>
            </c:strRef>
          </c:cat>
          <c:val>
            <c:numRef>
              <c:f>INDICADORES!$B$31:$B$214</c:f>
              <c:numCache/>
            </c:numRef>
          </c:val>
          <c:smooth val="0"/>
        </c:ser>
        <c:ser>
          <c:idx val="1"/>
          <c:order val="1"/>
          <c:tx>
            <c:v>Chamados resolvidos</c:v>
          </c:tx>
          <c:spPr>
            <a:ln cmpd="sng" w="38100">
              <a:solidFill>
                <a:srgbClr val="70AD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INDICADORES!$A$31:$A$214</c:f>
            </c:strRef>
          </c:cat>
          <c:val>
            <c:numRef>
              <c:f>INDICADORES!$C$31:$C$214</c:f>
              <c:numCache/>
            </c:numRef>
          </c:val>
          <c:smooth val="0"/>
        </c:ser>
        <c:axId val="1963429704"/>
        <c:axId val="1369519061"/>
      </c:lineChart>
      <c:catAx>
        <c:axId val="1963429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69519061"/>
      </c:catAx>
      <c:valAx>
        <c:axId val="1369519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 de chamados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342970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Chamados/NC por canal de venda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 de NC/chamados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INDICADORES!$A$241:$A$244</c:f>
            </c:strRef>
          </c:cat>
          <c:val>
            <c:numRef>
              <c:f>INDICADORES!$B$241:$B$244</c:f>
              <c:numCache/>
            </c:numRef>
          </c:val>
        </c:ser>
        <c:axId val="1581615592"/>
        <c:axId val="1706115836"/>
      </c:barChart>
      <c:catAx>
        <c:axId val="1581615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06115836"/>
      </c:catAx>
      <c:valAx>
        <c:axId val="1706115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81615592"/>
      </c:valAx>
    </c:plotArea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Custo por canal de venda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Custo total (R$)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INDICADORES!$A$241:$A$244</c:f>
            </c:strRef>
          </c:cat>
          <c:val>
            <c:numRef>
              <c:f>INDICADORES!$C$241:$C$244</c:f>
              <c:numCache/>
            </c:numRef>
          </c:val>
        </c:ser>
        <c:axId val="1057981255"/>
        <c:axId val="970198145"/>
      </c:barChart>
      <c:catAx>
        <c:axId val="1057981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70198145"/>
      </c:catAx>
      <c:valAx>
        <c:axId val="970198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57981255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Chamados recebidos x resolvidos por mes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Chamados recebidos</c:v>
          </c:tx>
          <c:spPr>
            <a:ln cmpd="sng" w="38100">
              <a:solidFill>
                <a:srgbClr val="1F3864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F3864">
                  <a:alpha val="100000"/>
                </a:srgbClr>
              </a:solidFill>
              <a:ln cmpd="sng">
                <a:solidFill>
                  <a:srgbClr val="1F3864">
                    <a:alpha val="100000"/>
                  </a:srgbClr>
                </a:solidFill>
              </a:ln>
            </c:spPr>
          </c:marker>
          <c:cat>
            <c:strRef>
              <c:f>'RESUMO MENSAL'!$B$3:$G$3</c:f>
            </c:strRef>
          </c:cat>
          <c:val>
            <c:numRef>
              <c:f>'RESUMO MENSAL'!$B$4:$G$4</c:f>
              <c:numCache/>
            </c:numRef>
          </c:val>
          <c:smooth val="0"/>
        </c:ser>
        <c:ser>
          <c:idx val="1"/>
          <c:order val="1"/>
          <c:tx>
            <c:v>Chamados resolvidos</c:v>
          </c:tx>
          <c:spPr>
            <a:ln cmpd="sng" w="38100">
              <a:solidFill>
                <a:srgbClr val="70AD4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70AD47">
                  <a:alpha val="100000"/>
                </a:srgbClr>
              </a:solidFill>
              <a:ln cmpd="sng">
                <a:solidFill>
                  <a:srgbClr val="70AD47">
                    <a:alpha val="100000"/>
                  </a:srgbClr>
                </a:solidFill>
              </a:ln>
            </c:spPr>
          </c:marker>
          <c:cat>
            <c:strRef>
              <c:f>'RESUMO MENSAL'!$B$3:$G$3</c:f>
            </c:strRef>
          </c:cat>
          <c:val>
            <c:numRef>
              <c:f>'RESUMO MENSAL'!$B$5:$G$5</c:f>
              <c:numCache/>
            </c:numRef>
          </c:val>
          <c:smooth val="0"/>
        </c:ser>
        <c:axId val="1057132565"/>
        <c:axId val="195202479"/>
      </c:lineChart>
      <c:catAx>
        <c:axId val="1057132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5202479"/>
      </c:catAx>
      <c:valAx>
        <c:axId val="195202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 de chamados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5713256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Custo do SAC por mes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Custo gerado pelo SAC (R$)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'RESUMO MENSAL'!$B$3:$G$3</c:f>
            </c:strRef>
          </c:cat>
          <c:val>
            <c:numRef>
              <c:f>'RESUMO MENSAL'!$B$16:$G$16</c:f>
              <c:numCache/>
            </c:numRef>
          </c:val>
        </c:ser>
        <c:axId val="1231083114"/>
        <c:axId val="1962371666"/>
      </c:barChart>
      <c:catAx>
        <c:axId val="1231083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2371666"/>
      </c:catAx>
      <c:valAx>
        <c:axId val="1962371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1083114"/>
      </c:valAx>
    </c:plotArea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Satisfacao media por mes (1-5)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Satisfacao media (1-5)</c:v>
          </c:tx>
          <c:spPr>
            <a:ln cmpd="sng" w="38100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8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'RESUMO MENSAL'!$B$3:$G$3</c:f>
            </c:strRef>
          </c:cat>
          <c:val>
            <c:numRef>
              <c:f>'RESUMO MENSAL'!$B$13:$G$13</c:f>
              <c:numCache/>
            </c:numRef>
          </c:val>
          <c:smooth val="0"/>
        </c:ser>
        <c:axId val="1383572090"/>
        <c:axId val="1789323187"/>
      </c:lineChart>
      <c:catAx>
        <c:axId val="1383572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89323187"/>
      </c:catAx>
      <c:valAx>
        <c:axId val="1789323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Satisfacao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83572090"/>
      </c:valAx>
    </c:plotArea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Reclamacoes, trocas, avarias e pecas faltantes por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Reclamacoes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'RESUMO MENSAL'!$B$3:$G$3</c:f>
            </c:strRef>
          </c:cat>
          <c:val>
            <c:numRef>
              <c:f>'RESUMO MENSAL'!$B$9:$G$9</c:f>
              <c:numCache/>
            </c:numRef>
          </c:val>
        </c:ser>
        <c:ser>
          <c:idx val="1"/>
          <c:order val="1"/>
          <c:tx>
            <c:v>Trocas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'RESUMO MENSAL'!$B$3:$G$3</c:f>
            </c:strRef>
          </c:cat>
          <c:val>
            <c:numRef>
              <c:f>'RESUMO MENSAL'!$B$10:$G$10</c:f>
              <c:numCache/>
            </c:numRef>
          </c:val>
        </c:ser>
        <c:ser>
          <c:idx val="2"/>
          <c:order val="2"/>
          <c:tx>
            <c:v>Avarias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'RESUMO MENSAL'!$B$3:$G$3</c:f>
            </c:strRef>
          </c:cat>
          <c:val>
            <c:numRef>
              <c:f>'RESUMO MENSAL'!$B$11:$G$11</c:f>
              <c:numCache/>
            </c:numRef>
          </c:val>
        </c:ser>
        <c:ser>
          <c:idx val="3"/>
          <c:order val="3"/>
          <c:tx>
            <c:v>Pecas faltantes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'RESUMO MENSAL'!$B$3:$G$3</c:f>
            </c:strRef>
          </c:cat>
          <c:val>
            <c:numRef>
              <c:f>'RESUMO MENSAL'!$B$12:$G$12</c:f>
              <c:numCache/>
            </c:numRef>
          </c:val>
        </c:ser>
        <c:axId val="1944430337"/>
        <c:axId val="165020445"/>
      </c:barChart>
      <c:catAx>
        <c:axId val="1944430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020445"/>
      </c:catAx>
      <c:valAx>
        <c:axId val="165020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443033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Produto mais reclamado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Qtd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'BASE NC'!$A$340:$A$346</c:f>
            </c:strRef>
          </c:cat>
          <c:val>
            <c:numRef>
              <c:f>'BASE NC'!$B$340:$B$346</c:f>
              <c:numCache/>
            </c:numRef>
          </c:val>
        </c:ser>
        <c:axId val="1199949056"/>
        <c:axId val="1126120202"/>
      </c:barChart>
      <c:catAx>
        <c:axId val="11999490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6120202"/>
      </c:catAx>
      <c:valAx>
        <c:axId val="11261202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99949056"/>
        <c:crosses val="max"/>
      </c:valAx>
    </c:plotArea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Reclamacoes por setor responsavel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'BASE NC'!$A$330:$A$336</c:f>
            </c:strRef>
          </c:cat>
          <c:val>
            <c:numRef>
              <c:f>'BASE NC'!$B$330:$B$336</c:f>
              <c:numCache/>
            </c:numRef>
          </c:val>
        </c:ser>
        <c:axId val="168156732"/>
        <c:axId val="1009646043"/>
      </c:barChart>
      <c:catAx>
        <c:axId val="168156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9646043"/>
      </c:catAx>
      <c:valAx>
        <c:axId val="1009646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8156732"/>
      </c:valAx>
    </c:plotArea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Reincidencia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'BASE NC'!$B$349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'BASE NC'!$A$350:$A$351</c:f>
            </c:strRef>
          </c:cat>
          <c:val>
            <c:numRef>
              <c:f>'BASE NC'!$B$350:$B$351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Reclamacoes por mes - Agosto/2026 a Janeiro/2027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Qtd</c:v>
          </c:tx>
          <c:spPr>
            <a:ln cmpd="sng" w="38100">
              <a:solidFill>
                <a:srgbClr val="1F3864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F3864">
                  <a:alpha val="100000"/>
                </a:srgbClr>
              </a:solidFill>
              <a:ln cmpd="sng">
                <a:solidFill>
                  <a:srgbClr val="1F3864">
                    <a:alpha val="100000"/>
                  </a:srgbClr>
                </a:solidFill>
              </a:ln>
            </c:spPr>
          </c:marker>
          <c:cat>
            <c:strRef>
              <c:f>'BASE NC'!$A$355:$A$360</c:f>
            </c:strRef>
          </c:cat>
          <c:val>
            <c:numRef>
              <c:f>'BASE NC'!$B$355:$B$360</c:f>
              <c:numCache/>
            </c:numRef>
          </c:val>
          <c:smooth val="0"/>
        </c:ser>
        <c:axId val="2139332596"/>
        <c:axId val="1507849096"/>
      </c:lineChart>
      <c:catAx>
        <c:axId val="2139332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7849096"/>
      </c:catAx>
      <c:valAx>
        <c:axId val="1507849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39332596"/>
      </c:valAx>
    </c:plotArea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Categoria da reclamacao (Base NC)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'BASE NC'!$A$364:$A$373</c:f>
            </c:strRef>
          </c:cat>
          <c:val>
            <c:numRef>
              <c:f>'BASE NC'!$B$364:$B$373</c:f>
              <c:numCache/>
            </c:numRef>
          </c:val>
        </c:ser>
        <c:axId val="1086660529"/>
        <c:axId val="1385637945"/>
      </c:barChart>
      <c:lineChart>
        <c:varyColors val="0"/>
        <c:ser>
          <c:idx val="1"/>
          <c:order val="1"/>
          <c:tx>
            <c:v>% acumulado</c:v>
          </c:tx>
          <c:spPr>
            <a:ln cmpd="sng" w="38100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Ref>
              <c:f>'BASE NC'!$A$364:$A$373</c:f>
            </c:strRef>
          </c:cat>
          <c:val>
            <c:numRef>
              <c:f>'BASE NC'!$C$364:$C$373</c:f>
              <c:numCache/>
            </c:numRef>
          </c:val>
          <c:smooth val="0"/>
        </c:ser>
        <c:axId val="1086660529"/>
        <c:axId val="1385637945"/>
      </c:lineChart>
      <c:catAx>
        <c:axId val="1086660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85637945"/>
      </c:catAx>
      <c:valAx>
        <c:axId val="1385637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86660529"/>
      </c:valAx>
    </c:plotArea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Onde a embalagem esta falhando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'BASE NC'!$A$379:$A$386</c:f>
            </c:strRef>
          </c:cat>
          <c:val>
            <c:numRef>
              <c:f>'BASE NC'!$B$379:$B$386</c:f>
              <c:numCache/>
            </c:numRef>
          </c:val>
        </c:ser>
        <c:axId val="1945720141"/>
        <c:axId val="328523667"/>
      </c:barChart>
      <c:lineChart>
        <c:varyColors val="0"/>
        <c:ser>
          <c:idx val="1"/>
          <c:order val="1"/>
          <c:tx>
            <c:v>% acumulado</c:v>
          </c:tx>
          <c:spPr>
            <a:ln cmpd="sng" w="38100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Ref>
              <c:f>'BASE NC'!$A$379:$A$386</c:f>
            </c:strRef>
          </c:cat>
          <c:val>
            <c:numRef>
              <c:f>'BASE NC'!$C$379:$C$386</c:f>
              <c:numCache/>
            </c:numRef>
          </c:val>
          <c:smooth val="0"/>
        </c:ser>
        <c:axId val="1945720141"/>
        <c:axId val="328523667"/>
      </c:lineChart>
      <c:catAx>
        <c:axId val="1945720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28523667"/>
      </c:catAx>
      <c:valAx>
        <c:axId val="328523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5720141"/>
      </c:valAx>
    </c:plotArea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Chamados por status (atual)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SAC!$V$2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SAC!$U$3:$U$7</c:f>
            </c:strRef>
          </c:cat>
          <c:val>
            <c:numRef>
              <c:f>SAC!$V$3:$V$7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Categoria do defeito - SAC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SAC!$X$17:$X$26</c:f>
            </c:strRef>
          </c:cat>
          <c:val>
            <c:numRef>
              <c:f>SAC!$Y$17:$Y$26</c:f>
              <c:numCache/>
            </c:numRef>
          </c:val>
        </c:ser>
        <c:axId val="100550770"/>
        <c:axId val="1093173455"/>
      </c:barChart>
      <c:lineChart>
        <c:varyColors val="0"/>
        <c:ser>
          <c:idx val="1"/>
          <c:order val="1"/>
          <c:tx>
            <c:v>% acumulado</c:v>
          </c:tx>
          <c:spPr>
            <a:ln cmpd="sng" w="38100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Ref>
              <c:f>SAC!$X$17:$X$26</c:f>
            </c:strRef>
          </c:cat>
          <c:val>
            <c:numRef>
              <c:f>SAC!$Z$17:$Z$26</c:f>
              <c:numCache/>
            </c:numRef>
          </c:val>
          <c:smooth val="0"/>
        </c:ser>
        <c:axId val="100550770"/>
        <c:axId val="1093173455"/>
      </c:lineChart>
      <c:catAx>
        <c:axId val="100550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93173455"/>
      </c:catAx>
      <c:valAx>
        <c:axId val="1093173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550770"/>
      </c:valAx>
    </c:plotArea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NC por canal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1F3864"/>
            </a:solidFill>
            <a:ln cmpd="sng">
              <a:noFill/>
            </a:ln>
          </c:spPr>
          <c:cat>
            <c:strRef>
              <c:f>'NC CANAIS'!$R$3:$R$5</c:f>
            </c:strRef>
          </c:cat>
          <c:val>
            <c:numRef>
              <c:f>'NC CANAIS'!$S$3:$S$5</c:f>
              <c:numCache/>
            </c:numRef>
          </c:val>
        </c:ser>
        <c:axId val="1742188476"/>
        <c:axId val="907179312"/>
      </c:barChart>
      <c:catAx>
        <c:axId val="1742188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7179312"/>
      </c:catAx>
      <c:valAx>
        <c:axId val="907179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42188476"/>
      </c:valAx>
    </c:plotArea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Produto mais reclamado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Qtd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'NC CANAIS'!$R$9:$R$15</c:f>
            </c:strRef>
          </c:cat>
          <c:val>
            <c:numRef>
              <c:f>'NC CANAIS'!$S$9:$S$15</c:f>
              <c:numCache/>
            </c:numRef>
          </c:val>
        </c:ser>
        <c:axId val="374232315"/>
        <c:axId val="1023920530"/>
      </c:barChart>
      <c:catAx>
        <c:axId val="3742323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3920530"/>
      </c:catAx>
      <c:valAx>
        <c:axId val="10239205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74232315"/>
        <c:crosses val="max"/>
      </c:valAx>
    </c:plotArea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NC por categoria da reclamacao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Qtd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'NC CANAIS'!$R$19:$R$28</c:f>
            </c:strRef>
          </c:cat>
          <c:val>
            <c:numRef>
              <c:f>'NC CANAIS'!$S$19:$S$28</c:f>
              <c:numCache/>
            </c:numRef>
          </c:val>
        </c:ser>
        <c:axId val="2005201551"/>
        <c:axId val="1005386695"/>
      </c:barChart>
      <c:catAx>
        <c:axId val="20052015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5386695"/>
      </c:catAx>
      <c:valAx>
        <c:axId val="10053866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05201551"/>
        <c:crosses val="max"/>
      </c:valAx>
    </c:plotArea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Pareto - categoria da reclamacao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'NC CANAIS'!$R$58:$R$67</c:f>
            </c:strRef>
          </c:cat>
          <c:val>
            <c:numRef>
              <c:f>'NC CANAIS'!$S$58:$S$67</c:f>
              <c:numCache/>
            </c:numRef>
          </c:val>
        </c:ser>
        <c:axId val="1477612525"/>
        <c:axId val="1216325770"/>
      </c:barChart>
      <c:lineChart>
        <c:varyColors val="0"/>
        <c:ser>
          <c:idx val="1"/>
          <c:order val="1"/>
          <c:tx>
            <c:v>% acumulado</c:v>
          </c:tx>
          <c:spPr>
            <a:ln cmpd="sng" w="38100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Ref>
              <c:f>'NC CANAIS'!$R$58:$R$67</c:f>
            </c:strRef>
          </c:cat>
          <c:val>
            <c:numRef>
              <c:f>'NC CANAIS'!$T$58:$T$67</c:f>
              <c:numCache/>
            </c:numRef>
          </c:val>
          <c:smooth val="0"/>
        </c:ser>
        <c:axId val="1477612525"/>
        <c:axId val="1216325770"/>
      </c:lineChart>
      <c:catAx>
        <c:axId val="1477612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16325770"/>
      </c:catAx>
      <c:valAx>
        <c:axId val="1216325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77612525"/>
      </c:valAx>
    </c:plotArea>
    <c:plotVisOnly val="1"/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Status atual das NC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'NC CANAIS'!$S$31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'NC CANAIS'!$R$32:$R$36</c:f>
            </c:strRef>
          </c:cat>
          <c:val>
            <c:numRef>
              <c:f>'NC CANAIS'!$S$32:$S$36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Custo por tipo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(R$)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'NC CANAIS'!$R$40:$R$43</c:f>
            </c:strRef>
          </c:cat>
          <c:val>
            <c:numRef>
              <c:f>'NC CANAIS'!$S$40:$S$43</c:f>
              <c:numCache/>
            </c:numRef>
          </c:val>
        </c:ser>
        <c:axId val="1524476073"/>
        <c:axId val="553612571"/>
      </c:barChart>
      <c:catAx>
        <c:axId val="1524476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53612571"/>
      </c:catAx>
      <c:valAx>
        <c:axId val="553612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24476073"/>
      </c:valAx>
    </c:plotArea>
    <c:plotVisOnly val="1"/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NC por mes - Agosto/2026 a Janeiro/2027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Qtd</c:v>
          </c:tx>
          <c:spPr>
            <a:ln cmpd="sng" w="38100">
              <a:solidFill>
                <a:srgbClr val="1F3864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F3864">
                  <a:alpha val="100000"/>
                </a:srgbClr>
              </a:solidFill>
              <a:ln cmpd="sng">
                <a:solidFill>
                  <a:srgbClr val="1F3864">
                    <a:alpha val="100000"/>
                  </a:srgbClr>
                </a:solidFill>
              </a:ln>
            </c:spPr>
          </c:marker>
          <c:cat>
            <c:strRef>
              <c:f>'NC CANAIS'!$R$47:$R$52</c:f>
            </c:strRef>
          </c:cat>
          <c:val>
            <c:numRef>
              <c:f>'NC CANAIS'!$S$47:$S$52</c:f>
              <c:numCache/>
            </c:numRef>
          </c:val>
          <c:smooth val="0"/>
        </c:ser>
        <c:axId val="1254379100"/>
        <c:axId val="1723904312"/>
      </c:lineChart>
      <c:catAx>
        <c:axId val="1254379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mmm/yy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23904312"/>
      </c:catAx>
      <c:valAx>
        <c:axId val="1723904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54379100"/>
      </c:valAx>
    </c:plotArea>
    <c:plotVisOnly val="1"/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Distribuicao de satisfacao (1 a 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'POS-VENDA'!$L$3:$L$7</c:f>
            </c:strRef>
          </c:cat>
          <c:val>
            <c:numRef>
              <c:f>'POS-VENDA'!$M$3:$M$7</c:f>
              <c:numCache/>
            </c:numRef>
          </c:val>
        </c:ser>
        <c:axId val="594560469"/>
        <c:axId val="466000058"/>
      </c:barChart>
      <c:catAx>
        <c:axId val="594560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66000058"/>
      </c:catAx>
      <c:valAx>
        <c:axId val="466000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94560469"/>
      </c:valAx>
    </c:plotArea>
    <c:plotVisOnly val="1"/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Nao conformidades por causa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Qtd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'CAUSAS E QUALIDADE'!$L$3:$L$12</c:f>
            </c:strRef>
          </c:cat>
          <c:val>
            <c:numRef>
              <c:f>'CAUSAS E QUALIDADE'!$M$3:$M$12</c:f>
              <c:numCache/>
            </c:numRef>
          </c:val>
        </c:ser>
        <c:axId val="854085710"/>
        <c:axId val="682203424"/>
      </c:barChart>
      <c:catAx>
        <c:axId val="8540857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82203424"/>
      </c:catAx>
      <c:valAx>
        <c:axId val="6822034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4085710"/>
        <c:crosses val="max"/>
      </c:valAx>
    </c:plotArea>
    <c:plotVisOnly val="1"/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Nao conformidades por causa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C00000"/>
            </a:solidFill>
            <a:ln cmpd="sng">
              <a:noFill/>
            </a:ln>
          </c:spPr>
          <c:cat>
            <c:strRef>
              <c:f>'CAUSAS E QUALIDADE'!$L$38:$L$47</c:f>
            </c:strRef>
          </c:cat>
          <c:val>
            <c:numRef>
              <c:f>'CAUSAS E QUALIDADE'!$M$38:$M$47</c:f>
              <c:numCache/>
            </c:numRef>
          </c:val>
        </c:ser>
        <c:axId val="240202700"/>
        <c:axId val="140322299"/>
      </c:barChart>
      <c:lineChart>
        <c:varyColors val="0"/>
        <c:ser>
          <c:idx val="1"/>
          <c:order val="1"/>
          <c:tx>
            <c:v>% acumulado</c:v>
          </c:tx>
          <c:spPr>
            <a:ln cmpd="sng" w="38100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C00000">
                  <a:alpha val="100000"/>
                </a:srgbClr>
              </a:solidFill>
              <a:ln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Ref>
              <c:f>'CAUSAS E QUALIDADE'!$L$38:$L$47</c:f>
            </c:strRef>
          </c:cat>
          <c:val>
            <c:numRef>
              <c:f>'CAUSAS E QUALIDADE'!$N$38:$N$47</c:f>
              <c:numCache/>
            </c:numRef>
          </c:val>
          <c:smooth val="0"/>
        </c:ser>
        <c:axId val="240202700"/>
        <c:axId val="140322299"/>
      </c:lineChart>
      <c:catAx>
        <c:axId val="240202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0322299"/>
      </c:catAx>
      <c:valAx>
        <c:axId val="140322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Qtd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0202700"/>
      </c:valAx>
    </c:plotArea>
    <c:plotVisOnly val="1"/>
  </c:chart>
  <c:spPr>
    <a:solidFill>
      <a:srgbClr val="FFFFFF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Trocas x devolucoes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'TROCAS-DEVOLUCOES'!$N$2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'TROCAS-DEVOLUCOES'!$M$3:$M$6</c:f>
            </c:strRef>
          </c:cat>
          <c:val>
            <c:numRef>
              <c:f>'TROCAS-DEVOLUCOES'!$N$3:$N$6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Clientes por status de relacionamento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'CLIENTES E RECOMPRA'!$M$2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'CLIENTES E RECOMPRA'!$L$3:$L$6</c:f>
            </c:strRef>
          </c:cat>
          <c:val>
            <c:numRef>
              <c:f>'CLIENTES E RECOMPRA'!$M$3:$M$6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Acoes por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Qtd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'PLANO DE ACAO'!$J$3:$J$6</c:f>
            </c:strRef>
          </c:cat>
          <c:val>
            <c:numRef>
              <c:f>'PLANO DE ACAO'!$K$3:$K$6</c:f>
              <c:numCache/>
            </c:numRef>
          </c:val>
        </c:ser>
        <c:axId val="1226933362"/>
        <c:axId val="1980891582"/>
      </c:barChart>
      <c:catAx>
        <c:axId val="1226933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80891582"/>
      </c:catAx>
      <c:valAx>
        <c:axId val="1980891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26933362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5" Type="http://schemas.openxmlformats.org/officeDocument/2006/relationships/chart" Target="../charts/chart25.xml"/><Relationship Id="rId6" Type="http://schemas.openxmlformats.org/officeDocument/2006/relationships/chart" Target="../charts/chart26.xml"/><Relationship Id="rId7" Type="http://schemas.openxmlformats.org/officeDocument/2006/relationships/chart" Target="../charts/chart2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123825</xdr:rowOff>
    </xdr:from>
    <xdr:ext cx="691515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123825</xdr:rowOff>
    </xdr:from>
    <xdr:ext cx="5867400" cy="3095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21</xdr:row>
      <xdr:rowOff>19050</xdr:rowOff>
    </xdr:from>
    <xdr:ext cx="3829050" cy="3238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0</xdr:colOff>
      <xdr:row>3</xdr:row>
      <xdr:rowOff>123825</xdr:rowOff>
    </xdr:from>
    <xdr:ext cx="6858000" cy="30956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0</xdr:colOff>
      <xdr:row>21</xdr:row>
      <xdr:rowOff>19050</xdr:rowOff>
    </xdr:from>
    <xdr:ext cx="6858000" cy="3238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213</xdr:row>
      <xdr:rowOff>57150</xdr:rowOff>
    </xdr:from>
    <xdr:ext cx="10620375" cy="37814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240</xdr:row>
      <xdr:rowOff>123825</xdr:rowOff>
    </xdr:from>
    <xdr:ext cx="6143625" cy="34004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0</xdr:colOff>
      <xdr:row>240</xdr:row>
      <xdr:rowOff>123825</xdr:rowOff>
    </xdr:from>
    <xdr:ext cx="5686425" cy="34004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123825</xdr:rowOff>
    </xdr:from>
    <xdr:ext cx="6819900" cy="34004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38</xdr:row>
      <xdr:rowOff>123825</xdr:rowOff>
    </xdr:from>
    <xdr:ext cx="6819900" cy="34004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19</xdr:row>
      <xdr:rowOff>123825</xdr:rowOff>
    </xdr:from>
    <xdr:ext cx="6858000" cy="34004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38</xdr:row>
      <xdr:rowOff>123825</xdr:rowOff>
    </xdr:from>
    <xdr:ext cx="6858000" cy="34004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301</xdr:row>
      <xdr:rowOff>161925</xdr:rowOff>
    </xdr:from>
    <xdr:ext cx="6200775" cy="378142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321</xdr:row>
      <xdr:rowOff>161925</xdr:rowOff>
    </xdr:from>
    <xdr:ext cx="6200775" cy="340042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321</xdr:row>
      <xdr:rowOff>161925</xdr:rowOff>
    </xdr:from>
    <xdr:ext cx="4114800" cy="340042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0</xdr:colOff>
      <xdr:row>321</xdr:row>
      <xdr:rowOff>161925</xdr:rowOff>
    </xdr:from>
    <xdr:ext cx="6172200" cy="340042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0</xdr:colOff>
      <xdr:row>341</xdr:row>
      <xdr:rowOff>161925</xdr:rowOff>
    </xdr:from>
    <xdr:ext cx="8220075" cy="363855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0</xdr:colOff>
      <xdr:row>361</xdr:row>
      <xdr:rowOff>19050</xdr:rowOff>
    </xdr:from>
    <xdr:ext cx="8220075" cy="345757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6</xdr:row>
      <xdr:rowOff>104775</xdr:rowOff>
    </xdr:from>
    <xdr:ext cx="4791075" cy="291465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0</xdr:colOff>
      <xdr:row>14</xdr:row>
      <xdr:rowOff>104775</xdr:rowOff>
    </xdr:from>
    <xdr:ext cx="8210550" cy="327660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257175</xdr:rowOff>
    </xdr:from>
    <xdr:ext cx="5476875" cy="308610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133350</xdr:rowOff>
    </xdr:from>
    <xdr:ext cx="6134100" cy="400050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1</xdr:row>
      <xdr:rowOff>257175</xdr:rowOff>
    </xdr:from>
    <xdr:ext cx="6172200" cy="405765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171450</xdr:rowOff>
    </xdr:from>
    <xdr:ext cx="8181975" cy="363855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0</xdr:colOff>
      <xdr:row>18</xdr:row>
      <xdr:rowOff>171450</xdr:rowOff>
    </xdr:from>
    <xdr:ext cx="4791075" cy="3400425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</xdr:col>
      <xdr:colOff>0</xdr:colOff>
      <xdr:row>1</xdr:row>
      <xdr:rowOff>257175</xdr:rowOff>
    </xdr:from>
    <xdr:ext cx="5467350" cy="308610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0</xdr:colOff>
      <xdr:row>18</xdr:row>
      <xdr:rowOff>171450</xdr:rowOff>
    </xdr:from>
    <xdr:ext cx="6162675" cy="3400425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8</xdr:row>
      <xdr:rowOff>38100</xdr:rowOff>
    </xdr:from>
    <xdr:ext cx="5476875" cy="3400425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13</xdr:row>
      <xdr:rowOff>38100</xdr:rowOff>
    </xdr:from>
    <xdr:ext cx="6172200" cy="4143375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36</xdr:row>
      <xdr:rowOff>228600</xdr:rowOff>
    </xdr:from>
    <xdr:ext cx="8210550" cy="3295650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7</xdr:row>
      <xdr:rowOff>38100</xdr:rowOff>
    </xdr:from>
    <xdr:ext cx="4791075" cy="3400425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6</xdr:row>
      <xdr:rowOff>66675</xdr:rowOff>
    </xdr:from>
    <xdr:ext cx="4791075" cy="3400425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7</xdr:row>
      <xdr:rowOff>38100</xdr:rowOff>
    </xdr:from>
    <xdr:ext cx="5476875" cy="3400425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3" width="16.0"/>
    <col customWidth="1" min="4" max="4" width="12.0"/>
    <col customWidth="1" min="5" max="5" width="30.0"/>
    <col customWidth="1" min="6" max="11" width="8.71"/>
  </cols>
  <sheetData>
    <row r="1">
      <c r="A1" s="1" t="s">
        <v>0</v>
      </c>
    </row>
    <row r="3">
      <c r="A3" s="2" t="s">
        <v>1</v>
      </c>
      <c r="B3" s="3">
        <v>46266.0</v>
      </c>
      <c r="D3" s="4" t="s">
        <v>2</v>
      </c>
    </row>
    <row r="5">
      <c r="A5" s="5" t="s">
        <v>3</v>
      </c>
    </row>
    <row r="6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s="7" t="s">
        <v>9</v>
      </c>
      <c r="B7" s="8" t="str">
        <f>COUNTIFS(SAC!$B$3:$B$400,"&gt;="&amp;$B$3,SAC!$B$3:$B$400,"&lt;"&amp;EDATE($B$3,1))</f>
        <v>0</v>
      </c>
      <c r="C7" s="9">
        <v>20.0</v>
      </c>
      <c r="D7" s="10" t="str">
        <f>IF(B7&lt;=C7,"Verde",IF(B7&lt;=C7*1.2,"Amarelo","Vermelho"))</f>
        <v>Verde</v>
      </c>
      <c r="E7" s="7"/>
    </row>
    <row r="8">
      <c r="A8" s="7" t="s">
        <v>10</v>
      </c>
      <c r="B8" s="8" t="str">
        <f>COUNTIFS(SAC!$N$3:$N$400,"&gt;="&amp;$B$3,SAC!$N$3:$N$400,"&lt;"&amp;EDATE($B$3,1))</f>
        <v>0</v>
      </c>
      <c r="C8" s="9">
        <v>18.0</v>
      </c>
      <c r="D8" s="10" t="str">
        <f>IF(B8&gt;=C8,"Verde",IF(B8&gt;=C8*0.8,"Amarelo","Vermelho"))</f>
        <v>Vermelho</v>
      </c>
      <c r="E8" s="7"/>
    </row>
    <row r="9">
      <c r="A9" s="7" t="s">
        <v>11</v>
      </c>
      <c r="B9" s="8" t="str">
        <f>COUNTIFS(SAC!$L$3:$L$400,"&lt;&gt;Resolvido",SAC!$L$3:$L$400,"&lt;&gt;Cancelado",SAC!$L$3:$L$400,"&lt;&gt;")</f>
        <v>0</v>
      </c>
      <c r="C9" s="9">
        <v>5.0</v>
      </c>
      <c r="D9" s="10" t="str">
        <f t="shared" ref="D9:D15" si="1">IF(B9&lt;=C9,"Verde",IF(B9&lt;=C9*1.2,"Amarelo","Vermelho"))</f>
        <v>Verde</v>
      </c>
      <c r="E9" s="7"/>
    </row>
    <row r="10">
      <c r="A10" s="7" t="s">
        <v>12</v>
      </c>
      <c r="B10" s="11" t="str">
        <f>IFERROR(AVERAGEIFS(SAC!$O$3:$O$400,SAC!$B$3:$B$400,"&gt;="&amp;$B$3,SAC!$B$3:$B$400,"&lt;"&amp;EDATE($B$3,1)),0)</f>
        <v>0.0</v>
      </c>
      <c r="C10" s="12">
        <v>1.0</v>
      </c>
      <c r="D10" s="10" t="str">
        <f t="shared" si="1"/>
        <v>Verde</v>
      </c>
      <c r="E10" s="7"/>
    </row>
    <row r="11">
      <c r="A11" s="7" t="s">
        <v>13</v>
      </c>
      <c r="B11" s="11" t="str">
        <f>IFERROR(AVERAGEIFS(SAC!$P$3:$P$400,SAC!$B$3:$B$400,"&gt;="&amp;$B$3,SAC!$B$3:$B$400,"&lt;"&amp;EDATE($B$3,1)),0)</f>
        <v>0.0</v>
      </c>
      <c r="C11" s="12">
        <v>5.0</v>
      </c>
      <c r="D11" s="10" t="str">
        <f t="shared" si="1"/>
        <v>Verde</v>
      </c>
      <c r="E11" s="7"/>
    </row>
    <row r="12">
      <c r="A12" s="7" t="s">
        <v>14</v>
      </c>
      <c r="B12" s="8" t="str">
        <f>COUNTIFS(SAC!$H$3:$H$400,"Reclamacao",SAC!$B$3:$B$400,"&gt;="&amp;$B$3,SAC!$B$3:$B$400,"&lt;"&amp;EDATE($B$3,1))</f>
        <v>0</v>
      </c>
      <c r="C12" s="9">
        <v>5.0</v>
      </c>
      <c r="D12" s="10" t="str">
        <f t="shared" si="1"/>
        <v>Verde</v>
      </c>
      <c r="E12" s="7"/>
    </row>
    <row r="13">
      <c r="A13" s="7" t="s">
        <v>15</v>
      </c>
      <c r="B13" s="8" t="str">
        <f>COUNTIFS(SAC!$H$3:$H$400,"Troca",SAC!$B$3:$B$400,"&gt;="&amp;$B$3,SAC!$B$3:$B$400,"&lt;"&amp;EDATE($B$3,1))</f>
        <v>0</v>
      </c>
      <c r="C13" s="9">
        <v>5.0</v>
      </c>
      <c r="D13" s="10" t="str">
        <f t="shared" si="1"/>
        <v>Verde</v>
      </c>
      <c r="E13" s="7"/>
    </row>
    <row r="14">
      <c r="A14" s="7" t="s">
        <v>16</v>
      </c>
      <c r="B14" s="8" t="str">
        <f>COUNTIFS(SAC!$H$3:$H$400,"Avaria",SAC!$B$3:$B$400,"&gt;="&amp;$B$3,SAC!$B$3:$B$400,"&lt;"&amp;EDATE($B$3,1))</f>
        <v>0</v>
      </c>
      <c r="C14" s="9">
        <v>4.0</v>
      </c>
      <c r="D14" s="10" t="str">
        <f t="shared" si="1"/>
        <v>Verde</v>
      </c>
      <c r="E14" s="7"/>
    </row>
    <row r="15">
      <c r="A15" s="7" t="s">
        <v>17</v>
      </c>
      <c r="B15" s="8" t="str">
        <f>COUNTIFS(SAC!$H$3:$H$400,"Peca faltante",SAC!$B$3:$B$400,"&gt;="&amp;$B$3,SAC!$B$3:$B$400,"&lt;"&amp;EDATE($B$3,1))</f>
        <v>0</v>
      </c>
      <c r="C15" s="9">
        <v>4.0</v>
      </c>
      <c r="D15" s="10" t="str">
        <f t="shared" si="1"/>
        <v>Verde</v>
      </c>
      <c r="E15" s="7"/>
    </row>
    <row r="16">
      <c r="A16" s="7" t="s">
        <v>18</v>
      </c>
      <c r="B16" s="11" t="str">
        <f>IFERROR(AVERAGEIFS(SAC!$R$3:$R$400,SAC!$B$3:$B$400,"&gt;="&amp;$B$3,SAC!$B$3:$B$400,"&lt;"&amp;EDATE($B$3,1)),0)</f>
        <v>0.0</v>
      </c>
      <c r="C16" s="12">
        <v>4.5</v>
      </c>
      <c r="D16" s="10" t="str">
        <f t="shared" ref="D16:D18" si="2">IF(B16&gt;=C16,"Verde",IF(B16&gt;=C16*0.8,"Amarelo","Vermelho"))</f>
        <v>Vermelho</v>
      </c>
      <c r="E16" s="7"/>
    </row>
    <row r="17">
      <c r="A17" s="7" t="s">
        <v>19</v>
      </c>
      <c r="B17" s="8" t="str">
        <f>COUNTIFS('POS-VENDA'!$A$3:$A$150,"&gt;="&amp;$B$3,'POS-VENDA'!$A$3:$A$150,"&lt;"&amp;EDATE($B$3,1))</f>
        <v>0</v>
      </c>
      <c r="C17" s="9">
        <v>15.0</v>
      </c>
      <c r="D17" s="10" t="str">
        <f t="shared" si="2"/>
        <v>Vermelho</v>
      </c>
      <c r="E17" s="7"/>
    </row>
    <row r="18">
      <c r="A18" s="7" t="s">
        <v>20</v>
      </c>
      <c r="B18" s="8" t="str">
        <f>COUNTIFS('CLIENTES E RECOMPRA'!$G$3:$G$150,"Sim",'CLIENTES E RECOMPRA'!$H$3:$H$150,"&gt;="&amp;$B$3,'CLIENTES E RECOMPRA'!$H$3:$H$150,"&lt;"&amp;EDATE($B$3,1))</f>
        <v>0</v>
      </c>
      <c r="C18" s="9">
        <v>3.0</v>
      </c>
      <c r="D18" s="10" t="str">
        <f t="shared" si="2"/>
        <v>Vermelho</v>
      </c>
      <c r="E18" s="7"/>
    </row>
    <row r="19">
      <c r="A19" s="7" t="s">
        <v>21</v>
      </c>
      <c r="B19" s="13" t="str">
        <f>SUMIFS(SAC!$Q$3:$Q$400,SAC!$B$3:$B$400,"&gt;="&amp;$B$3,SAC!$B$3:$B$400,"&lt;"&amp;EDATE($B$3,1))</f>
        <v>R$ 0.00</v>
      </c>
      <c r="C19" s="14">
        <v>2000.0</v>
      </c>
      <c r="D19" s="10" t="str">
        <f t="shared" ref="D19:D21" si="3">IF(B19&lt;=C19,"Verde",IF(B19&lt;=C19*1.2,"Amarelo","Vermelho"))</f>
        <v>Verde</v>
      </c>
      <c r="E19" s="7"/>
    </row>
    <row r="20">
      <c r="A20" s="7" t="s">
        <v>22</v>
      </c>
      <c r="B20" s="8" t="str">
        <f>COUNTIFS('NC CANAIS'!$A$2:$A$300,"&gt;="&amp;$B$3,'NC CANAIS'!$A$2:$A$300,"&lt;"&amp;EDATE($B$3,1))</f>
        <v>1</v>
      </c>
      <c r="C20" s="9">
        <v>6.0</v>
      </c>
      <c r="D20" s="10" t="str">
        <f t="shared" si="3"/>
        <v>Verde</v>
      </c>
      <c r="E20" s="7"/>
    </row>
    <row r="21" ht="15.75" customHeight="1">
      <c r="A21" s="7" t="s">
        <v>23</v>
      </c>
      <c r="B21" s="13" t="str">
        <f>SUMIFS('NC CANAIS'!$P$2:$P$300,'NC CANAIS'!$A$2:$A$300,"&gt;="&amp;$B$3,'NC CANAIS'!$A$2:$A$300,"&lt;"&amp;EDATE($B$3,1))</f>
        <v>R$ 250.00</v>
      </c>
      <c r="C21" s="14">
        <v>1500.0</v>
      </c>
      <c r="D21" s="10" t="str">
        <f t="shared" si="3"/>
        <v>Verde</v>
      </c>
      <c r="E21" s="7"/>
    </row>
    <row r="22" ht="15.75" customHeight="1">
      <c r="A22" s="4" t="s">
        <v>24</v>
      </c>
    </row>
    <row r="23" ht="15.75" customHeight="1">
      <c r="A23" s="4" t="s">
        <v>25</v>
      </c>
    </row>
    <row r="24" ht="15.75" customHeight="1">
      <c r="A24" s="4" t="s">
        <v>26</v>
      </c>
    </row>
    <row r="25" ht="15.75" customHeight="1"/>
    <row r="26" ht="15.75" customHeight="1">
      <c r="A26" s="5" t="s">
        <v>27</v>
      </c>
    </row>
    <row r="27" ht="15.75" customHeight="1">
      <c r="A27" s="6" t="s">
        <v>28</v>
      </c>
      <c r="B27" s="6" t="s">
        <v>29</v>
      </c>
      <c r="C27" s="6" t="s">
        <v>30</v>
      </c>
      <c r="D27" s="6" t="s">
        <v>31</v>
      </c>
      <c r="E27" s="6" t="s">
        <v>32</v>
      </c>
    </row>
    <row r="28" ht="15.75" customHeight="1">
      <c r="A28" s="4" t="s">
        <v>33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A1:E1"/>
    <mergeCell ref="D3:E3"/>
    <mergeCell ref="A5:E5"/>
    <mergeCell ref="A26:E26"/>
    <mergeCell ref="A28:E28"/>
  </mergeCells>
  <conditionalFormatting sqref="D7:D19">
    <cfRule type="cellIs" dxfId="0" priority="1" operator="equal">
      <formula>"Verde"</formula>
    </cfRule>
  </conditionalFormatting>
  <conditionalFormatting sqref="D7:D19">
    <cfRule type="cellIs" dxfId="1" priority="2" operator="equal">
      <formula>"Amarelo"</formula>
    </cfRule>
  </conditionalFormatting>
  <conditionalFormatting sqref="D7:D19">
    <cfRule type="cellIs" dxfId="2" priority="3" operator="equal">
      <formula>"Vermelho"</formula>
    </cfRule>
  </conditionalFormatting>
  <conditionalFormatting sqref="D20:D21">
    <cfRule type="cellIs" dxfId="0" priority="4" operator="equal">
      <formula>"Verde"</formula>
    </cfRule>
  </conditionalFormatting>
  <conditionalFormatting sqref="D20:D21">
    <cfRule type="cellIs" dxfId="1" priority="5" operator="equal">
      <formula>"Amarelo"</formula>
    </cfRule>
  </conditionalFormatting>
  <conditionalFormatting sqref="D20:D21">
    <cfRule type="cellIs" dxfId="2" priority="6" operator="equal">
      <formula>"Vermelho"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3" width="14.0"/>
    <col customWidth="1" min="4" max="4" width="16.0"/>
    <col customWidth="1" min="5" max="5" width="4.0"/>
    <col customWidth="1" min="6" max="6" width="14.0"/>
    <col customWidth="1" min="7" max="24" width="8.71"/>
  </cols>
  <sheetData>
    <row r="1">
      <c r="A1" s="1" t="s">
        <v>34</v>
      </c>
    </row>
    <row r="2">
      <c r="A2" s="2" t="s">
        <v>35</v>
      </c>
      <c r="B2" s="15" t="str">
        <f>PAINEL!$B$3</f>
        <v>September/2026</v>
      </c>
    </row>
    <row r="4">
      <c r="A4" s="5" t="s">
        <v>36</v>
      </c>
    </row>
    <row r="5">
      <c r="A5" s="6" t="s">
        <v>37</v>
      </c>
      <c r="B5" s="6" t="s">
        <v>38</v>
      </c>
      <c r="C5" s="6" t="s">
        <v>39</v>
      </c>
      <c r="D5" s="6" t="s">
        <v>40</v>
      </c>
    </row>
    <row r="6">
      <c r="A6" s="7" t="s">
        <v>41</v>
      </c>
      <c r="B6" s="16" t="str">
        <f>COUNTIFS(SAC!$J$3:$J$400,$A6,SAC!$B$3:$B$400,"&gt;="&amp;PAINEL!$B$3,SAC!$B$3:$B$400,"&lt;"&amp;EDATE(PAINEL!$B$3,1))</f>
        <v>0</v>
      </c>
      <c r="C6" s="16" t="str">
        <f>COUNTIFS(SAC!$J$3:$J$400,$A6)</f>
        <v>0</v>
      </c>
      <c r="D6" s="17" t="str">
        <f>SUMIFS(SAC!$Q$3:$Q$400,SAC!$J$3:$J$400,$A6)</f>
        <v>R$ 0.00</v>
      </c>
    </row>
    <row r="7">
      <c r="A7" s="7" t="s">
        <v>42</v>
      </c>
      <c r="B7" s="16" t="str">
        <f>COUNTIFS(SAC!$J$3:$J$400,$A7,SAC!$B$3:$B$400,"&gt;="&amp;PAINEL!$B$3,SAC!$B$3:$B$400,"&lt;"&amp;EDATE(PAINEL!$B$3,1))</f>
        <v>0</v>
      </c>
      <c r="C7" s="16" t="str">
        <f>COUNTIFS(SAC!$J$3:$J$400,$A7)</f>
        <v>0</v>
      </c>
      <c r="D7" s="17" t="str">
        <f>SUMIFS(SAC!$Q$3:$Q$400,SAC!$J$3:$J$400,$A7)</f>
        <v>R$ 0.00</v>
      </c>
    </row>
    <row r="8">
      <c r="A8" s="7" t="s">
        <v>43</v>
      </c>
      <c r="B8" s="16" t="str">
        <f>COUNTIFS(SAC!$J$3:$J$400,$A8,SAC!$B$3:$B$400,"&gt;="&amp;PAINEL!$B$3,SAC!$B$3:$B$400,"&lt;"&amp;EDATE(PAINEL!$B$3,1))</f>
        <v>0</v>
      </c>
      <c r="C8" s="16" t="str">
        <f>COUNTIFS(SAC!$J$3:$J$400,$A8)</f>
        <v>0</v>
      </c>
      <c r="D8" s="17" t="str">
        <f>SUMIFS(SAC!$Q$3:$Q$400,SAC!$J$3:$J$400,$A8)</f>
        <v>R$ 0.00</v>
      </c>
    </row>
    <row r="9">
      <c r="A9" s="7" t="s">
        <v>44</v>
      </c>
      <c r="B9" s="16" t="str">
        <f>COUNTIFS(SAC!$J$3:$J$400,$A9,SAC!$B$3:$B$400,"&gt;="&amp;PAINEL!$B$3,SAC!$B$3:$B$400,"&lt;"&amp;EDATE(PAINEL!$B$3,1))</f>
        <v>0</v>
      </c>
      <c r="C9" s="16" t="str">
        <f>COUNTIFS(SAC!$J$3:$J$400,$A9)</f>
        <v>0</v>
      </c>
      <c r="D9" s="17" t="str">
        <f>SUMIFS(SAC!$Q$3:$Q$400,SAC!$J$3:$J$400,$A9)</f>
        <v>R$ 0.00</v>
      </c>
    </row>
    <row r="10">
      <c r="A10" s="7" t="s">
        <v>45</v>
      </c>
      <c r="B10" s="16" t="str">
        <f>COUNTIFS(SAC!$J$3:$J$400,$A10,SAC!$B$3:$B$400,"&gt;="&amp;PAINEL!$B$3,SAC!$B$3:$B$400,"&lt;"&amp;EDATE(PAINEL!$B$3,1))</f>
        <v>0</v>
      </c>
      <c r="C10" s="16" t="str">
        <f>COUNTIFS(SAC!$J$3:$J$400,$A10)</f>
        <v>0</v>
      </c>
      <c r="D10" s="17" t="str">
        <f>SUMIFS(SAC!$Q$3:$Q$400,SAC!$J$3:$J$400,$A10)</f>
        <v>R$ 0.00</v>
      </c>
    </row>
    <row r="11">
      <c r="A11" s="7" t="s">
        <v>46</v>
      </c>
      <c r="B11" s="16" t="str">
        <f>COUNTIFS(SAC!$J$3:$J$400,$A11,SAC!$B$3:$B$400,"&gt;="&amp;PAINEL!$B$3,SAC!$B$3:$B$400,"&lt;"&amp;EDATE(PAINEL!$B$3,1))</f>
        <v>0</v>
      </c>
      <c r="C11" s="16" t="str">
        <f>COUNTIFS(SAC!$J$3:$J$400,$A11)</f>
        <v>0</v>
      </c>
      <c r="D11" s="17" t="str">
        <f>SUMIFS(SAC!$Q$3:$Q$400,SAC!$J$3:$J$400,$A11)</f>
        <v>R$ 0.00</v>
      </c>
    </row>
    <row r="12">
      <c r="A12" s="7" t="s">
        <v>47</v>
      </c>
      <c r="B12" s="16" t="str">
        <f>COUNTIFS(SAC!$J$3:$J$400,$A12,SAC!$B$3:$B$400,"&gt;="&amp;PAINEL!$B$3,SAC!$B$3:$B$400,"&lt;"&amp;EDATE(PAINEL!$B$3,1))</f>
        <v>0</v>
      </c>
      <c r="C12" s="16" t="str">
        <f>COUNTIFS(SAC!$J$3:$J$400,$A12)</f>
        <v>0</v>
      </c>
      <c r="D12" s="17" t="str">
        <f>SUMIFS(SAC!$Q$3:$Q$400,SAC!$J$3:$J$400,$A12)</f>
        <v>R$ 0.00</v>
      </c>
    </row>
    <row r="13">
      <c r="A13" s="7" t="s">
        <v>48</v>
      </c>
      <c r="B13" s="16" t="str">
        <f>COUNTIFS(SAC!$J$3:$J$400,$A13,SAC!$B$3:$B$400,"&gt;="&amp;PAINEL!$B$3,SAC!$B$3:$B$400,"&lt;"&amp;EDATE(PAINEL!$B$3,1))</f>
        <v>0</v>
      </c>
      <c r="C13" s="16" t="str">
        <f>COUNTIFS(SAC!$J$3:$J$400,$A13)</f>
        <v>0</v>
      </c>
      <c r="D13" s="17" t="str">
        <f>SUMIFS(SAC!$Q$3:$Q$400,SAC!$J$3:$J$400,$A13)</f>
        <v>R$ 0.00</v>
      </c>
    </row>
    <row r="14">
      <c r="A14" s="7" t="s">
        <v>49</v>
      </c>
      <c r="B14" s="16" t="str">
        <f>COUNTIFS(SAC!$J$3:$J$400,$A14,SAC!$B$3:$B$400,"&gt;="&amp;PAINEL!$B$3,SAC!$B$3:$B$400,"&lt;"&amp;EDATE(PAINEL!$B$3,1))</f>
        <v>0</v>
      </c>
      <c r="C14" s="16" t="str">
        <f>COUNTIFS(SAC!$J$3:$J$400,$A14)</f>
        <v>0</v>
      </c>
      <c r="D14" s="17" t="str">
        <f>SUMIFS(SAC!$Q$3:$Q$400,SAC!$J$3:$J$400,$A14)</f>
        <v>R$ 0.00</v>
      </c>
    </row>
    <row r="15">
      <c r="A15" s="7" t="s">
        <v>50</v>
      </c>
      <c r="B15" s="16" t="str">
        <f>COUNTIFS(SAC!$J$3:$J$400,$A15,SAC!$B$3:$B$400,"&gt;="&amp;PAINEL!$B$3,SAC!$B$3:$B$400,"&lt;"&amp;EDATE(PAINEL!$B$3,1))</f>
        <v>0</v>
      </c>
      <c r="C15" s="16" t="str">
        <f>COUNTIFS(SAC!$J$3:$J$400,$A15)</f>
        <v>0</v>
      </c>
      <c r="D15" s="17" t="str">
        <f>SUMIFS(SAC!$Q$3:$Q$400,SAC!$J$3:$J$400,$A15)</f>
        <v>R$ 0.00</v>
      </c>
    </row>
    <row r="16">
      <c r="A16" s="18" t="s">
        <v>51</v>
      </c>
      <c r="B16" s="19" t="str">
        <f t="shared" ref="B16:D16" si="1">SUM(B6:B15)</f>
        <v>0</v>
      </c>
      <c r="C16" s="19" t="str">
        <f t="shared" si="1"/>
        <v>0</v>
      </c>
      <c r="D16" s="20" t="str">
        <f t="shared" si="1"/>
        <v>R$ 0.00</v>
      </c>
    </row>
    <row r="18">
      <c r="A18" s="5" t="s">
        <v>52</v>
      </c>
    </row>
    <row r="19">
      <c r="A19" s="6" t="s">
        <v>53</v>
      </c>
      <c r="B19" s="6" t="s">
        <v>9</v>
      </c>
      <c r="C19" s="6" t="s">
        <v>10</v>
      </c>
      <c r="D19" s="6" t="s">
        <v>54</v>
      </c>
    </row>
    <row r="20">
      <c r="A20" s="21" t="str">
        <f>EDATE(PAINEL!$B$3,-5)</f>
        <v>Apr/26</v>
      </c>
      <c r="B20" s="16" t="str">
        <f>COUNTIFS(SAC!$B$3:$B$400,"&gt;="&amp;A20,SAC!$B$3:$B$400,"&lt;"&amp;EDATE(A20,1))</f>
        <v>0</v>
      </c>
      <c r="C20" s="16" t="str">
        <f>COUNTIFS(SAC!$N$3:$N$400,"&gt;="&amp;A20,SAC!$N$3:$N$400,"&lt;"&amp;EDATE(A20,1))</f>
        <v>0</v>
      </c>
      <c r="D20" s="17" t="str">
        <f>SUMIFS(SAC!$Q$3:$Q$400,SAC!$B$3:$B$400,"&gt;="&amp;A20,SAC!$B$3:$B$400,"&lt;"&amp;EDATE(A20,1))</f>
        <v>R$ 0.00</v>
      </c>
    </row>
    <row r="21" ht="15.75" customHeight="1">
      <c r="A21" s="21" t="str">
        <f>EDATE(PAINEL!$B$3,-4)</f>
        <v>May/26</v>
      </c>
      <c r="B21" s="16" t="str">
        <f>COUNTIFS(SAC!$B$3:$B$400,"&gt;="&amp;A21,SAC!$B$3:$B$400,"&lt;"&amp;EDATE(A21,1))</f>
        <v>0</v>
      </c>
      <c r="C21" s="16" t="str">
        <f>COUNTIFS(SAC!$N$3:$N$400,"&gt;="&amp;A21,SAC!$N$3:$N$400,"&lt;"&amp;EDATE(A21,1))</f>
        <v>0</v>
      </c>
      <c r="D21" s="17" t="str">
        <f>SUMIFS(SAC!$Q$3:$Q$400,SAC!$B$3:$B$400,"&gt;="&amp;A21,SAC!$B$3:$B$400,"&lt;"&amp;EDATE(A21,1))</f>
        <v>R$ 0.00</v>
      </c>
    </row>
    <row r="22" ht="15.75" customHeight="1">
      <c r="A22" s="21" t="str">
        <f>EDATE(PAINEL!$B$3,-3)</f>
        <v>Jun/26</v>
      </c>
      <c r="B22" s="16" t="str">
        <f>COUNTIFS(SAC!$B$3:$B$400,"&gt;="&amp;A22,SAC!$B$3:$B$400,"&lt;"&amp;EDATE(A22,1))</f>
        <v>0</v>
      </c>
      <c r="C22" s="16" t="str">
        <f>COUNTIFS(SAC!$N$3:$N$400,"&gt;="&amp;A22,SAC!$N$3:$N$400,"&lt;"&amp;EDATE(A22,1))</f>
        <v>0</v>
      </c>
      <c r="D22" s="17" t="str">
        <f>SUMIFS(SAC!$Q$3:$Q$400,SAC!$B$3:$B$400,"&gt;="&amp;A22,SAC!$B$3:$B$400,"&lt;"&amp;EDATE(A22,1))</f>
        <v>R$ 0.00</v>
      </c>
    </row>
    <row r="23" ht="15.75" customHeight="1">
      <c r="A23" s="21" t="str">
        <f>EDATE(PAINEL!$B$3,-2)</f>
        <v>Jul/26</v>
      </c>
      <c r="B23" s="16" t="str">
        <f>COUNTIFS(SAC!$B$3:$B$400,"&gt;="&amp;A23,SAC!$B$3:$B$400,"&lt;"&amp;EDATE(A23,1))</f>
        <v>0</v>
      </c>
      <c r="C23" s="16" t="str">
        <f>COUNTIFS(SAC!$N$3:$N$400,"&gt;="&amp;A23,SAC!$N$3:$N$400,"&lt;"&amp;EDATE(A23,1))</f>
        <v>0</v>
      </c>
      <c r="D23" s="17" t="str">
        <f>SUMIFS(SAC!$Q$3:$Q$400,SAC!$B$3:$B$400,"&gt;="&amp;A23,SAC!$B$3:$B$400,"&lt;"&amp;EDATE(A23,1))</f>
        <v>R$ 0.00</v>
      </c>
    </row>
    <row r="24" ht="15.75" customHeight="1">
      <c r="A24" s="21" t="str">
        <f>EDATE(PAINEL!$B$3,-1)</f>
        <v>Aug/26</v>
      </c>
      <c r="B24" s="16" t="str">
        <f>COUNTIFS(SAC!$B$3:$B$400,"&gt;="&amp;A24,SAC!$B$3:$B$400,"&lt;"&amp;EDATE(A24,1))</f>
        <v>0</v>
      </c>
      <c r="C24" s="16" t="str">
        <f>COUNTIFS(SAC!$N$3:$N$400,"&gt;="&amp;A24,SAC!$N$3:$N$400,"&lt;"&amp;EDATE(A24,1))</f>
        <v>0</v>
      </c>
      <c r="D24" s="17" t="str">
        <f>SUMIFS(SAC!$Q$3:$Q$400,SAC!$B$3:$B$400,"&gt;="&amp;A24,SAC!$B$3:$B$400,"&lt;"&amp;EDATE(A24,1))</f>
        <v>R$ 0.00</v>
      </c>
    </row>
    <row r="25" ht="15.75" customHeight="1">
      <c r="A25" s="21" t="str">
        <f>EDATE(PAINEL!$B$3,-0)</f>
        <v>Sep/26</v>
      </c>
      <c r="B25" s="16" t="str">
        <f>COUNTIFS(SAC!$B$3:$B$400,"&gt;="&amp;A25,SAC!$B$3:$B$400,"&lt;"&amp;EDATE(A25,1))</f>
        <v>0</v>
      </c>
      <c r="C25" s="16" t="str">
        <f>COUNTIFS(SAC!$N$3:$N$400,"&gt;="&amp;A25,SAC!$N$3:$N$400,"&lt;"&amp;EDATE(A25,1))</f>
        <v>0</v>
      </c>
      <c r="D25" s="17" t="str">
        <f>SUMIFS(SAC!$Q$3:$Q$400,SAC!$B$3:$B$400,"&gt;="&amp;A25,SAC!$B$3:$B$400,"&lt;"&amp;EDATE(A25,1))</f>
        <v>R$ 0.00</v>
      </c>
    </row>
    <row r="26" ht="15.75" customHeight="1"/>
    <row r="27" ht="15.75" customHeight="1">
      <c r="A27" s="4" t="s">
        <v>55</v>
      </c>
    </row>
    <row r="28" ht="15.75" customHeight="1"/>
    <row r="29" ht="15.75" customHeight="1">
      <c r="A29" s="5" t="s">
        <v>56</v>
      </c>
    </row>
    <row r="30" ht="15.75" customHeight="1">
      <c r="A30" s="6" t="s">
        <v>57</v>
      </c>
      <c r="B30" s="6" t="s">
        <v>58</v>
      </c>
      <c r="C30" s="6" t="s">
        <v>10</v>
      </c>
      <c r="D30" s="6" t="s">
        <v>54</v>
      </c>
    </row>
    <row r="31" ht="15.75" customHeight="1">
      <c r="A31" s="22">
        <v>46235.0</v>
      </c>
      <c r="B31" s="16" t="str">
        <f>COUNTIFS(SAC!$B$3:$B$400,A31)</f>
        <v>0</v>
      </c>
      <c r="C31" s="16" t="str">
        <f>COUNTIFS(SAC!$N$3:$N$400,A31)</f>
        <v>0</v>
      </c>
      <c r="D31" s="17" t="str">
        <f>SUMIFS(SAC!$Q$3:$Q$400,SAC!$B$3:$B$400,A31)</f>
        <v>R$ 0.00</v>
      </c>
    </row>
    <row r="32" ht="15.75" customHeight="1">
      <c r="A32" s="22" t="str">
        <f t="shared" ref="A32:A214" si="2">A31+1</f>
        <v>02/08/2026</v>
      </c>
      <c r="B32" s="16" t="str">
        <f>COUNTIFS(SAC!$B$3:$B$400,A32)</f>
        <v>0</v>
      </c>
      <c r="C32" s="16" t="str">
        <f>COUNTIFS(SAC!$N$3:$N$400,A32)</f>
        <v>0</v>
      </c>
      <c r="D32" s="17" t="str">
        <f>SUMIFS(SAC!$Q$3:$Q$400,SAC!$B$3:$B$400,A32)</f>
        <v>R$ 0.00</v>
      </c>
    </row>
    <row r="33" ht="15.75" customHeight="1">
      <c r="A33" s="22" t="str">
        <f t="shared" si="2"/>
        <v>03/08/2026</v>
      </c>
      <c r="B33" s="16" t="str">
        <f>COUNTIFS(SAC!$B$3:$B$400,A33)</f>
        <v>0</v>
      </c>
      <c r="C33" s="16" t="str">
        <f>COUNTIFS(SAC!$N$3:$N$400,A33)</f>
        <v>0</v>
      </c>
      <c r="D33" s="17" t="str">
        <f>SUMIFS(SAC!$Q$3:$Q$400,SAC!$B$3:$B$400,A33)</f>
        <v>R$ 0.00</v>
      </c>
    </row>
    <row r="34" ht="15.75" customHeight="1">
      <c r="A34" s="22" t="str">
        <f t="shared" si="2"/>
        <v>04/08/2026</v>
      </c>
      <c r="B34" s="16" t="str">
        <f>COUNTIFS(SAC!$B$3:$B$400,A34)</f>
        <v>0</v>
      </c>
      <c r="C34" s="16" t="str">
        <f>COUNTIFS(SAC!$N$3:$N$400,A34)</f>
        <v>0</v>
      </c>
      <c r="D34" s="17" t="str">
        <f>SUMIFS(SAC!$Q$3:$Q$400,SAC!$B$3:$B$400,A34)</f>
        <v>R$ 0.00</v>
      </c>
    </row>
    <row r="35" ht="15.75" customHeight="1">
      <c r="A35" s="22" t="str">
        <f t="shared" si="2"/>
        <v>05/08/2026</v>
      </c>
      <c r="B35" s="16" t="str">
        <f>COUNTIFS(SAC!$B$3:$B$400,A35)</f>
        <v>0</v>
      </c>
      <c r="C35" s="16" t="str">
        <f>COUNTIFS(SAC!$N$3:$N$400,A35)</f>
        <v>0</v>
      </c>
      <c r="D35" s="17" t="str">
        <f>SUMIFS(SAC!$Q$3:$Q$400,SAC!$B$3:$B$400,A35)</f>
        <v>R$ 0.00</v>
      </c>
    </row>
    <row r="36" ht="15.75" customHeight="1">
      <c r="A36" s="22" t="str">
        <f t="shared" si="2"/>
        <v>06/08/2026</v>
      </c>
      <c r="B36" s="16" t="str">
        <f>COUNTIFS(SAC!$B$3:$B$400,A36)</f>
        <v>0</v>
      </c>
      <c r="C36" s="16" t="str">
        <f>COUNTIFS(SAC!$N$3:$N$400,A36)</f>
        <v>0</v>
      </c>
      <c r="D36" s="17" t="str">
        <f>SUMIFS(SAC!$Q$3:$Q$400,SAC!$B$3:$B$400,A36)</f>
        <v>R$ 0.00</v>
      </c>
    </row>
    <row r="37" ht="15.75" customHeight="1">
      <c r="A37" s="22" t="str">
        <f t="shared" si="2"/>
        <v>07/08/2026</v>
      </c>
      <c r="B37" s="16" t="str">
        <f>COUNTIFS(SAC!$B$3:$B$400,A37)</f>
        <v>0</v>
      </c>
      <c r="C37" s="16" t="str">
        <f>COUNTIFS(SAC!$N$3:$N$400,A37)</f>
        <v>0</v>
      </c>
      <c r="D37" s="17" t="str">
        <f>SUMIFS(SAC!$Q$3:$Q$400,SAC!$B$3:$B$400,A37)</f>
        <v>R$ 0.00</v>
      </c>
    </row>
    <row r="38" ht="15.75" customHeight="1">
      <c r="A38" s="22" t="str">
        <f t="shared" si="2"/>
        <v>08/08/2026</v>
      </c>
      <c r="B38" s="16" t="str">
        <f>COUNTIFS(SAC!$B$3:$B$400,A38)</f>
        <v>0</v>
      </c>
      <c r="C38" s="16" t="str">
        <f>COUNTIFS(SAC!$N$3:$N$400,A38)</f>
        <v>0</v>
      </c>
      <c r="D38" s="17" t="str">
        <f>SUMIFS(SAC!$Q$3:$Q$400,SAC!$B$3:$B$400,A38)</f>
        <v>R$ 0.00</v>
      </c>
    </row>
    <row r="39" ht="15.75" customHeight="1">
      <c r="A39" s="22" t="str">
        <f t="shared" si="2"/>
        <v>09/08/2026</v>
      </c>
      <c r="B39" s="16" t="str">
        <f>COUNTIFS(SAC!$B$3:$B$400,A39)</f>
        <v>0</v>
      </c>
      <c r="C39" s="16" t="str">
        <f>COUNTIFS(SAC!$N$3:$N$400,A39)</f>
        <v>0</v>
      </c>
      <c r="D39" s="17" t="str">
        <f>SUMIFS(SAC!$Q$3:$Q$400,SAC!$B$3:$B$400,A39)</f>
        <v>R$ 0.00</v>
      </c>
    </row>
    <row r="40" ht="15.75" customHeight="1">
      <c r="A40" s="22" t="str">
        <f t="shared" si="2"/>
        <v>10/08/2026</v>
      </c>
      <c r="B40" s="16" t="str">
        <f>COUNTIFS(SAC!$B$3:$B$400,A40)</f>
        <v>0</v>
      </c>
      <c r="C40" s="16" t="str">
        <f>COUNTIFS(SAC!$N$3:$N$400,A40)</f>
        <v>0</v>
      </c>
      <c r="D40" s="17" t="str">
        <f>SUMIFS(SAC!$Q$3:$Q$400,SAC!$B$3:$B$400,A40)</f>
        <v>R$ 0.00</v>
      </c>
    </row>
    <row r="41" ht="15.75" customHeight="1">
      <c r="A41" s="22" t="str">
        <f t="shared" si="2"/>
        <v>11/08/2026</v>
      </c>
      <c r="B41" s="16" t="str">
        <f>COUNTIFS(SAC!$B$3:$B$400,A41)</f>
        <v>0</v>
      </c>
      <c r="C41" s="16" t="str">
        <f>COUNTIFS(SAC!$N$3:$N$400,A41)</f>
        <v>0</v>
      </c>
      <c r="D41" s="17" t="str">
        <f>SUMIFS(SAC!$Q$3:$Q$400,SAC!$B$3:$B$400,A41)</f>
        <v>R$ 0.00</v>
      </c>
    </row>
    <row r="42" ht="15.75" customHeight="1">
      <c r="A42" s="22" t="str">
        <f t="shared" si="2"/>
        <v>12/08/2026</v>
      </c>
      <c r="B42" s="16" t="str">
        <f>COUNTIFS(SAC!$B$3:$B$400,A42)</f>
        <v>0</v>
      </c>
      <c r="C42" s="16" t="str">
        <f>COUNTIFS(SAC!$N$3:$N$400,A42)</f>
        <v>0</v>
      </c>
      <c r="D42" s="17" t="str">
        <f>SUMIFS(SAC!$Q$3:$Q$400,SAC!$B$3:$B$400,A42)</f>
        <v>R$ 0.00</v>
      </c>
    </row>
    <row r="43" ht="15.75" customHeight="1">
      <c r="A43" s="22" t="str">
        <f t="shared" si="2"/>
        <v>13/08/2026</v>
      </c>
      <c r="B43" s="16" t="str">
        <f>COUNTIFS(SAC!$B$3:$B$400,A43)</f>
        <v>0</v>
      </c>
      <c r="C43" s="16" t="str">
        <f>COUNTIFS(SAC!$N$3:$N$400,A43)</f>
        <v>0</v>
      </c>
      <c r="D43" s="17" t="str">
        <f>SUMIFS(SAC!$Q$3:$Q$400,SAC!$B$3:$B$400,A43)</f>
        <v>R$ 0.00</v>
      </c>
    </row>
    <row r="44" ht="15.75" customHeight="1">
      <c r="A44" s="22" t="str">
        <f t="shared" si="2"/>
        <v>14/08/2026</v>
      </c>
      <c r="B44" s="16" t="str">
        <f>COUNTIFS(SAC!$B$3:$B$400,A44)</f>
        <v>0</v>
      </c>
      <c r="C44" s="16" t="str">
        <f>COUNTIFS(SAC!$N$3:$N$400,A44)</f>
        <v>0</v>
      </c>
      <c r="D44" s="17" t="str">
        <f>SUMIFS(SAC!$Q$3:$Q$400,SAC!$B$3:$B$400,A44)</f>
        <v>R$ 0.00</v>
      </c>
    </row>
    <row r="45" ht="15.75" customHeight="1">
      <c r="A45" s="22" t="str">
        <f t="shared" si="2"/>
        <v>15/08/2026</v>
      </c>
      <c r="B45" s="16" t="str">
        <f>COUNTIFS(SAC!$B$3:$B$400,A45)</f>
        <v>0</v>
      </c>
      <c r="C45" s="16" t="str">
        <f>COUNTIFS(SAC!$N$3:$N$400,A45)</f>
        <v>0</v>
      </c>
      <c r="D45" s="17" t="str">
        <f>SUMIFS(SAC!$Q$3:$Q$400,SAC!$B$3:$B$400,A45)</f>
        <v>R$ 0.00</v>
      </c>
    </row>
    <row r="46" ht="15.75" customHeight="1">
      <c r="A46" s="22" t="str">
        <f t="shared" si="2"/>
        <v>16/08/2026</v>
      </c>
      <c r="B46" s="16" t="str">
        <f>COUNTIFS(SAC!$B$3:$B$400,A46)</f>
        <v>0</v>
      </c>
      <c r="C46" s="16" t="str">
        <f>COUNTIFS(SAC!$N$3:$N$400,A46)</f>
        <v>0</v>
      </c>
      <c r="D46" s="17" t="str">
        <f>SUMIFS(SAC!$Q$3:$Q$400,SAC!$B$3:$B$400,A46)</f>
        <v>R$ 0.00</v>
      </c>
    </row>
    <row r="47" ht="15.75" customHeight="1">
      <c r="A47" s="22" t="str">
        <f t="shared" si="2"/>
        <v>17/08/2026</v>
      </c>
      <c r="B47" s="16" t="str">
        <f>COUNTIFS(SAC!$B$3:$B$400,A47)</f>
        <v>0</v>
      </c>
      <c r="C47" s="16" t="str">
        <f>COUNTIFS(SAC!$N$3:$N$400,A47)</f>
        <v>0</v>
      </c>
      <c r="D47" s="17" t="str">
        <f>SUMIFS(SAC!$Q$3:$Q$400,SAC!$B$3:$B$400,A47)</f>
        <v>R$ 0.00</v>
      </c>
    </row>
    <row r="48" ht="15.75" customHeight="1">
      <c r="A48" s="22" t="str">
        <f t="shared" si="2"/>
        <v>18/08/2026</v>
      </c>
      <c r="B48" s="16" t="str">
        <f>COUNTIFS(SAC!$B$3:$B$400,A48)</f>
        <v>0</v>
      </c>
      <c r="C48" s="16" t="str">
        <f>COUNTIFS(SAC!$N$3:$N$400,A48)</f>
        <v>0</v>
      </c>
      <c r="D48" s="17" t="str">
        <f>SUMIFS(SAC!$Q$3:$Q$400,SAC!$B$3:$B$400,A48)</f>
        <v>R$ 0.00</v>
      </c>
    </row>
    <row r="49" ht="15.75" customHeight="1">
      <c r="A49" s="22" t="str">
        <f t="shared" si="2"/>
        <v>19/08/2026</v>
      </c>
      <c r="B49" s="16" t="str">
        <f>COUNTIFS(SAC!$B$3:$B$400,A49)</f>
        <v>0</v>
      </c>
      <c r="C49" s="16" t="str">
        <f>COUNTIFS(SAC!$N$3:$N$400,A49)</f>
        <v>0</v>
      </c>
      <c r="D49" s="17" t="str">
        <f>SUMIFS(SAC!$Q$3:$Q$400,SAC!$B$3:$B$400,A49)</f>
        <v>R$ 0.00</v>
      </c>
    </row>
    <row r="50" ht="15.75" customHeight="1">
      <c r="A50" s="22" t="str">
        <f t="shared" si="2"/>
        <v>20/08/2026</v>
      </c>
      <c r="B50" s="16" t="str">
        <f>COUNTIFS(SAC!$B$3:$B$400,A50)</f>
        <v>0</v>
      </c>
      <c r="C50" s="16" t="str">
        <f>COUNTIFS(SAC!$N$3:$N$400,A50)</f>
        <v>0</v>
      </c>
      <c r="D50" s="17" t="str">
        <f>SUMIFS(SAC!$Q$3:$Q$400,SAC!$B$3:$B$400,A50)</f>
        <v>R$ 0.00</v>
      </c>
    </row>
    <row r="51" ht="15.75" customHeight="1">
      <c r="A51" s="22" t="str">
        <f t="shared" si="2"/>
        <v>21/08/2026</v>
      </c>
      <c r="B51" s="16" t="str">
        <f>COUNTIFS(SAC!$B$3:$B$400,A51)</f>
        <v>0</v>
      </c>
      <c r="C51" s="16" t="str">
        <f>COUNTIFS(SAC!$N$3:$N$400,A51)</f>
        <v>0</v>
      </c>
      <c r="D51" s="17" t="str">
        <f>SUMIFS(SAC!$Q$3:$Q$400,SAC!$B$3:$B$400,A51)</f>
        <v>R$ 0.00</v>
      </c>
    </row>
    <row r="52" ht="15.75" customHeight="1">
      <c r="A52" s="22" t="str">
        <f t="shared" si="2"/>
        <v>22/08/2026</v>
      </c>
      <c r="B52" s="16" t="str">
        <f>COUNTIFS(SAC!$B$3:$B$400,A52)</f>
        <v>0</v>
      </c>
      <c r="C52" s="16" t="str">
        <f>COUNTIFS(SAC!$N$3:$N$400,A52)</f>
        <v>0</v>
      </c>
      <c r="D52" s="17" t="str">
        <f>SUMIFS(SAC!$Q$3:$Q$400,SAC!$B$3:$B$400,A52)</f>
        <v>R$ 0.00</v>
      </c>
    </row>
    <row r="53" ht="15.75" customHeight="1">
      <c r="A53" s="22" t="str">
        <f t="shared" si="2"/>
        <v>23/08/2026</v>
      </c>
      <c r="B53" s="16" t="str">
        <f>COUNTIFS(SAC!$B$3:$B$400,A53)</f>
        <v>0</v>
      </c>
      <c r="C53" s="16" t="str">
        <f>COUNTIFS(SAC!$N$3:$N$400,A53)</f>
        <v>0</v>
      </c>
      <c r="D53" s="17" t="str">
        <f>SUMIFS(SAC!$Q$3:$Q$400,SAC!$B$3:$B$400,A53)</f>
        <v>R$ 0.00</v>
      </c>
    </row>
    <row r="54" ht="15.75" customHeight="1">
      <c r="A54" s="22" t="str">
        <f t="shared" si="2"/>
        <v>24/08/2026</v>
      </c>
      <c r="B54" s="16" t="str">
        <f>COUNTIFS(SAC!$B$3:$B$400,A54)</f>
        <v>0</v>
      </c>
      <c r="C54" s="16" t="str">
        <f>COUNTIFS(SAC!$N$3:$N$400,A54)</f>
        <v>0</v>
      </c>
      <c r="D54" s="17" t="str">
        <f>SUMIFS(SAC!$Q$3:$Q$400,SAC!$B$3:$B$400,A54)</f>
        <v>R$ 0.00</v>
      </c>
    </row>
    <row r="55" ht="15.75" customHeight="1">
      <c r="A55" s="22" t="str">
        <f t="shared" si="2"/>
        <v>25/08/2026</v>
      </c>
      <c r="B55" s="16" t="str">
        <f>COUNTIFS(SAC!$B$3:$B$400,A55)</f>
        <v>0</v>
      </c>
      <c r="C55" s="16" t="str">
        <f>COUNTIFS(SAC!$N$3:$N$400,A55)</f>
        <v>0</v>
      </c>
      <c r="D55" s="17" t="str">
        <f>SUMIFS(SAC!$Q$3:$Q$400,SAC!$B$3:$B$400,A55)</f>
        <v>R$ 0.00</v>
      </c>
    </row>
    <row r="56" ht="15.75" customHeight="1">
      <c r="A56" s="22" t="str">
        <f t="shared" si="2"/>
        <v>26/08/2026</v>
      </c>
      <c r="B56" s="16" t="str">
        <f>COUNTIFS(SAC!$B$3:$B$400,A56)</f>
        <v>0</v>
      </c>
      <c r="C56" s="16" t="str">
        <f>COUNTIFS(SAC!$N$3:$N$400,A56)</f>
        <v>0</v>
      </c>
      <c r="D56" s="17" t="str">
        <f>SUMIFS(SAC!$Q$3:$Q$400,SAC!$B$3:$B$400,A56)</f>
        <v>R$ 0.00</v>
      </c>
    </row>
    <row r="57" ht="15.75" customHeight="1">
      <c r="A57" s="22" t="str">
        <f t="shared" si="2"/>
        <v>27/08/2026</v>
      </c>
      <c r="B57" s="16" t="str">
        <f>COUNTIFS(SAC!$B$3:$B$400,A57)</f>
        <v>0</v>
      </c>
      <c r="C57" s="16" t="str">
        <f>COUNTIFS(SAC!$N$3:$N$400,A57)</f>
        <v>0</v>
      </c>
      <c r="D57" s="17" t="str">
        <f>SUMIFS(SAC!$Q$3:$Q$400,SAC!$B$3:$B$400,A57)</f>
        <v>R$ 0.00</v>
      </c>
    </row>
    <row r="58" ht="15.75" customHeight="1">
      <c r="A58" s="22" t="str">
        <f t="shared" si="2"/>
        <v>28/08/2026</v>
      </c>
      <c r="B58" s="16" t="str">
        <f>COUNTIFS(SAC!$B$3:$B$400,A58)</f>
        <v>0</v>
      </c>
      <c r="C58" s="16" t="str">
        <f>COUNTIFS(SAC!$N$3:$N$400,A58)</f>
        <v>0</v>
      </c>
      <c r="D58" s="17" t="str">
        <f>SUMIFS(SAC!$Q$3:$Q$400,SAC!$B$3:$B$400,A58)</f>
        <v>R$ 0.00</v>
      </c>
    </row>
    <row r="59" ht="15.75" customHeight="1">
      <c r="A59" s="22" t="str">
        <f t="shared" si="2"/>
        <v>29/08/2026</v>
      </c>
      <c r="B59" s="16" t="str">
        <f>COUNTIFS(SAC!$B$3:$B$400,A59)</f>
        <v>0</v>
      </c>
      <c r="C59" s="16" t="str">
        <f>COUNTIFS(SAC!$N$3:$N$400,A59)</f>
        <v>0</v>
      </c>
      <c r="D59" s="17" t="str">
        <f>SUMIFS(SAC!$Q$3:$Q$400,SAC!$B$3:$B$400,A59)</f>
        <v>R$ 0.00</v>
      </c>
    </row>
    <row r="60" ht="15.75" customHeight="1">
      <c r="A60" s="22" t="str">
        <f t="shared" si="2"/>
        <v>30/08/2026</v>
      </c>
      <c r="B60" s="16" t="str">
        <f>COUNTIFS(SAC!$B$3:$B$400,A60)</f>
        <v>0</v>
      </c>
      <c r="C60" s="16" t="str">
        <f>COUNTIFS(SAC!$N$3:$N$400,A60)</f>
        <v>0</v>
      </c>
      <c r="D60" s="17" t="str">
        <f>SUMIFS(SAC!$Q$3:$Q$400,SAC!$B$3:$B$400,A60)</f>
        <v>R$ 0.00</v>
      </c>
    </row>
    <row r="61" ht="15.75" customHeight="1">
      <c r="A61" s="22" t="str">
        <f t="shared" si="2"/>
        <v>31/08/2026</v>
      </c>
      <c r="B61" s="16" t="str">
        <f>COUNTIFS(SAC!$B$3:$B$400,A61)</f>
        <v>0</v>
      </c>
      <c r="C61" s="16" t="str">
        <f>COUNTIFS(SAC!$N$3:$N$400,A61)</f>
        <v>0</v>
      </c>
      <c r="D61" s="17" t="str">
        <f>SUMIFS(SAC!$Q$3:$Q$400,SAC!$B$3:$B$400,A61)</f>
        <v>R$ 0.00</v>
      </c>
    </row>
    <row r="62" ht="15.75" customHeight="1">
      <c r="A62" s="22" t="str">
        <f t="shared" si="2"/>
        <v>01/09/2026</v>
      </c>
      <c r="B62" s="16" t="str">
        <f>COUNTIFS(SAC!$B$3:$B$400,A62)</f>
        <v>0</v>
      </c>
      <c r="C62" s="16" t="str">
        <f>COUNTIFS(SAC!$N$3:$N$400,A62)</f>
        <v>0</v>
      </c>
      <c r="D62" s="17" t="str">
        <f>SUMIFS(SAC!$Q$3:$Q$400,SAC!$B$3:$B$400,A62)</f>
        <v>R$ 0.00</v>
      </c>
    </row>
    <row r="63" ht="15.75" customHeight="1">
      <c r="A63" s="22" t="str">
        <f t="shared" si="2"/>
        <v>02/09/2026</v>
      </c>
      <c r="B63" s="16" t="str">
        <f>COUNTIFS(SAC!$B$3:$B$400,A63)</f>
        <v>0</v>
      </c>
      <c r="C63" s="16" t="str">
        <f>COUNTIFS(SAC!$N$3:$N$400,A63)</f>
        <v>0</v>
      </c>
      <c r="D63" s="17" t="str">
        <f>SUMIFS(SAC!$Q$3:$Q$400,SAC!$B$3:$B$400,A63)</f>
        <v>R$ 0.00</v>
      </c>
    </row>
    <row r="64" ht="15.75" customHeight="1">
      <c r="A64" s="22" t="str">
        <f t="shared" si="2"/>
        <v>03/09/2026</v>
      </c>
      <c r="B64" s="16" t="str">
        <f>COUNTIFS(SAC!$B$3:$B$400,A64)</f>
        <v>0</v>
      </c>
      <c r="C64" s="16" t="str">
        <f>COUNTIFS(SAC!$N$3:$N$400,A64)</f>
        <v>0</v>
      </c>
      <c r="D64" s="17" t="str">
        <f>SUMIFS(SAC!$Q$3:$Q$400,SAC!$B$3:$B$400,A64)</f>
        <v>R$ 0.00</v>
      </c>
    </row>
    <row r="65" ht="15.75" customHeight="1">
      <c r="A65" s="22" t="str">
        <f t="shared" si="2"/>
        <v>04/09/2026</v>
      </c>
      <c r="B65" s="16" t="str">
        <f>COUNTIFS(SAC!$B$3:$B$400,A65)</f>
        <v>0</v>
      </c>
      <c r="C65" s="16" t="str">
        <f>COUNTIFS(SAC!$N$3:$N$400,A65)</f>
        <v>0</v>
      </c>
      <c r="D65" s="17" t="str">
        <f>SUMIFS(SAC!$Q$3:$Q$400,SAC!$B$3:$B$400,A65)</f>
        <v>R$ 0.00</v>
      </c>
    </row>
    <row r="66" ht="15.75" customHeight="1">
      <c r="A66" s="22" t="str">
        <f t="shared" si="2"/>
        <v>05/09/2026</v>
      </c>
      <c r="B66" s="16" t="str">
        <f>COUNTIFS(SAC!$B$3:$B$400,A66)</f>
        <v>0</v>
      </c>
      <c r="C66" s="16" t="str">
        <f>COUNTIFS(SAC!$N$3:$N$400,A66)</f>
        <v>0</v>
      </c>
      <c r="D66" s="17" t="str">
        <f>SUMIFS(SAC!$Q$3:$Q$400,SAC!$B$3:$B$400,A66)</f>
        <v>R$ 0.00</v>
      </c>
    </row>
    <row r="67" ht="15.75" customHeight="1">
      <c r="A67" s="22" t="str">
        <f t="shared" si="2"/>
        <v>06/09/2026</v>
      </c>
      <c r="B67" s="16" t="str">
        <f>COUNTIFS(SAC!$B$3:$B$400,A67)</f>
        <v>0</v>
      </c>
      <c r="C67" s="16" t="str">
        <f>COUNTIFS(SAC!$N$3:$N$400,A67)</f>
        <v>0</v>
      </c>
      <c r="D67" s="17" t="str">
        <f>SUMIFS(SAC!$Q$3:$Q$400,SAC!$B$3:$B$400,A67)</f>
        <v>R$ 0.00</v>
      </c>
    </row>
    <row r="68" ht="15.75" customHeight="1">
      <c r="A68" s="22" t="str">
        <f t="shared" si="2"/>
        <v>07/09/2026</v>
      </c>
      <c r="B68" s="16" t="str">
        <f>COUNTIFS(SAC!$B$3:$B$400,A68)</f>
        <v>0</v>
      </c>
      <c r="C68" s="16" t="str">
        <f>COUNTIFS(SAC!$N$3:$N$400,A68)</f>
        <v>0</v>
      </c>
      <c r="D68" s="17" t="str">
        <f>SUMIFS(SAC!$Q$3:$Q$400,SAC!$B$3:$B$400,A68)</f>
        <v>R$ 0.00</v>
      </c>
    </row>
    <row r="69" ht="15.75" customHeight="1">
      <c r="A69" s="22" t="str">
        <f t="shared" si="2"/>
        <v>08/09/2026</v>
      </c>
      <c r="B69" s="16" t="str">
        <f>COUNTIFS(SAC!$B$3:$B$400,A69)</f>
        <v>0</v>
      </c>
      <c r="C69" s="16" t="str">
        <f>COUNTIFS(SAC!$N$3:$N$400,A69)</f>
        <v>0</v>
      </c>
      <c r="D69" s="17" t="str">
        <f>SUMIFS(SAC!$Q$3:$Q$400,SAC!$B$3:$B$400,A69)</f>
        <v>R$ 0.00</v>
      </c>
    </row>
    <row r="70" ht="15.75" customHeight="1">
      <c r="A70" s="22" t="str">
        <f t="shared" si="2"/>
        <v>09/09/2026</v>
      </c>
      <c r="B70" s="16" t="str">
        <f>COUNTIFS(SAC!$B$3:$B$400,A70)</f>
        <v>0</v>
      </c>
      <c r="C70" s="16" t="str">
        <f>COUNTIFS(SAC!$N$3:$N$400,A70)</f>
        <v>0</v>
      </c>
      <c r="D70" s="17" t="str">
        <f>SUMIFS(SAC!$Q$3:$Q$400,SAC!$B$3:$B$400,A70)</f>
        <v>R$ 0.00</v>
      </c>
    </row>
    <row r="71" ht="15.75" customHeight="1">
      <c r="A71" s="22" t="str">
        <f t="shared" si="2"/>
        <v>10/09/2026</v>
      </c>
      <c r="B71" s="16" t="str">
        <f>COUNTIFS(SAC!$B$3:$B$400,A71)</f>
        <v>0</v>
      </c>
      <c r="C71" s="16" t="str">
        <f>COUNTIFS(SAC!$N$3:$N$400,A71)</f>
        <v>0</v>
      </c>
      <c r="D71" s="17" t="str">
        <f>SUMIFS(SAC!$Q$3:$Q$400,SAC!$B$3:$B$400,A71)</f>
        <v>R$ 0.00</v>
      </c>
    </row>
    <row r="72" ht="15.75" customHeight="1">
      <c r="A72" s="22" t="str">
        <f t="shared" si="2"/>
        <v>11/09/2026</v>
      </c>
      <c r="B72" s="16" t="str">
        <f>COUNTIFS(SAC!$B$3:$B$400,A72)</f>
        <v>0</v>
      </c>
      <c r="C72" s="16" t="str">
        <f>COUNTIFS(SAC!$N$3:$N$400,A72)</f>
        <v>0</v>
      </c>
      <c r="D72" s="17" t="str">
        <f>SUMIFS(SAC!$Q$3:$Q$400,SAC!$B$3:$B$400,A72)</f>
        <v>R$ 0.00</v>
      </c>
    </row>
    <row r="73" ht="15.75" customHeight="1">
      <c r="A73" s="22" t="str">
        <f t="shared" si="2"/>
        <v>12/09/2026</v>
      </c>
      <c r="B73" s="16" t="str">
        <f>COUNTIFS(SAC!$B$3:$B$400,A73)</f>
        <v>0</v>
      </c>
      <c r="C73" s="16" t="str">
        <f>COUNTIFS(SAC!$N$3:$N$400,A73)</f>
        <v>0</v>
      </c>
      <c r="D73" s="17" t="str">
        <f>SUMIFS(SAC!$Q$3:$Q$400,SAC!$B$3:$B$400,A73)</f>
        <v>R$ 0.00</v>
      </c>
    </row>
    <row r="74" ht="15.75" customHeight="1">
      <c r="A74" s="22" t="str">
        <f t="shared" si="2"/>
        <v>13/09/2026</v>
      </c>
      <c r="B74" s="16" t="str">
        <f>COUNTIFS(SAC!$B$3:$B$400,A74)</f>
        <v>0</v>
      </c>
      <c r="C74" s="16" t="str">
        <f>COUNTIFS(SAC!$N$3:$N$400,A74)</f>
        <v>0</v>
      </c>
      <c r="D74" s="17" t="str">
        <f>SUMIFS(SAC!$Q$3:$Q$400,SAC!$B$3:$B$400,A74)</f>
        <v>R$ 0.00</v>
      </c>
    </row>
    <row r="75" ht="15.75" customHeight="1">
      <c r="A75" s="22" t="str">
        <f t="shared" si="2"/>
        <v>14/09/2026</v>
      </c>
      <c r="B75" s="16" t="str">
        <f>COUNTIFS(SAC!$B$3:$B$400,A75)</f>
        <v>0</v>
      </c>
      <c r="C75" s="16" t="str">
        <f>COUNTIFS(SAC!$N$3:$N$400,A75)</f>
        <v>0</v>
      </c>
      <c r="D75" s="17" t="str">
        <f>SUMIFS(SAC!$Q$3:$Q$400,SAC!$B$3:$B$400,A75)</f>
        <v>R$ 0.00</v>
      </c>
    </row>
    <row r="76" ht="15.75" customHeight="1">
      <c r="A76" s="22" t="str">
        <f t="shared" si="2"/>
        <v>15/09/2026</v>
      </c>
      <c r="B76" s="16" t="str">
        <f>COUNTIFS(SAC!$B$3:$B$400,A76)</f>
        <v>0</v>
      </c>
      <c r="C76" s="16" t="str">
        <f>COUNTIFS(SAC!$N$3:$N$400,A76)</f>
        <v>0</v>
      </c>
      <c r="D76" s="17" t="str">
        <f>SUMIFS(SAC!$Q$3:$Q$400,SAC!$B$3:$B$400,A76)</f>
        <v>R$ 0.00</v>
      </c>
    </row>
    <row r="77" ht="15.75" customHeight="1">
      <c r="A77" s="22" t="str">
        <f t="shared" si="2"/>
        <v>16/09/2026</v>
      </c>
      <c r="B77" s="16" t="str">
        <f>COUNTIFS(SAC!$B$3:$B$400,A77)</f>
        <v>0</v>
      </c>
      <c r="C77" s="16" t="str">
        <f>COUNTIFS(SAC!$N$3:$N$400,A77)</f>
        <v>0</v>
      </c>
      <c r="D77" s="17" t="str">
        <f>SUMIFS(SAC!$Q$3:$Q$400,SAC!$B$3:$B$400,A77)</f>
        <v>R$ 0.00</v>
      </c>
    </row>
    <row r="78" ht="15.75" customHeight="1">
      <c r="A78" s="22" t="str">
        <f t="shared" si="2"/>
        <v>17/09/2026</v>
      </c>
      <c r="B78" s="16" t="str">
        <f>COUNTIFS(SAC!$B$3:$B$400,A78)</f>
        <v>0</v>
      </c>
      <c r="C78" s="16" t="str">
        <f>COUNTIFS(SAC!$N$3:$N$400,A78)</f>
        <v>0</v>
      </c>
      <c r="D78" s="17" t="str">
        <f>SUMIFS(SAC!$Q$3:$Q$400,SAC!$B$3:$B$400,A78)</f>
        <v>R$ 0.00</v>
      </c>
    </row>
    <row r="79" ht="15.75" customHeight="1">
      <c r="A79" s="22" t="str">
        <f t="shared" si="2"/>
        <v>18/09/2026</v>
      </c>
      <c r="B79" s="16" t="str">
        <f>COUNTIFS(SAC!$B$3:$B$400,A79)</f>
        <v>0</v>
      </c>
      <c r="C79" s="16" t="str">
        <f>COUNTIFS(SAC!$N$3:$N$400,A79)</f>
        <v>0</v>
      </c>
      <c r="D79" s="17" t="str">
        <f>SUMIFS(SAC!$Q$3:$Q$400,SAC!$B$3:$B$400,A79)</f>
        <v>R$ 0.00</v>
      </c>
    </row>
    <row r="80" ht="15.75" customHeight="1">
      <c r="A80" s="22" t="str">
        <f t="shared" si="2"/>
        <v>19/09/2026</v>
      </c>
      <c r="B80" s="16" t="str">
        <f>COUNTIFS(SAC!$B$3:$B$400,A80)</f>
        <v>0</v>
      </c>
      <c r="C80" s="16" t="str">
        <f>COUNTIFS(SAC!$N$3:$N$400,A80)</f>
        <v>0</v>
      </c>
      <c r="D80" s="17" t="str">
        <f>SUMIFS(SAC!$Q$3:$Q$400,SAC!$B$3:$B$400,A80)</f>
        <v>R$ 0.00</v>
      </c>
    </row>
    <row r="81" ht="15.75" customHeight="1">
      <c r="A81" s="22" t="str">
        <f t="shared" si="2"/>
        <v>20/09/2026</v>
      </c>
      <c r="B81" s="16" t="str">
        <f>COUNTIFS(SAC!$B$3:$B$400,A81)</f>
        <v>0</v>
      </c>
      <c r="C81" s="16" t="str">
        <f>COUNTIFS(SAC!$N$3:$N$400,A81)</f>
        <v>0</v>
      </c>
      <c r="D81" s="17" t="str">
        <f>SUMIFS(SAC!$Q$3:$Q$400,SAC!$B$3:$B$400,A81)</f>
        <v>R$ 0.00</v>
      </c>
    </row>
    <row r="82" ht="15.75" customHeight="1">
      <c r="A82" s="22" t="str">
        <f t="shared" si="2"/>
        <v>21/09/2026</v>
      </c>
      <c r="B82" s="16" t="str">
        <f>COUNTIFS(SAC!$B$3:$B$400,A82)</f>
        <v>0</v>
      </c>
      <c r="C82" s="16" t="str">
        <f>COUNTIFS(SAC!$N$3:$N$400,A82)</f>
        <v>0</v>
      </c>
      <c r="D82" s="17" t="str">
        <f>SUMIFS(SAC!$Q$3:$Q$400,SAC!$B$3:$B$400,A82)</f>
        <v>R$ 0.00</v>
      </c>
    </row>
    <row r="83" ht="15.75" customHeight="1">
      <c r="A83" s="22" t="str">
        <f t="shared" si="2"/>
        <v>22/09/2026</v>
      </c>
      <c r="B83" s="16" t="str">
        <f>COUNTIFS(SAC!$B$3:$B$400,A83)</f>
        <v>0</v>
      </c>
      <c r="C83" s="16" t="str">
        <f>COUNTIFS(SAC!$N$3:$N$400,A83)</f>
        <v>0</v>
      </c>
      <c r="D83" s="17" t="str">
        <f>SUMIFS(SAC!$Q$3:$Q$400,SAC!$B$3:$B$400,A83)</f>
        <v>R$ 0.00</v>
      </c>
    </row>
    <row r="84" ht="15.75" customHeight="1">
      <c r="A84" s="22" t="str">
        <f t="shared" si="2"/>
        <v>23/09/2026</v>
      </c>
      <c r="B84" s="16" t="str">
        <f>COUNTIFS(SAC!$B$3:$B$400,A84)</f>
        <v>0</v>
      </c>
      <c r="C84" s="16" t="str">
        <f>COUNTIFS(SAC!$N$3:$N$400,A84)</f>
        <v>0</v>
      </c>
      <c r="D84" s="17" t="str">
        <f>SUMIFS(SAC!$Q$3:$Q$400,SAC!$B$3:$B$400,A84)</f>
        <v>R$ 0.00</v>
      </c>
    </row>
    <row r="85" ht="15.75" customHeight="1">
      <c r="A85" s="22" t="str">
        <f t="shared" si="2"/>
        <v>24/09/2026</v>
      </c>
      <c r="B85" s="16" t="str">
        <f>COUNTIFS(SAC!$B$3:$B$400,A85)</f>
        <v>0</v>
      </c>
      <c r="C85" s="16" t="str">
        <f>COUNTIFS(SAC!$N$3:$N$400,A85)</f>
        <v>0</v>
      </c>
      <c r="D85" s="17" t="str">
        <f>SUMIFS(SAC!$Q$3:$Q$400,SAC!$B$3:$B$400,A85)</f>
        <v>R$ 0.00</v>
      </c>
    </row>
    <row r="86" ht="15.75" customHeight="1">
      <c r="A86" s="22" t="str">
        <f t="shared" si="2"/>
        <v>25/09/2026</v>
      </c>
      <c r="B86" s="16" t="str">
        <f>COUNTIFS(SAC!$B$3:$B$400,A86)</f>
        <v>0</v>
      </c>
      <c r="C86" s="16" t="str">
        <f>COUNTIFS(SAC!$N$3:$N$400,A86)</f>
        <v>0</v>
      </c>
      <c r="D86" s="17" t="str">
        <f>SUMIFS(SAC!$Q$3:$Q$400,SAC!$B$3:$B$400,A86)</f>
        <v>R$ 0.00</v>
      </c>
    </row>
    <row r="87" ht="15.75" customHeight="1">
      <c r="A87" s="22" t="str">
        <f t="shared" si="2"/>
        <v>26/09/2026</v>
      </c>
      <c r="B87" s="16" t="str">
        <f>COUNTIFS(SAC!$B$3:$B$400,A87)</f>
        <v>0</v>
      </c>
      <c r="C87" s="16" t="str">
        <f>COUNTIFS(SAC!$N$3:$N$400,A87)</f>
        <v>0</v>
      </c>
      <c r="D87" s="17" t="str">
        <f>SUMIFS(SAC!$Q$3:$Q$400,SAC!$B$3:$B$400,A87)</f>
        <v>R$ 0.00</v>
      </c>
    </row>
    <row r="88" ht="15.75" customHeight="1">
      <c r="A88" s="22" t="str">
        <f t="shared" si="2"/>
        <v>27/09/2026</v>
      </c>
      <c r="B88" s="16" t="str">
        <f>COUNTIFS(SAC!$B$3:$B$400,A88)</f>
        <v>0</v>
      </c>
      <c r="C88" s="16" t="str">
        <f>COUNTIFS(SAC!$N$3:$N$400,A88)</f>
        <v>0</v>
      </c>
      <c r="D88" s="17" t="str">
        <f>SUMIFS(SAC!$Q$3:$Q$400,SAC!$B$3:$B$400,A88)</f>
        <v>R$ 0.00</v>
      </c>
    </row>
    <row r="89" ht="15.75" customHeight="1">
      <c r="A89" s="22" t="str">
        <f t="shared" si="2"/>
        <v>28/09/2026</v>
      </c>
      <c r="B89" s="16" t="str">
        <f>COUNTIFS(SAC!$B$3:$B$400,A89)</f>
        <v>0</v>
      </c>
      <c r="C89" s="16" t="str">
        <f>COUNTIFS(SAC!$N$3:$N$400,A89)</f>
        <v>0</v>
      </c>
      <c r="D89" s="17" t="str">
        <f>SUMIFS(SAC!$Q$3:$Q$400,SAC!$B$3:$B$400,A89)</f>
        <v>R$ 0.00</v>
      </c>
    </row>
    <row r="90" ht="15.75" customHeight="1">
      <c r="A90" s="22" t="str">
        <f t="shared" si="2"/>
        <v>29/09/2026</v>
      </c>
      <c r="B90" s="16" t="str">
        <f>COUNTIFS(SAC!$B$3:$B$400,A90)</f>
        <v>0</v>
      </c>
      <c r="C90" s="16" t="str">
        <f>COUNTIFS(SAC!$N$3:$N$400,A90)</f>
        <v>0</v>
      </c>
      <c r="D90" s="17" t="str">
        <f>SUMIFS(SAC!$Q$3:$Q$400,SAC!$B$3:$B$400,A90)</f>
        <v>R$ 0.00</v>
      </c>
    </row>
    <row r="91" ht="15.75" customHeight="1">
      <c r="A91" s="22" t="str">
        <f t="shared" si="2"/>
        <v>30/09/2026</v>
      </c>
      <c r="B91" s="16" t="str">
        <f>COUNTIFS(SAC!$B$3:$B$400,A91)</f>
        <v>0</v>
      </c>
      <c r="C91" s="16" t="str">
        <f>COUNTIFS(SAC!$N$3:$N$400,A91)</f>
        <v>0</v>
      </c>
      <c r="D91" s="17" t="str">
        <f>SUMIFS(SAC!$Q$3:$Q$400,SAC!$B$3:$B$400,A91)</f>
        <v>R$ 0.00</v>
      </c>
    </row>
    <row r="92" ht="15.75" customHeight="1">
      <c r="A92" s="22" t="str">
        <f t="shared" si="2"/>
        <v>01/10/2026</v>
      </c>
      <c r="B92" s="16" t="str">
        <f>COUNTIFS(SAC!$B$3:$B$400,A92)</f>
        <v>0</v>
      </c>
      <c r="C92" s="16" t="str">
        <f>COUNTIFS(SAC!$N$3:$N$400,A92)</f>
        <v>0</v>
      </c>
      <c r="D92" s="17" t="str">
        <f>SUMIFS(SAC!$Q$3:$Q$400,SAC!$B$3:$B$400,A92)</f>
        <v>R$ 0.00</v>
      </c>
    </row>
    <row r="93" ht="15.75" customHeight="1">
      <c r="A93" s="22" t="str">
        <f t="shared" si="2"/>
        <v>02/10/2026</v>
      </c>
      <c r="B93" s="16" t="str">
        <f>COUNTIFS(SAC!$B$3:$B$400,A93)</f>
        <v>0</v>
      </c>
      <c r="C93" s="16" t="str">
        <f>COUNTIFS(SAC!$N$3:$N$400,A93)</f>
        <v>0</v>
      </c>
      <c r="D93" s="17" t="str">
        <f>SUMIFS(SAC!$Q$3:$Q$400,SAC!$B$3:$B$400,A93)</f>
        <v>R$ 0.00</v>
      </c>
    </row>
    <row r="94" ht="15.75" customHeight="1">
      <c r="A94" s="22" t="str">
        <f t="shared" si="2"/>
        <v>03/10/2026</v>
      </c>
      <c r="B94" s="16" t="str">
        <f>COUNTIFS(SAC!$B$3:$B$400,A94)</f>
        <v>0</v>
      </c>
      <c r="C94" s="16" t="str">
        <f>COUNTIFS(SAC!$N$3:$N$400,A94)</f>
        <v>0</v>
      </c>
      <c r="D94" s="17" t="str">
        <f>SUMIFS(SAC!$Q$3:$Q$400,SAC!$B$3:$B$400,A94)</f>
        <v>R$ 0.00</v>
      </c>
    </row>
    <row r="95" ht="15.75" customHeight="1">
      <c r="A95" s="22" t="str">
        <f t="shared" si="2"/>
        <v>04/10/2026</v>
      </c>
      <c r="B95" s="16" t="str">
        <f>COUNTIFS(SAC!$B$3:$B$400,A95)</f>
        <v>0</v>
      </c>
      <c r="C95" s="16" t="str">
        <f>COUNTIFS(SAC!$N$3:$N$400,A95)</f>
        <v>0</v>
      </c>
      <c r="D95" s="17" t="str">
        <f>SUMIFS(SAC!$Q$3:$Q$400,SAC!$B$3:$B$400,A95)</f>
        <v>R$ 0.00</v>
      </c>
    </row>
    <row r="96" ht="15.75" customHeight="1">
      <c r="A96" s="22" t="str">
        <f t="shared" si="2"/>
        <v>05/10/2026</v>
      </c>
      <c r="B96" s="16" t="str">
        <f>COUNTIFS(SAC!$B$3:$B$400,A96)</f>
        <v>0</v>
      </c>
      <c r="C96" s="16" t="str">
        <f>COUNTIFS(SAC!$N$3:$N$400,A96)</f>
        <v>0</v>
      </c>
      <c r="D96" s="17" t="str">
        <f>SUMIFS(SAC!$Q$3:$Q$400,SAC!$B$3:$B$400,A96)</f>
        <v>R$ 0.00</v>
      </c>
    </row>
    <row r="97" ht="15.75" customHeight="1">
      <c r="A97" s="22" t="str">
        <f t="shared" si="2"/>
        <v>06/10/2026</v>
      </c>
      <c r="B97" s="16" t="str">
        <f>COUNTIFS(SAC!$B$3:$B$400,A97)</f>
        <v>0</v>
      </c>
      <c r="C97" s="16" t="str">
        <f>COUNTIFS(SAC!$N$3:$N$400,A97)</f>
        <v>0</v>
      </c>
      <c r="D97" s="17" t="str">
        <f>SUMIFS(SAC!$Q$3:$Q$400,SAC!$B$3:$B$400,A97)</f>
        <v>R$ 0.00</v>
      </c>
    </row>
    <row r="98" ht="15.75" customHeight="1">
      <c r="A98" s="22" t="str">
        <f t="shared" si="2"/>
        <v>07/10/2026</v>
      </c>
      <c r="B98" s="16" t="str">
        <f>COUNTIFS(SAC!$B$3:$B$400,A98)</f>
        <v>0</v>
      </c>
      <c r="C98" s="16" t="str">
        <f>COUNTIFS(SAC!$N$3:$N$400,A98)</f>
        <v>0</v>
      </c>
      <c r="D98" s="17" t="str">
        <f>SUMIFS(SAC!$Q$3:$Q$400,SAC!$B$3:$B$400,A98)</f>
        <v>R$ 0.00</v>
      </c>
    </row>
    <row r="99" ht="15.75" customHeight="1">
      <c r="A99" s="22" t="str">
        <f t="shared" si="2"/>
        <v>08/10/2026</v>
      </c>
      <c r="B99" s="16" t="str">
        <f>COUNTIFS(SAC!$B$3:$B$400,A99)</f>
        <v>0</v>
      </c>
      <c r="C99" s="16" t="str">
        <f>COUNTIFS(SAC!$N$3:$N$400,A99)</f>
        <v>0</v>
      </c>
      <c r="D99" s="17" t="str">
        <f>SUMIFS(SAC!$Q$3:$Q$400,SAC!$B$3:$B$400,A99)</f>
        <v>R$ 0.00</v>
      </c>
    </row>
    <row r="100" ht="15.75" customHeight="1">
      <c r="A100" s="22" t="str">
        <f t="shared" si="2"/>
        <v>09/10/2026</v>
      </c>
      <c r="B100" s="16" t="str">
        <f>COUNTIFS(SAC!$B$3:$B$400,A100)</f>
        <v>0</v>
      </c>
      <c r="C100" s="16" t="str">
        <f>COUNTIFS(SAC!$N$3:$N$400,A100)</f>
        <v>0</v>
      </c>
      <c r="D100" s="17" t="str">
        <f>SUMIFS(SAC!$Q$3:$Q$400,SAC!$B$3:$B$400,A100)</f>
        <v>R$ 0.00</v>
      </c>
    </row>
    <row r="101" ht="15.75" customHeight="1">
      <c r="A101" s="22" t="str">
        <f t="shared" si="2"/>
        <v>10/10/2026</v>
      </c>
      <c r="B101" s="16" t="str">
        <f>COUNTIFS(SAC!$B$3:$B$400,A101)</f>
        <v>0</v>
      </c>
      <c r="C101" s="16" t="str">
        <f>COUNTIFS(SAC!$N$3:$N$400,A101)</f>
        <v>0</v>
      </c>
      <c r="D101" s="17" t="str">
        <f>SUMIFS(SAC!$Q$3:$Q$400,SAC!$B$3:$B$400,A101)</f>
        <v>R$ 0.00</v>
      </c>
    </row>
    <row r="102" ht="15.75" customHeight="1">
      <c r="A102" s="22" t="str">
        <f t="shared" si="2"/>
        <v>11/10/2026</v>
      </c>
      <c r="B102" s="16" t="str">
        <f>COUNTIFS(SAC!$B$3:$B$400,A102)</f>
        <v>0</v>
      </c>
      <c r="C102" s="16" t="str">
        <f>COUNTIFS(SAC!$N$3:$N$400,A102)</f>
        <v>0</v>
      </c>
      <c r="D102" s="17" t="str">
        <f>SUMIFS(SAC!$Q$3:$Q$400,SAC!$B$3:$B$400,A102)</f>
        <v>R$ 0.00</v>
      </c>
    </row>
    <row r="103" ht="15.75" customHeight="1">
      <c r="A103" s="22" t="str">
        <f t="shared" si="2"/>
        <v>12/10/2026</v>
      </c>
      <c r="B103" s="16" t="str">
        <f>COUNTIFS(SAC!$B$3:$B$400,A103)</f>
        <v>0</v>
      </c>
      <c r="C103" s="16" t="str">
        <f>COUNTIFS(SAC!$N$3:$N$400,A103)</f>
        <v>0</v>
      </c>
      <c r="D103" s="17" t="str">
        <f>SUMIFS(SAC!$Q$3:$Q$400,SAC!$B$3:$B$400,A103)</f>
        <v>R$ 0.00</v>
      </c>
    </row>
    <row r="104" ht="15.75" customHeight="1">
      <c r="A104" s="22" t="str">
        <f t="shared" si="2"/>
        <v>13/10/2026</v>
      </c>
      <c r="B104" s="16" t="str">
        <f>COUNTIFS(SAC!$B$3:$B$400,A104)</f>
        <v>0</v>
      </c>
      <c r="C104" s="16" t="str">
        <f>COUNTIFS(SAC!$N$3:$N$400,A104)</f>
        <v>0</v>
      </c>
      <c r="D104" s="17" t="str">
        <f>SUMIFS(SAC!$Q$3:$Q$400,SAC!$B$3:$B$400,A104)</f>
        <v>R$ 0.00</v>
      </c>
    </row>
    <row r="105" ht="15.75" customHeight="1">
      <c r="A105" s="22" t="str">
        <f t="shared" si="2"/>
        <v>14/10/2026</v>
      </c>
      <c r="B105" s="16" t="str">
        <f>COUNTIFS(SAC!$B$3:$B$400,A105)</f>
        <v>0</v>
      </c>
      <c r="C105" s="16" t="str">
        <f>COUNTIFS(SAC!$N$3:$N$400,A105)</f>
        <v>0</v>
      </c>
      <c r="D105" s="17" t="str">
        <f>SUMIFS(SAC!$Q$3:$Q$400,SAC!$B$3:$B$400,A105)</f>
        <v>R$ 0.00</v>
      </c>
    </row>
    <row r="106" ht="15.75" customHeight="1">
      <c r="A106" s="22" t="str">
        <f t="shared" si="2"/>
        <v>15/10/2026</v>
      </c>
      <c r="B106" s="16" t="str">
        <f>COUNTIFS(SAC!$B$3:$B$400,A106)</f>
        <v>0</v>
      </c>
      <c r="C106" s="16" t="str">
        <f>COUNTIFS(SAC!$N$3:$N$400,A106)</f>
        <v>0</v>
      </c>
      <c r="D106" s="17" t="str">
        <f>SUMIFS(SAC!$Q$3:$Q$400,SAC!$B$3:$B$400,A106)</f>
        <v>R$ 0.00</v>
      </c>
    </row>
    <row r="107" ht="15.75" customHeight="1">
      <c r="A107" s="22" t="str">
        <f t="shared" si="2"/>
        <v>16/10/2026</v>
      </c>
      <c r="B107" s="16" t="str">
        <f>COUNTIFS(SAC!$B$3:$B$400,A107)</f>
        <v>0</v>
      </c>
      <c r="C107" s="16" t="str">
        <f>COUNTIFS(SAC!$N$3:$N$400,A107)</f>
        <v>0</v>
      </c>
      <c r="D107" s="17" t="str">
        <f>SUMIFS(SAC!$Q$3:$Q$400,SAC!$B$3:$B$400,A107)</f>
        <v>R$ 0.00</v>
      </c>
    </row>
    <row r="108" ht="15.75" customHeight="1">
      <c r="A108" s="22" t="str">
        <f t="shared" si="2"/>
        <v>17/10/2026</v>
      </c>
      <c r="B108" s="16" t="str">
        <f>COUNTIFS(SAC!$B$3:$B$400,A108)</f>
        <v>0</v>
      </c>
      <c r="C108" s="16" t="str">
        <f>COUNTIFS(SAC!$N$3:$N$400,A108)</f>
        <v>0</v>
      </c>
      <c r="D108" s="17" t="str">
        <f>SUMIFS(SAC!$Q$3:$Q$400,SAC!$B$3:$B$400,A108)</f>
        <v>R$ 0.00</v>
      </c>
    </row>
    <row r="109" ht="15.75" customHeight="1">
      <c r="A109" s="22" t="str">
        <f t="shared" si="2"/>
        <v>18/10/2026</v>
      </c>
      <c r="B109" s="16" t="str">
        <f>COUNTIFS(SAC!$B$3:$B$400,A109)</f>
        <v>0</v>
      </c>
      <c r="C109" s="16" t="str">
        <f>COUNTIFS(SAC!$N$3:$N$400,A109)</f>
        <v>0</v>
      </c>
      <c r="D109" s="17" t="str">
        <f>SUMIFS(SAC!$Q$3:$Q$400,SAC!$B$3:$B$400,A109)</f>
        <v>R$ 0.00</v>
      </c>
    </row>
    <row r="110" ht="15.75" customHeight="1">
      <c r="A110" s="22" t="str">
        <f t="shared" si="2"/>
        <v>19/10/2026</v>
      </c>
      <c r="B110" s="16" t="str">
        <f>COUNTIFS(SAC!$B$3:$B$400,A110)</f>
        <v>0</v>
      </c>
      <c r="C110" s="16" t="str">
        <f>COUNTIFS(SAC!$N$3:$N$400,A110)</f>
        <v>0</v>
      </c>
      <c r="D110" s="17" t="str">
        <f>SUMIFS(SAC!$Q$3:$Q$400,SAC!$B$3:$B$400,A110)</f>
        <v>R$ 0.00</v>
      </c>
    </row>
    <row r="111" ht="15.75" customHeight="1">
      <c r="A111" s="22" t="str">
        <f t="shared" si="2"/>
        <v>20/10/2026</v>
      </c>
      <c r="B111" s="16" t="str">
        <f>COUNTIFS(SAC!$B$3:$B$400,A111)</f>
        <v>0</v>
      </c>
      <c r="C111" s="16" t="str">
        <f>COUNTIFS(SAC!$N$3:$N$400,A111)</f>
        <v>0</v>
      </c>
      <c r="D111" s="17" t="str">
        <f>SUMIFS(SAC!$Q$3:$Q$400,SAC!$B$3:$B$400,A111)</f>
        <v>R$ 0.00</v>
      </c>
    </row>
    <row r="112" ht="15.75" customHeight="1">
      <c r="A112" s="22" t="str">
        <f t="shared" si="2"/>
        <v>21/10/2026</v>
      </c>
      <c r="B112" s="16" t="str">
        <f>COUNTIFS(SAC!$B$3:$B$400,A112)</f>
        <v>0</v>
      </c>
      <c r="C112" s="16" t="str">
        <f>COUNTIFS(SAC!$N$3:$N$400,A112)</f>
        <v>0</v>
      </c>
      <c r="D112" s="17" t="str">
        <f>SUMIFS(SAC!$Q$3:$Q$400,SAC!$B$3:$B$400,A112)</f>
        <v>R$ 0.00</v>
      </c>
    </row>
    <row r="113" ht="15.75" customHeight="1">
      <c r="A113" s="22" t="str">
        <f t="shared" si="2"/>
        <v>22/10/2026</v>
      </c>
      <c r="B113" s="16" t="str">
        <f>COUNTIFS(SAC!$B$3:$B$400,A113)</f>
        <v>0</v>
      </c>
      <c r="C113" s="16" t="str">
        <f>COUNTIFS(SAC!$N$3:$N$400,A113)</f>
        <v>0</v>
      </c>
      <c r="D113" s="17" t="str">
        <f>SUMIFS(SAC!$Q$3:$Q$400,SAC!$B$3:$B$400,A113)</f>
        <v>R$ 0.00</v>
      </c>
    </row>
    <row r="114" ht="15.75" customHeight="1">
      <c r="A114" s="22" t="str">
        <f t="shared" si="2"/>
        <v>23/10/2026</v>
      </c>
      <c r="B114" s="16" t="str">
        <f>COUNTIFS(SAC!$B$3:$B$400,A114)</f>
        <v>0</v>
      </c>
      <c r="C114" s="16" t="str">
        <f>COUNTIFS(SAC!$N$3:$N$400,A114)</f>
        <v>0</v>
      </c>
      <c r="D114" s="17" t="str">
        <f>SUMIFS(SAC!$Q$3:$Q$400,SAC!$B$3:$B$400,A114)</f>
        <v>R$ 0.00</v>
      </c>
    </row>
    <row r="115" ht="15.75" customHeight="1">
      <c r="A115" s="22" t="str">
        <f t="shared" si="2"/>
        <v>24/10/2026</v>
      </c>
      <c r="B115" s="16" t="str">
        <f>COUNTIFS(SAC!$B$3:$B$400,A115)</f>
        <v>0</v>
      </c>
      <c r="C115" s="16" t="str">
        <f>COUNTIFS(SAC!$N$3:$N$400,A115)</f>
        <v>0</v>
      </c>
      <c r="D115" s="17" t="str">
        <f>SUMIFS(SAC!$Q$3:$Q$400,SAC!$B$3:$B$400,A115)</f>
        <v>R$ 0.00</v>
      </c>
    </row>
    <row r="116" ht="15.75" customHeight="1">
      <c r="A116" s="22" t="str">
        <f t="shared" si="2"/>
        <v>25/10/2026</v>
      </c>
      <c r="B116" s="16" t="str">
        <f>COUNTIFS(SAC!$B$3:$B$400,A116)</f>
        <v>0</v>
      </c>
      <c r="C116" s="16" t="str">
        <f>COUNTIFS(SAC!$N$3:$N$400,A116)</f>
        <v>0</v>
      </c>
      <c r="D116" s="17" t="str">
        <f>SUMIFS(SAC!$Q$3:$Q$400,SAC!$B$3:$B$400,A116)</f>
        <v>R$ 0.00</v>
      </c>
    </row>
    <row r="117" ht="15.75" customHeight="1">
      <c r="A117" s="22" t="str">
        <f t="shared" si="2"/>
        <v>26/10/2026</v>
      </c>
      <c r="B117" s="16" t="str">
        <f>COUNTIFS(SAC!$B$3:$B$400,A117)</f>
        <v>0</v>
      </c>
      <c r="C117" s="16" t="str">
        <f>COUNTIFS(SAC!$N$3:$N$400,A117)</f>
        <v>0</v>
      </c>
      <c r="D117" s="17" t="str">
        <f>SUMIFS(SAC!$Q$3:$Q$400,SAC!$B$3:$B$400,A117)</f>
        <v>R$ 0.00</v>
      </c>
    </row>
    <row r="118" ht="15.75" customHeight="1">
      <c r="A118" s="22" t="str">
        <f t="shared" si="2"/>
        <v>27/10/2026</v>
      </c>
      <c r="B118" s="16" t="str">
        <f>COUNTIFS(SAC!$B$3:$B$400,A118)</f>
        <v>0</v>
      </c>
      <c r="C118" s="16" t="str">
        <f>COUNTIFS(SAC!$N$3:$N$400,A118)</f>
        <v>0</v>
      </c>
      <c r="D118" s="17" t="str">
        <f>SUMIFS(SAC!$Q$3:$Q$400,SAC!$B$3:$B$400,A118)</f>
        <v>R$ 0.00</v>
      </c>
    </row>
    <row r="119" ht="15.75" customHeight="1">
      <c r="A119" s="22" t="str">
        <f t="shared" si="2"/>
        <v>28/10/2026</v>
      </c>
      <c r="B119" s="16" t="str">
        <f>COUNTIFS(SAC!$B$3:$B$400,A119)</f>
        <v>0</v>
      </c>
      <c r="C119" s="16" t="str">
        <f>COUNTIFS(SAC!$N$3:$N$400,A119)</f>
        <v>0</v>
      </c>
      <c r="D119" s="17" t="str">
        <f>SUMIFS(SAC!$Q$3:$Q$400,SAC!$B$3:$B$400,A119)</f>
        <v>R$ 0.00</v>
      </c>
    </row>
    <row r="120" ht="15.75" customHeight="1">
      <c r="A120" s="22" t="str">
        <f t="shared" si="2"/>
        <v>29/10/2026</v>
      </c>
      <c r="B120" s="16" t="str">
        <f>COUNTIFS(SAC!$B$3:$B$400,A120)</f>
        <v>0</v>
      </c>
      <c r="C120" s="16" t="str">
        <f>COUNTIFS(SAC!$N$3:$N$400,A120)</f>
        <v>0</v>
      </c>
      <c r="D120" s="17" t="str">
        <f>SUMIFS(SAC!$Q$3:$Q$400,SAC!$B$3:$B$400,A120)</f>
        <v>R$ 0.00</v>
      </c>
    </row>
    <row r="121" ht="15.75" customHeight="1">
      <c r="A121" s="22" t="str">
        <f t="shared" si="2"/>
        <v>30/10/2026</v>
      </c>
      <c r="B121" s="16" t="str">
        <f>COUNTIFS(SAC!$B$3:$B$400,A121)</f>
        <v>0</v>
      </c>
      <c r="C121" s="16" t="str">
        <f>COUNTIFS(SAC!$N$3:$N$400,A121)</f>
        <v>0</v>
      </c>
      <c r="D121" s="17" t="str">
        <f>SUMIFS(SAC!$Q$3:$Q$400,SAC!$B$3:$B$400,A121)</f>
        <v>R$ 0.00</v>
      </c>
    </row>
    <row r="122" ht="15.75" customHeight="1">
      <c r="A122" s="22" t="str">
        <f t="shared" si="2"/>
        <v>31/10/2026</v>
      </c>
      <c r="B122" s="16" t="str">
        <f>COUNTIFS(SAC!$B$3:$B$400,A122)</f>
        <v>0</v>
      </c>
      <c r="C122" s="16" t="str">
        <f>COUNTIFS(SAC!$N$3:$N$400,A122)</f>
        <v>0</v>
      </c>
      <c r="D122" s="17" t="str">
        <f>SUMIFS(SAC!$Q$3:$Q$400,SAC!$B$3:$B$400,A122)</f>
        <v>R$ 0.00</v>
      </c>
    </row>
    <row r="123" ht="15.75" customHeight="1">
      <c r="A123" s="22" t="str">
        <f t="shared" si="2"/>
        <v>01/11/2026</v>
      </c>
      <c r="B123" s="16" t="str">
        <f>COUNTIFS(SAC!$B$3:$B$400,A123)</f>
        <v>0</v>
      </c>
      <c r="C123" s="16" t="str">
        <f>COUNTIFS(SAC!$N$3:$N$400,A123)</f>
        <v>0</v>
      </c>
      <c r="D123" s="17" t="str">
        <f>SUMIFS(SAC!$Q$3:$Q$400,SAC!$B$3:$B$400,A123)</f>
        <v>R$ 0.00</v>
      </c>
    </row>
    <row r="124" ht="15.75" customHeight="1">
      <c r="A124" s="22" t="str">
        <f t="shared" si="2"/>
        <v>02/11/2026</v>
      </c>
      <c r="B124" s="16" t="str">
        <f>COUNTIFS(SAC!$B$3:$B$400,A124)</f>
        <v>0</v>
      </c>
      <c r="C124" s="16" t="str">
        <f>COUNTIFS(SAC!$N$3:$N$400,A124)</f>
        <v>0</v>
      </c>
      <c r="D124" s="17" t="str">
        <f>SUMIFS(SAC!$Q$3:$Q$400,SAC!$B$3:$B$400,A124)</f>
        <v>R$ 0.00</v>
      </c>
    </row>
    <row r="125" ht="15.75" customHeight="1">
      <c r="A125" s="22" t="str">
        <f t="shared" si="2"/>
        <v>03/11/2026</v>
      </c>
      <c r="B125" s="16" t="str">
        <f>COUNTIFS(SAC!$B$3:$B$400,A125)</f>
        <v>0</v>
      </c>
      <c r="C125" s="16" t="str">
        <f>COUNTIFS(SAC!$N$3:$N$400,A125)</f>
        <v>0</v>
      </c>
      <c r="D125" s="17" t="str">
        <f>SUMIFS(SAC!$Q$3:$Q$400,SAC!$B$3:$B$400,A125)</f>
        <v>R$ 0.00</v>
      </c>
    </row>
    <row r="126" ht="15.75" customHeight="1">
      <c r="A126" s="22" t="str">
        <f t="shared" si="2"/>
        <v>04/11/2026</v>
      </c>
      <c r="B126" s="16" t="str">
        <f>COUNTIFS(SAC!$B$3:$B$400,A126)</f>
        <v>0</v>
      </c>
      <c r="C126" s="16" t="str">
        <f>COUNTIFS(SAC!$N$3:$N$400,A126)</f>
        <v>0</v>
      </c>
      <c r="D126" s="17" t="str">
        <f>SUMIFS(SAC!$Q$3:$Q$400,SAC!$B$3:$B$400,A126)</f>
        <v>R$ 0.00</v>
      </c>
    </row>
    <row r="127" ht="15.75" customHeight="1">
      <c r="A127" s="22" t="str">
        <f t="shared" si="2"/>
        <v>05/11/2026</v>
      </c>
      <c r="B127" s="16" t="str">
        <f>COUNTIFS(SAC!$B$3:$B$400,A127)</f>
        <v>0</v>
      </c>
      <c r="C127" s="16" t="str">
        <f>COUNTIFS(SAC!$N$3:$N$400,A127)</f>
        <v>0</v>
      </c>
      <c r="D127" s="17" t="str">
        <f>SUMIFS(SAC!$Q$3:$Q$400,SAC!$B$3:$B$400,A127)</f>
        <v>R$ 0.00</v>
      </c>
    </row>
    <row r="128" ht="15.75" customHeight="1">
      <c r="A128" s="22" t="str">
        <f t="shared" si="2"/>
        <v>06/11/2026</v>
      </c>
      <c r="B128" s="16" t="str">
        <f>COUNTIFS(SAC!$B$3:$B$400,A128)</f>
        <v>0</v>
      </c>
      <c r="C128" s="16" t="str">
        <f>COUNTIFS(SAC!$N$3:$N$400,A128)</f>
        <v>0</v>
      </c>
      <c r="D128" s="17" t="str">
        <f>SUMIFS(SAC!$Q$3:$Q$400,SAC!$B$3:$B$400,A128)</f>
        <v>R$ 0.00</v>
      </c>
    </row>
    <row r="129" ht="15.75" customHeight="1">
      <c r="A129" s="22" t="str">
        <f t="shared" si="2"/>
        <v>07/11/2026</v>
      </c>
      <c r="B129" s="16" t="str">
        <f>COUNTIFS(SAC!$B$3:$B$400,A129)</f>
        <v>0</v>
      </c>
      <c r="C129" s="16" t="str">
        <f>COUNTIFS(SAC!$N$3:$N$400,A129)</f>
        <v>0</v>
      </c>
      <c r="D129" s="17" t="str">
        <f>SUMIFS(SAC!$Q$3:$Q$400,SAC!$B$3:$B$400,A129)</f>
        <v>R$ 0.00</v>
      </c>
    </row>
    <row r="130" ht="15.75" customHeight="1">
      <c r="A130" s="22" t="str">
        <f t="shared" si="2"/>
        <v>08/11/2026</v>
      </c>
      <c r="B130" s="16" t="str">
        <f>COUNTIFS(SAC!$B$3:$B$400,A130)</f>
        <v>0</v>
      </c>
      <c r="C130" s="16" t="str">
        <f>COUNTIFS(SAC!$N$3:$N$400,A130)</f>
        <v>0</v>
      </c>
      <c r="D130" s="17" t="str">
        <f>SUMIFS(SAC!$Q$3:$Q$400,SAC!$B$3:$B$400,A130)</f>
        <v>R$ 0.00</v>
      </c>
    </row>
    <row r="131" ht="15.75" customHeight="1">
      <c r="A131" s="22" t="str">
        <f t="shared" si="2"/>
        <v>09/11/2026</v>
      </c>
      <c r="B131" s="16" t="str">
        <f>COUNTIFS(SAC!$B$3:$B$400,A131)</f>
        <v>0</v>
      </c>
      <c r="C131" s="16" t="str">
        <f>COUNTIFS(SAC!$N$3:$N$400,A131)</f>
        <v>0</v>
      </c>
      <c r="D131" s="17" t="str">
        <f>SUMIFS(SAC!$Q$3:$Q$400,SAC!$B$3:$B$400,A131)</f>
        <v>R$ 0.00</v>
      </c>
    </row>
    <row r="132" ht="15.75" customHeight="1">
      <c r="A132" s="22" t="str">
        <f t="shared" si="2"/>
        <v>10/11/2026</v>
      </c>
      <c r="B132" s="16" t="str">
        <f>COUNTIFS(SAC!$B$3:$B$400,A132)</f>
        <v>0</v>
      </c>
      <c r="C132" s="16" t="str">
        <f>COUNTIFS(SAC!$N$3:$N$400,A132)</f>
        <v>0</v>
      </c>
      <c r="D132" s="17" t="str">
        <f>SUMIFS(SAC!$Q$3:$Q$400,SAC!$B$3:$B$400,A132)</f>
        <v>R$ 0.00</v>
      </c>
    </row>
    <row r="133" ht="15.75" customHeight="1">
      <c r="A133" s="22" t="str">
        <f t="shared" si="2"/>
        <v>11/11/2026</v>
      </c>
      <c r="B133" s="16" t="str">
        <f>COUNTIFS(SAC!$B$3:$B$400,A133)</f>
        <v>0</v>
      </c>
      <c r="C133" s="16" t="str">
        <f>COUNTIFS(SAC!$N$3:$N$400,A133)</f>
        <v>0</v>
      </c>
      <c r="D133" s="17" t="str">
        <f>SUMIFS(SAC!$Q$3:$Q$400,SAC!$B$3:$B$400,A133)</f>
        <v>R$ 0.00</v>
      </c>
    </row>
    <row r="134" ht="15.75" customHeight="1">
      <c r="A134" s="22" t="str">
        <f t="shared" si="2"/>
        <v>12/11/2026</v>
      </c>
      <c r="B134" s="16" t="str">
        <f>COUNTIFS(SAC!$B$3:$B$400,A134)</f>
        <v>0</v>
      </c>
      <c r="C134" s="16" t="str">
        <f>COUNTIFS(SAC!$N$3:$N$400,A134)</f>
        <v>0</v>
      </c>
      <c r="D134" s="17" t="str">
        <f>SUMIFS(SAC!$Q$3:$Q$400,SAC!$B$3:$B$400,A134)</f>
        <v>R$ 0.00</v>
      </c>
    </row>
    <row r="135" ht="15.75" customHeight="1">
      <c r="A135" s="22" t="str">
        <f t="shared" si="2"/>
        <v>13/11/2026</v>
      </c>
      <c r="B135" s="16" t="str">
        <f>COUNTIFS(SAC!$B$3:$B$400,A135)</f>
        <v>0</v>
      </c>
      <c r="C135" s="16" t="str">
        <f>COUNTIFS(SAC!$N$3:$N$400,A135)</f>
        <v>0</v>
      </c>
      <c r="D135" s="17" t="str">
        <f>SUMIFS(SAC!$Q$3:$Q$400,SAC!$B$3:$B$400,A135)</f>
        <v>R$ 0.00</v>
      </c>
    </row>
    <row r="136" ht="15.75" customHeight="1">
      <c r="A136" s="22" t="str">
        <f t="shared" si="2"/>
        <v>14/11/2026</v>
      </c>
      <c r="B136" s="16" t="str">
        <f>COUNTIFS(SAC!$B$3:$B$400,A136)</f>
        <v>0</v>
      </c>
      <c r="C136" s="16" t="str">
        <f>COUNTIFS(SAC!$N$3:$N$400,A136)</f>
        <v>0</v>
      </c>
      <c r="D136" s="17" t="str">
        <f>SUMIFS(SAC!$Q$3:$Q$400,SAC!$B$3:$B$400,A136)</f>
        <v>R$ 0.00</v>
      </c>
    </row>
    <row r="137" ht="15.75" customHeight="1">
      <c r="A137" s="22" t="str">
        <f t="shared" si="2"/>
        <v>15/11/2026</v>
      </c>
      <c r="B137" s="16" t="str">
        <f>COUNTIFS(SAC!$B$3:$B$400,A137)</f>
        <v>0</v>
      </c>
      <c r="C137" s="16" t="str">
        <f>COUNTIFS(SAC!$N$3:$N$400,A137)</f>
        <v>0</v>
      </c>
      <c r="D137" s="17" t="str">
        <f>SUMIFS(SAC!$Q$3:$Q$400,SAC!$B$3:$B$400,A137)</f>
        <v>R$ 0.00</v>
      </c>
    </row>
    <row r="138" ht="15.75" customHeight="1">
      <c r="A138" s="22" t="str">
        <f t="shared" si="2"/>
        <v>16/11/2026</v>
      </c>
      <c r="B138" s="16" t="str">
        <f>COUNTIFS(SAC!$B$3:$B$400,A138)</f>
        <v>0</v>
      </c>
      <c r="C138" s="16" t="str">
        <f>COUNTIFS(SAC!$N$3:$N$400,A138)</f>
        <v>0</v>
      </c>
      <c r="D138" s="17" t="str">
        <f>SUMIFS(SAC!$Q$3:$Q$400,SAC!$B$3:$B$400,A138)</f>
        <v>R$ 0.00</v>
      </c>
    </row>
    <row r="139" ht="15.75" customHeight="1">
      <c r="A139" s="22" t="str">
        <f t="shared" si="2"/>
        <v>17/11/2026</v>
      </c>
      <c r="B139" s="16" t="str">
        <f>COUNTIFS(SAC!$B$3:$B$400,A139)</f>
        <v>0</v>
      </c>
      <c r="C139" s="16" t="str">
        <f>COUNTIFS(SAC!$N$3:$N$400,A139)</f>
        <v>0</v>
      </c>
      <c r="D139" s="17" t="str">
        <f>SUMIFS(SAC!$Q$3:$Q$400,SAC!$B$3:$B$400,A139)</f>
        <v>R$ 0.00</v>
      </c>
    </row>
    <row r="140" ht="15.75" customHeight="1">
      <c r="A140" s="22" t="str">
        <f t="shared" si="2"/>
        <v>18/11/2026</v>
      </c>
      <c r="B140" s="16" t="str">
        <f>COUNTIFS(SAC!$B$3:$B$400,A140)</f>
        <v>0</v>
      </c>
      <c r="C140" s="16" t="str">
        <f>COUNTIFS(SAC!$N$3:$N$400,A140)</f>
        <v>0</v>
      </c>
      <c r="D140" s="17" t="str">
        <f>SUMIFS(SAC!$Q$3:$Q$400,SAC!$B$3:$B$400,A140)</f>
        <v>R$ 0.00</v>
      </c>
    </row>
    <row r="141" ht="15.75" customHeight="1">
      <c r="A141" s="22" t="str">
        <f t="shared" si="2"/>
        <v>19/11/2026</v>
      </c>
      <c r="B141" s="16" t="str">
        <f>COUNTIFS(SAC!$B$3:$B$400,A141)</f>
        <v>0</v>
      </c>
      <c r="C141" s="16" t="str">
        <f>COUNTIFS(SAC!$N$3:$N$400,A141)</f>
        <v>0</v>
      </c>
      <c r="D141" s="17" t="str">
        <f>SUMIFS(SAC!$Q$3:$Q$400,SAC!$B$3:$B$400,A141)</f>
        <v>R$ 0.00</v>
      </c>
    </row>
    <row r="142" ht="15.75" customHeight="1">
      <c r="A142" s="22" t="str">
        <f t="shared" si="2"/>
        <v>20/11/2026</v>
      </c>
      <c r="B142" s="16" t="str">
        <f>COUNTIFS(SAC!$B$3:$B$400,A142)</f>
        <v>0</v>
      </c>
      <c r="C142" s="16" t="str">
        <f>COUNTIFS(SAC!$N$3:$N$400,A142)</f>
        <v>0</v>
      </c>
      <c r="D142" s="17" t="str">
        <f>SUMIFS(SAC!$Q$3:$Q$400,SAC!$B$3:$B$400,A142)</f>
        <v>R$ 0.00</v>
      </c>
    </row>
    <row r="143" ht="15.75" customHeight="1">
      <c r="A143" s="22" t="str">
        <f t="shared" si="2"/>
        <v>21/11/2026</v>
      </c>
      <c r="B143" s="16" t="str">
        <f>COUNTIFS(SAC!$B$3:$B$400,A143)</f>
        <v>0</v>
      </c>
      <c r="C143" s="16" t="str">
        <f>COUNTIFS(SAC!$N$3:$N$400,A143)</f>
        <v>0</v>
      </c>
      <c r="D143" s="17" t="str">
        <f>SUMIFS(SAC!$Q$3:$Q$400,SAC!$B$3:$B$400,A143)</f>
        <v>R$ 0.00</v>
      </c>
    </row>
    <row r="144" ht="15.75" customHeight="1">
      <c r="A144" s="22" t="str">
        <f t="shared" si="2"/>
        <v>22/11/2026</v>
      </c>
      <c r="B144" s="16" t="str">
        <f>COUNTIFS(SAC!$B$3:$B$400,A144)</f>
        <v>0</v>
      </c>
      <c r="C144" s="16" t="str">
        <f>COUNTIFS(SAC!$N$3:$N$400,A144)</f>
        <v>0</v>
      </c>
      <c r="D144" s="17" t="str">
        <f>SUMIFS(SAC!$Q$3:$Q$400,SAC!$B$3:$B$400,A144)</f>
        <v>R$ 0.00</v>
      </c>
    </row>
    <row r="145" ht="15.75" customHeight="1">
      <c r="A145" s="22" t="str">
        <f t="shared" si="2"/>
        <v>23/11/2026</v>
      </c>
      <c r="B145" s="16" t="str">
        <f>COUNTIFS(SAC!$B$3:$B$400,A145)</f>
        <v>0</v>
      </c>
      <c r="C145" s="16" t="str">
        <f>COUNTIFS(SAC!$N$3:$N$400,A145)</f>
        <v>0</v>
      </c>
      <c r="D145" s="17" t="str">
        <f>SUMIFS(SAC!$Q$3:$Q$400,SAC!$B$3:$B$400,A145)</f>
        <v>R$ 0.00</v>
      </c>
    </row>
    <row r="146" ht="15.75" customHeight="1">
      <c r="A146" s="22" t="str">
        <f t="shared" si="2"/>
        <v>24/11/2026</v>
      </c>
      <c r="B146" s="16" t="str">
        <f>COUNTIFS(SAC!$B$3:$B$400,A146)</f>
        <v>0</v>
      </c>
      <c r="C146" s="16" t="str">
        <f>COUNTIFS(SAC!$N$3:$N$400,A146)</f>
        <v>0</v>
      </c>
      <c r="D146" s="17" t="str">
        <f>SUMIFS(SAC!$Q$3:$Q$400,SAC!$B$3:$B$400,A146)</f>
        <v>R$ 0.00</v>
      </c>
    </row>
    <row r="147" ht="15.75" customHeight="1">
      <c r="A147" s="22" t="str">
        <f t="shared" si="2"/>
        <v>25/11/2026</v>
      </c>
      <c r="B147" s="16" t="str">
        <f>COUNTIFS(SAC!$B$3:$B$400,A147)</f>
        <v>0</v>
      </c>
      <c r="C147" s="16" t="str">
        <f>COUNTIFS(SAC!$N$3:$N$400,A147)</f>
        <v>0</v>
      </c>
      <c r="D147" s="17" t="str">
        <f>SUMIFS(SAC!$Q$3:$Q$400,SAC!$B$3:$B$400,A147)</f>
        <v>R$ 0.00</v>
      </c>
    </row>
    <row r="148" ht="15.75" customHeight="1">
      <c r="A148" s="22" t="str">
        <f t="shared" si="2"/>
        <v>26/11/2026</v>
      </c>
      <c r="B148" s="16" t="str">
        <f>COUNTIFS(SAC!$B$3:$B$400,A148)</f>
        <v>0</v>
      </c>
      <c r="C148" s="16" t="str">
        <f>COUNTIFS(SAC!$N$3:$N$400,A148)</f>
        <v>0</v>
      </c>
      <c r="D148" s="17" t="str">
        <f>SUMIFS(SAC!$Q$3:$Q$400,SAC!$B$3:$B$400,A148)</f>
        <v>R$ 0.00</v>
      </c>
    </row>
    <row r="149" ht="15.75" customHeight="1">
      <c r="A149" s="22" t="str">
        <f t="shared" si="2"/>
        <v>27/11/2026</v>
      </c>
      <c r="B149" s="16" t="str">
        <f>COUNTIFS(SAC!$B$3:$B$400,A149)</f>
        <v>0</v>
      </c>
      <c r="C149" s="16" t="str">
        <f>COUNTIFS(SAC!$N$3:$N$400,A149)</f>
        <v>0</v>
      </c>
      <c r="D149" s="17" t="str">
        <f>SUMIFS(SAC!$Q$3:$Q$400,SAC!$B$3:$B$400,A149)</f>
        <v>R$ 0.00</v>
      </c>
    </row>
    <row r="150" ht="15.75" customHeight="1">
      <c r="A150" s="22" t="str">
        <f t="shared" si="2"/>
        <v>28/11/2026</v>
      </c>
      <c r="B150" s="16" t="str">
        <f>COUNTIFS(SAC!$B$3:$B$400,A150)</f>
        <v>0</v>
      </c>
      <c r="C150" s="16" t="str">
        <f>COUNTIFS(SAC!$N$3:$N$400,A150)</f>
        <v>0</v>
      </c>
      <c r="D150" s="17" t="str">
        <f>SUMIFS(SAC!$Q$3:$Q$400,SAC!$B$3:$B$400,A150)</f>
        <v>R$ 0.00</v>
      </c>
    </row>
    <row r="151" ht="15.75" customHeight="1">
      <c r="A151" s="22" t="str">
        <f t="shared" si="2"/>
        <v>29/11/2026</v>
      </c>
      <c r="B151" s="16" t="str">
        <f>COUNTIFS(SAC!$B$3:$B$400,A151)</f>
        <v>0</v>
      </c>
      <c r="C151" s="16" t="str">
        <f>COUNTIFS(SAC!$N$3:$N$400,A151)</f>
        <v>0</v>
      </c>
      <c r="D151" s="17" t="str">
        <f>SUMIFS(SAC!$Q$3:$Q$400,SAC!$B$3:$B$400,A151)</f>
        <v>R$ 0.00</v>
      </c>
    </row>
    <row r="152" ht="15.75" customHeight="1">
      <c r="A152" s="22" t="str">
        <f t="shared" si="2"/>
        <v>30/11/2026</v>
      </c>
      <c r="B152" s="16" t="str">
        <f>COUNTIFS(SAC!$B$3:$B$400,A152)</f>
        <v>0</v>
      </c>
      <c r="C152" s="16" t="str">
        <f>COUNTIFS(SAC!$N$3:$N$400,A152)</f>
        <v>0</v>
      </c>
      <c r="D152" s="17" t="str">
        <f>SUMIFS(SAC!$Q$3:$Q$400,SAC!$B$3:$B$400,A152)</f>
        <v>R$ 0.00</v>
      </c>
    </row>
    <row r="153" ht="15.75" customHeight="1">
      <c r="A153" s="22" t="str">
        <f t="shared" si="2"/>
        <v>01/12/2026</v>
      </c>
      <c r="B153" s="16" t="str">
        <f>COUNTIFS(SAC!$B$3:$B$400,A153)</f>
        <v>0</v>
      </c>
      <c r="C153" s="16" t="str">
        <f>COUNTIFS(SAC!$N$3:$N$400,A153)</f>
        <v>0</v>
      </c>
      <c r="D153" s="17" t="str">
        <f>SUMIFS(SAC!$Q$3:$Q$400,SAC!$B$3:$B$400,A153)</f>
        <v>R$ 0.00</v>
      </c>
    </row>
    <row r="154" ht="15.75" customHeight="1">
      <c r="A154" s="22" t="str">
        <f t="shared" si="2"/>
        <v>02/12/2026</v>
      </c>
      <c r="B154" s="16" t="str">
        <f>COUNTIFS(SAC!$B$3:$B$400,A154)</f>
        <v>0</v>
      </c>
      <c r="C154" s="16" t="str">
        <f>COUNTIFS(SAC!$N$3:$N$400,A154)</f>
        <v>0</v>
      </c>
      <c r="D154" s="17" t="str">
        <f>SUMIFS(SAC!$Q$3:$Q$400,SAC!$B$3:$B$400,A154)</f>
        <v>R$ 0.00</v>
      </c>
    </row>
    <row r="155" ht="15.75" customHeight="1">
      <c r="A155" s="22" t="str">
        <f t="shared" si="2"/>
        <v>03/12/2026</v>
      </c>
      <c r="B155" s="16" t="str">
        <f>COUNTIFS(SAC!$B$3:$B$400,A155)</f>
        <v>0</v>
      </c>
      <c r="C155" s="16" t="str">
        <f>COUNTIFS(SAC!$N$3:$N$400,A155)</f>
        <v>0</v>
      </c>
      <c r="D155" s="17" t="str">
        <f>SUMIFS(SAC!$Q$3:$Q$400,SAC!$B$3:$B$400,A155)</f>
        <v>R$ 0.00</v>
      </c>
    </row>
    <row r="156" ht="15.75" customHeight="1">
      <c r="A156" s="22" t="str">
        <f t="shared" si="2"/>
        <v>04/12/2026</v>
      </c>
      <c r="B156" s="16" t="str">
        <f>COUNTIFS(SAC!$B$3:$B$400,A156)</f>
        <v>0</v>
      </c>
      <c r="C156" s="16" t="str">
        <f>COUNTIFS(SAC!$N$3:$N$400,A156)</f>
        <v>0</v>
      </c>
      <c r="D156" s="17" t="str">
        <f>SUMIFS(SAC!$Q$3:$Q$400,SAC!$B$3:$B$400,A156)</f>
        <v>R$ 0.00</v>
      </c>
    </row>
    <row r="157" ht="15.75" customHeight="1">
      <c r="A157" s="22" t="str">
        <f t="shared" si="2"/>
        <v>05/12/2026</v>
      </c>
      <c r="B157" s="16" t="str">
        <f>COUNTIFS(SAC!$B$3:$B$400,A157)</f>
        <v>0</v>
      </c>
      <c r="C157" s="16" t="str">
        <f>COUNTIFS(SAC!$N$3:$N$400,A157)</f>
        <v>0</v>
      </c>
      <c r="D157" s="17" t="str">
        <f>SUMIFS(SAC!$Q$3:$Q$400,SAC!$B$3:$B$400,A157)</f>
        <v>R$ 0.00</v>
      </c>
    </row>
    <row r="158" ht="15.75" customHeight="1">
      <c r="A158" s="22" t="str">
        <f t="shared" si="2"/>
        <v>06/12/2026</v>
      </c>
      <c r="B158" s="16" t="str">
        <f>COUNTIFS(SAC!$B$3:$B$400,A158)</f>
        <v>0</v>
      </c>
      <c r="C158" s="16" t="str">
        <f>COUNTIFS(SAC!$N$3:$N$400,A158)</f>
        <v>0</v>
      </c>
      <c r="D158" s="17" t="str">
        <f>SUMIFS(SAC!$Q$3:$Q$400,SAC!$B$3:$B$400,A158)</f>
        <v>R$ 0.00</v>
      </c>
    </row>
    <row r="159" ht="15.75" customHeight="1">
      <c r="A159" s="22" t="str">
        <f t="shared" si="2"/>
        <v>07/12/2026</v>
      </c>
      <c r="B159" s="16" t="str">
        <f>COUNTIFS(SAC!$B$3:$B$400,A159)</f>
        <v>0</v>
      </c>
      <c r="C159" s="16" t="str">
        <f>COUNTIFS(SAC!$N$3:$N$400,A159)</f>
        <v>0</v>
      </c>
      <c r="D159" s="17" t="str">
        <f>SUMIFS(SAC!$Q$3:$Q$400,SAC!$B$3:$B$400,A159)</f>
        <v>R$ 0.00</v>
      </c>
    </row>
    <row r="160" ht="15.75" customHeight="1">
      <c r="A160" s="22" t="str">
        <f t="shared" si="2"/>
        <v>08/12/2026</v>
      </c>
      <c r="B160" s="16" t="str">
        <f>COUNTIFS(SAC!$B$3:$B$400,A160)</f>
        <v>0</v>
      </c>
      <c r="C160" s="16" t="str">
        <f>COUNTIFS(SAC!$N$3:$N$400,A160)</f>
        <v>0</v>
      </c>
      <c r="D160" s="17" t="str">
        <f>SUMIFS(SAC!$Q$3:$Q$400,SAC!$B$3:$B$400,A160)</f>
        <v>R$ 0.00</v>
      </c>
    </row>
    <row r="161" ht="15.75" customHeight="1">
      <c r="A161" s="22" t="str">
        <f t="shared" si="2"/>
        <v>09/12/2026</v>
      </c>
      <c r="B161" s="16" t="str">
        <f>COUNTIFS(SAC!$B$3:$B$400,A161)</f>
        <v>0</v>
      </c>
      <c r="C161" s="16" t="str">
        <f>COUNTIFS(SAC!$N$3:$N$400,A161)</f>
        <v>0</v>
      </c>
      <c r="D161" s="17" t="str">
        <f>SUMIFS(SAC!$Q$3:$Q$400,SAC!$B$3:$B$400,A161)</f>
        <v>R$ 0.00</v>
      </c>
    </row>
    <row r="162" ht="15.75" customHeight="1">
      <c r="A162" s="22" t="str">
        <f t="shared" si="2"/>
        <v>10/12/2026</v>
      </c>
      <c r="B162" s="16" t="str">
        <f>COUNTIFS(SAC!$B$3:$B$400,A162)</f>
        <v>0</v>
      </c>
      <c r="C162" s="16" t="str">
        <f>COUNTIFS(SAC!$N$3:$N$400,A162)</f>
        <v>0</v>
      </c>
      <c r="D162" s="17" t="str">
        <f>SUMIFS(SAC!$Q$3:$Q$400,SAC!$B$3:$B$400,A162)</f>
        <v>R$ 0.00</v>
      </c>
    </row>
    <row r="163" ht="15.75" customHeight="1">
      <c r="A163" s="22" t="str">
        <f t="shared" si="2"/>
        <v>11/12/2026</v>
      </c>
      <c r="B163" s="16" t="str">
        <f>COUNTIFS(SAC!$B$3:$B$400,A163)</f>
        <v>0</v>
      </c>
      <c r="C163" s="16" t="str">
        <f>COUNTIFS(SAC!$N$3:$N$400,A163)</f>
        <v>0</v>
      </c>
      <c r="D163" s="17" t="str">
        <f>SUMIFS(SAC!$Q$3:$Q$400,SAC!$B$3:$B$400,A163)</f>
        <v>R$ 0.00</v>
      </c>
    </row>
    <row r="164" ht="15.75" customHeight="1">
      <c r="A164" s="22" t="str">
        <f t="shared" si="2"/>
        <v>12/12/2026</v>
      </c>
      <c r="B164" s="16" t="str">
        <f>COUNTIFS(SAC!$B$3:$B$400,A164)</f>
        <v>0</v>
      </c>
      <c r="C164" s="16" t="str">
        <f>COUNTIFS(SAC!$N$3:$N$400,A164)</f>
        <v>0</v>
      </c>
      <c r="D164" s="17" t="str">
        <f>SUMIFS(SAC!$Q$3:$Q$400,SAC!$B$3:$B$400,A164)</f>
        <v>R$ 0.00</v>
      </c>
    </row>
    <row r="165" ht="15.75" customHeight="1">
      <c r="A165" s="22" t="str">
        <f t="shared" si="2"/>
        <v>13/12/2026</v>
      </c>
      <c r="B165" s="16" t="str">
        <f>COUNTIFS(SAC!$B$3:$B$400,A165)</f>
        <v>0</v>
      </c>
      <c r="C165" s="16" t="str">
        <f>COUNTIFS(SAC!$N$3:$N$400,A165)</f>
        <v>0</v>
      </c>
      <c r="D165" s="17" t="str">
        <f>SUMIFS(SAC!$Q$3:$Q$400,SAC!$B$3:$B$400,A165)</f>
        <v>R$ 0.00</v>
      </c>
    </row>
    <row r="166" ht="15.75" customHeight="1">
      <c r="A166" s="22" t="str">
        <f t="shared" si="2"/>
        <v>14/12/2026</v>
      </c>
      <c r="B166" s="16" t="str">
        <f>COUNTIFS(SAC!$B$3:$B$400,A166)</f>
        <v>0</v>
      </c>
      <c r="C166" s="16" t="str">
        <f>COUNTIFS(SAC!$N$3:$N$400,A166)</f>
        <v>0</v>
      </c>
      <c r="D166" s="17" t="str">
        <f>SUMIFS(SAC!$Q$3:$Q$400,SAC!$B$3:$B$400,A166)</f>
        <v>R$ 0.00</v>
      </c>
    </row>
    <row r="167" ht="15.75" customHeight="1">
      <c r="A167" s="22" t="str">
        <f t="shared" si="2"/>
        <v>15/12/2026</v>
      </c>
      <c r="B167" s="16" t="str">
        <f>COUNTIFS(SAC!$B$3:$B$400,A167)</f>
        <v>0</v>
      </c>
      <c r="C167" s="16" t="str">
        <f>COUNTIFS(SAC!$N$3:$N$400,A167)</f>
        <v>0</v>
      </c>
      <c r="D167" s="17" t="str">
        <f>SUMIFS(SAC!$Q$3:$Q$400,SAC!$B$3:$B$400,A167)</f>
        <v>R$ 0.00</v>
      </c>
    </row>
    <row r="168" ht="15.75" customHeight="1">
      <c r="A168" s="22" t="str">
        <f t="shared" si="2"/>
        <v>16/12/2026</v>
      </c>
      <c r="B168" s="16" t="str">
        <f>COUNTIFS(SAC!$B$3:$B$400,A168)</f>
        <v>0</v>
      </c>
      <c r="C168" s="16" t="str">
        <f>COUNTIFS(SAC!$N$3:$N$400,A168)</f>
        <v>0</v>
      </c>
      <c r="D168" s="17" t="str">
        <f>SUMIFS(SAC!$Q$3:$Q$400,SAC!$B$3:$B$400,A168)</f>
        <v>R$ 0.00</v>
      </c>
    </row>
    <row r="169" ht="15.75" customHeight="1">
      <c r="A169" s="22" t="str">
        <f t="shared" si="2"/>
        <v>17/12/2026</v>
      </c>
      <c r="B169" s="16" t="str">
        <f>COUNTIFS(SAC!$B$3:$B$400,A169)</f>
        <v>0</v>
      </c>
      <c r="C169" s="16" t="str">
        <f>COUNTIFS(SAC!$N$3:$N$400,A169)</f>
        <v>0</v>
      </c>
      <c r="D169" s="17" t="str">
        <f>SUMIFS(SAC!$Q$3:$Q$400,SAC!$B$3:$B$400,A169)</f>
        <v>R$ 0.00</v>
      </c>
    </row>
    <row r="170" ht="15.75" customHeight="1">
      <c r="A170" s="22" t="str">
        <f t="shared" si="2"/>
        <v>18/12/2026</v>
      </c>
      <c r="B170" s="16" t="str">
        <f>COUNTIFS(SAC!$B$3:$B$400,A170)</f>
        <v>0</v>
      </c>
      <c r="C170" s="16" t="str">
        <f>COUNTIFS(SAC!$N$3:$N$400,A170)</f>
        <v>0</v>
      </c>
      <c r="D170" s="17" t="str">
        <f>SUMIFS(SAC!$Q$3:$Q$400,SAC!$B$3:$B$400,A170)</f>
        <v>R$ 0.00</v>
      </c>
    </row>
    <row r="171" ht="15.75" customHeight="1">
      <c r="A171" s="22" t="str">
        <f t="shared" si="2"/>
        <v>19/12/2026</v>
      </c>
      <c r="B171" s="16" t="str">
        <f>COUNTIFS(SAC!$B$3:$B$400,A171)</f>
        <v>0</v>
      </c>
      <c r="C171" s="16" t="str">
        <f>COUNTIFS(SAC!$N$3:$N$400,A171)</f>
        <v>0</v>
      </c>
      <c r="D171" s="17" t="str">
        <f>SUMIFS(SAC!$Q$3:$Q$400,SAC!$B$3:$B$400,A171)</f>
        <v>R$ 0.00</v>
      </c>
    </row>
    <row r="172" ht="15.75" customHeight="1">
      <c r="A172" s="22" t="str">
        <f t="shared" si="2"/>
        <v>20/12/2026</v>
      </c>
      <c r="B172" s="16" t="str">
        <f>COUNTIFS(SAC!$B$3:$B$400,A172)</f>
        <v>0</v>
      </c>
      <c r="C172" s="16" t="str">
        <f>COUNTIFS(SAC!$N$3:$N$400,A172)</f>
        <v>0</v>
      </c>
      <c r="D172" s="17" t="str">
        <f>SUMIFS(SAC!$Q$3:$Q$400,SAC!$B$3:$B$400,A172)</f>
        <v>R$ 0.00</v>
      </c>
    </row>
    <row r="173" ht="15.75" customHeight="1">
      <c r="A173" s="22" t="str">
        <f t="shared" si="2"/>
        <v>21/12/2026</v>
      </c>
      <c r="B173" s="16" t="str">
        <f>COUNTIFS(SAC!$B$3:$B$400,A173)</f>
        <v>0</v>
      </c>
      <c r="C173" s="16" t="str">
        <f>COUNTIFS(SAC!$N$3:$N$400,A173)</f>
        <v>0</v>
      </c>
      <c r="D173" s="17" t="str">
        <f>SUMIFS(SAC!$Q$3:$Q$400,SAC!$B$3:$B$400,A173)</f>
        <v>R$ 0.00</v>
      </c>
    </row>
    <row r="174" ht="15.75" customHeight="1">
      <c r="A174" s="22" t="str">
        <f t="shared" si="2"/>
        <v>22/12/2026</v>
      </c>
      <c r="B174" s="16" t="str">
        <f>COUNTIFS(SAC!$B$3:$B$400,A174)</f>
        <v>0</v>
      </c>
      <c r="C174" s="16" t="str">
        <f>COUNTIFS(SAC!$N$3:$N$400,A174)</f>
        <v>0</v>
      </c>
      <c r="D174" s="17" t="str">
        <f>SUMIFS(SAC!$Q$3:$Q$400,SAC!$B$3:$B$400,A174)</f>
        <v>R$ 0.00</v>
      </c>
    </row>
    <row r="175" ht="15.75" customHeight="1">
      <c r="A175" s="22" t="str">
        <f t="shared" si="2"/>
        <v>23/12/2026</v>
      </c>
      <c r="B175" s="16" t="str">
        <f>COUNTIFS(SAC!$B$3:$B$400,A175)</f>
        <v>0</v>
      </c>
      <c r="C175" s="16" t="str">
        <f>COUNTIFS(SAC!$N$3:$N$400,A175)</f>
        <v>0</v>
      </c>
      <c r="D175" s="17" t="str">
        <f>SUMIFS(SAC!$Q$3:$Q$400,SAC!$B$3:$B$400,A175)</f>
        <v>R$ 0.00</v>
      </c>
    </row>
    <row r="176" ht="15.75" customHeight="1">
      <c r="A176" s="22" t="str">
        <f t="shared" si="2"/>
        <v>24/12/2026</v>
      </c>
      <c r="B176" s="16" t="str">
        <f>COUNTIFS(SAC!$B$3:$B$400,A176)</f>
        <v>0</v>
      </c>
      <c r="C176" s="16" t="str">
        <f>COUNTIFS(SAC!$N$3:$N$400,A176)</f>
        <v>0</v>
      </c>
      <c r="D176" s="17" t="str">
        <f>SUMIFS(SAC!$Q$3:$Q$400,SAC!$B$3:$B$400,A176)</f>
        <v>R$ 0.00</v>
      </c>
    </row>
    <row r="177" ht="15.75" customHeight="1">
      <c r="A177" s="22" t="str">
        <f t="shared" si="2"/>
        <v>25/12/2026</v>
      </c>
      <c r="B177" s="16" t="str">
        <f>COUNTIFS(SAC!$B$3:$B$400,A177)</f>
        <v>0</v>
      </c>
      <c r="C177" s="16" t="str">
        <f>COUNTIFS(SAC!$N$3:$N$400,A177)</f>
        <v>0</v>
      </c>
      <c r="D177" s="17" t="str">
        <f>SUMIFS(SAC!$Q$3:$Q$400,SAC!$B$3:$B$400,A177)</f>
        <v>R$ 0.00</v>
      </c>
    </row>
    <row r="178" ht="15.75" customHeight="1">
      <c r="A178" s="22" t="str">
        <f t="shared" si="2"/>
        <v>26/12/2026</v>
      </c>
      <c r="B178" s="16" t="str">
        <f>COUNTIFS(SAC!$B$3:$B$400,A178)</f>
        <v>0</v>
      </c>
      <c r="C178" s="16" t="str">
        <f>COUNTIFS(SAC!$N$3:$N$400,A178)</f>
        <v>0</v>
      </c>
      <c r="D178" s="17" t="str">
        <f>SUMIFS(SAC!$Q$3:$Q$400,SAC!$B$3:$B$400,A178)</f>
        <v>R$ 0.00</v>
      </c>
    </row>
    <row r="179" ht="15.75" customHeight="1">
      <c r="A179" s="22" t="str">
        <f t="shared" si="2"/>
        <v>27/12/2026</v>
      </c>
      <c r="B179" s="16" t="str">
        <f>COUNTIFS(SAC!$B$3:$B$400,A179)</f>
        <v>0</v>
      </c>
      <c r="C179" s="16" t="str">
        <f>COUNTIFS(SAC!$N$3:$N$400,A179)</f>
        <v>0</v>
      </c>
      <c r="D179" s="17" t="str">
        <f>SUMIFS(SAC!$Q$3:$Q$400,SAC!$B$3:$B$400,A179)</f>
        <v>R$ 0.00</v>
      </c>
    </row>
    <row r="180" ht="15.75" customHeight="1">
      <c r="A180" s="22" t="str">
        <f t="shared" si="2"/>
        <v>28/12/2026</v>
      </c>
      <c r="B180" s="16" t="str">
        <f>COUNTIFS(SAC!$B$3:$B$400,A180)</f>
        <v>0</v>
      </c>
      <c r="C180" s="16" t="str">
        <f>COUNTIFS(SAC!$N$3:$N$400,A180)</f>
        <v>0</v>
      </c>
      <c r="D180" s="17" t="str">
        <f>SUMIFS(SAC!$Q$3:$Q$400,SAC!$B$3:$B$400,A180)</f>
        <v>R$ 0.00</v>
      </c>
    </row>
    <row r="181" ht="15.75" customHeight="1">
      <c r="A181" s="22" t="str">
        <f t="shared" si="2"/>
        <v>29/12/2026</v>
      </c>
      <c r="B181" s="16" t="str">
        <f>COUNTIFS(SAC!$B$3:$B$400,A181)</f>
        <v>0</v>
      </c>
      <c r="C181" s="16" t="str">
        <f>COUNTIFS(SAC!$N$3:$N$400,A181)</f>
        <v>0</v>
      </c>
      <c r="D181" s="17" t="str">
        <f>SUMIFS(SAC!$Q$3:$Q$400,SAC!$B$3:$B$400,A181)</f>
        <v>R$ 0.00</v>
      </c>
    </row>
    <row r="182" ht="15.75" customHeight="1">
      <c r="A182" s="22" t="str">
        <f t="shared" si="2"/>
        <v>30/12/2026</v>
      </c>
      <c r="B182" s="16" t="str">
        <f>COUNTIFS(SAC!$B$3:$B$400,A182)</f>
        <v>0</v>
      </c>
      <c r="C182" s="16" t="str">
        <f>COUNTIFS(SAC!$N$3:$N$400,A182)</f>
        <v>0</v>
      </c>
      <c r="D182" s="17" t="str">
        <f>SUMIFS(SAC!$Q$3:$Q$400,SAC!$B$3:$B$400,A182)</f>
        <v>R$ 0.00</v>
      </c>
    </row>
    <row r="183" ht="15.75" customHeight="1">
      <c r="A183" s="22" t="str">
        <f t="shared" si="2"/>
        <v>31/12/2026</v>
      </c>
      <c r="B183" s="16" t="str">
        <f>COUNTIFS(SAC!$B$3:$B$400,A183)</f>
        <v>0</v>
      </c>
      <c r="C183" s="16" t="str">
        <f>COUNTIFS(SAC!$N$3:$N$400,A183)</f>
        <v>0</v>
      </c>
      <c r="D183" s="17" t="str">
        <f>SUMIFS(SAC!$Q$3:$Q$400,SAC!$B$3:$B$400,A183)</f>
        <v>R$ 0.00</v>
      </c>
    </row>
    <row r="184" ht="15.75" customHeight="1">
      <c r="A184" s="22" t="str">
        <f t="shared" si="2"/>
        <v>01/01/2027</v>
      </c>
      <c r="B184" s="16" t="str">
        <f>COUNTIFS(SAC!$B$3:$B$400,A184)</f>
        <v>0</v>
      </c>
      <c r="C184" s="16" t="str">
        <f>COUNTIFS(SAC!$N$3:$N$400,A184)</f>
        <v>0</v>
      </c>
      <c r="D184" s="17" t="str">
        <f>SUMIFS(SAC!$Q$3:$Q$400,SAC!$B$3:$B$400,A184)</f>
        <v>R$ 0.00</v>
      </c>
    </row>
    <row r="185" ht="15.75" customHeight="1">
      <c r="A185" s="22" t="str">
        <f t="shared" si="2"/>
        <v>02/01/2027</v>
      </c>
      <c r="B185" s="16" t="str">
        <f>COUNTIFS(SAC!$B$3:$B$400,A185)</f>
        <v>0</v>
      </c>
      <c r="C185" s="16" t="str">
        <f>COUNTIFS(SAC!$N$3:$N$400,A185)</f>
        <v>0</v>
      </c>
      <c r="D185" s="17" t="str">
        <f>SUMIFS(SAC!$Q$3:$Q$400,SAC!$B$3:$B$400,A185)</f>
        <v>R$ 0.00</v>
      </c>
    </row>
    <row r="186" ht="15.75" customHeight="1">
      <c r="A186" s="22" t="str">
        <f t="shared" si="2"/>
        <v>03/01/2027</v>
      </c>
      <c r="B186" s="16" t="str">
        <f>COUNTIFS(SAC!$B$3:$B$400,A186)</f>
        <v>0</v>
      </c>
      <c r="C186" s="16" t="str">
        <f>COUNTIFS(SAC!$N$3:$N$400,A186)</f>
        <v>0</v>
      </c>
      <c r="D186" s="17" t="str">
        <f>SUMIFS(SAC!$Q$3:$Q$400,SAC!$B$3:$B$400,A186)</f>
        <v>R$ 0.00</v>
      </c>
    </row>
    <row r="187" ht="15.75" customHeight="1">
      <c r="A187" s="22" t="str">
        <f t="shared" si="2"/>
        <v>04/01/2027</v>
      </c>
      <c r="B187" s="16" t="str">
        <f>COUNTIFS(SAC!$B$3:$B$400,A187)</f>
        <v>0</v>
      </c>
      <c r="C187" s="16" t="str">
        <f>COUNTIFS(SAC!$N$3:$N$400,A187)</f>
        <v>0</v>
      </c>
      <c r="D187" s="17" t="str">
        <f>SUMIFS(SAC!$Q$3:$Q$400,SAC!$B$3:$B$400,A187)</f>
        <v>R$ 0.00</v>
      </c>
    </row>
    <row r="188" ht="15.75" customHeight="1">
      <c r="A188" s="22" t="str">
        <f t="shared" si="2"/>
        <v>05/01/2027</v>
      </c>
      <c r="B188" s="16" t="str">
        <f>COUNTIFS(SAC!$B$3:$B$400,A188)</f>
        <v>0</v>
      </c>
      <c r="C188" s="16" t="str">
        <f>COUNTIFS(SAC!$N$3:$N$400,A188)</f>
        <v>0</v>
      </c>
      <c r="D188" s="17" t="str">
        <f>SUMIFS(SAC!$Q$3:$Q$400,SAC!$B$3:$B$400,A188)</f>
        <v>R$ 0.00</v>
      </c>
    </row>
    <row r="189" ht="15.75" customHeight="1">
      <c r="A189" s="22" t="str">
        <f t="shared" si="2"/>
        <v>06/01/2027</v>
      </c>
      <c r="B189" s="16" t="str">
        <f>COUNTIFS(SAC!$B$3:$B$400,A189)</f>
        <v>0</v>
      </c>
      <c r="C189" s="16" t="str">
        <f>COUNTIFS(SAC!$N$3:$N$400,A189)</f>
        <v>0</v>
      </c>
      <c r="D189" s="17" t="str">
        <f>SUMIFS(SAC!$Q$3:$Q$400,SAC!$B$3:$B$400,A189)</f>
        <v>R$ 0.00</v>
      </c>
    </row>
    <row r="190" ht="15.75" customHeight="1">
      <c r="A190" s="22" t="str">
        <f t="shared" si="2"/>
        <v>07/01/2027</v>
      </c>
      <c r="B190" s="16" t="str">
        <f>COUNTIFS(SAC!$B$3:$B$400,A190)</f>
        <v>0</v>
      </c>
      <c r="C190" s="16" t="str">
        <f>COUNTIFS(SAC!$N$3:$N$400,A190)</f>
        <v>0</v>
      </c>
      <c r="D190" s="17" t="str">
        <f>SUMIFS(SAC!$Q$3:$Q$400,SAC!$B$3:$B$400,A190)</f>
        <v>R$ 0.00</v>
      </c>
    </row>
    <row r="191" ht="15.75" customHeight="1">
      <c r="A191" s="22" t="str">
        <f t="shared" si="2"/>
        <v>08/01/2027</v>
      </c>
      <c r="B191" s="16" t="str">
        <f>COUNTIFS(SAC!$B$3:$B$400,A191)</f>
        <v>0</v>
      </c>
      <c r="C191" s="16" t="str">
        <f>COUNTIFS(SAC!$N$3:$N$400,A191)</f>
        <v>0</v>
      </c>
      <c r="D191" s="17" t="str">
        <f>SUMIFS(SAC!$Q$3:$Q$400,SAC!$B$3:$B$400,A191)</f>
        <v>R$ 0.00</v>
      </c>
    </row>
    <row r="192" ht="15.75" customHeight="1">
      <c r="A192" s="22" t="str">
        <f t="shared" si="2"/>
        <v>09/01/2027</v>
      </c>
      <c r="B192" s="16" t="str">
        <f>COUNTIFS(SAC!$B$3:$B$400,A192)</f>
        <v>0</v>
      </c>
      <c r="C192" s="16" t="str">
        <f>COUNTIFS(SAC!$N$3:$N$400,A192)</f>
        <v>0</v>
      </c>
      <c r="D192" s="17" t="str">
        <f>SUMIFS(SAC!$Q$3:$Q$400,SAC!$B$3:$B$400,A192)</f>
        <v>R$ 0.00</v>
      </c>
    </row>
    <row r="193" ht="15.75" customHeight="1">
      <c r="A193" s="22" t="str">
        <f t="shared" si="2"/>
        <v>10/01/2027</v>
      </c>
      <c r="B193" s="16" t="str">
        <f>COUNTIFS(SAC!$B$3:$B$400,A193)</f>
        <v>0</v>
      </c>
      <c r="C193" s="16" t="str">
        <f>COUNTIFS(SAC!$N$3:$N$400,A193)</f>
        <v>0</v>
      </c>
      <c r="D193" s="17" t="str">
        <f>SUMIFS(SAC!$Q$3:$Q$400,SAC!$B$3:$B$400,A193)</f>
        <v>R$ 0.00</v>
      </c>
    </row>
    <row r="194" ht="15.75" customHeight="1">
      <c r="A194" s="22" t="str">
        <f t="shared" si="2"/>
        <v>11/01/2027</v>
      </c>
      <c r="B194" s="16" t="str">
        <f>COUNTIFS(SAC!$B$3:$B$400,A194)</f>
        <v>0</v>
      </c>
      <c r="C194" s="16" t="str">
        <f>COUNTIFS(SAC!$N$3:$N$400,A194)</f>
        <v>0</v>
      </c>
      <c r="D194" s="17" t="str">
        <f>SUMIFS(SAC!$Q$3:$Q$400,SAC!$B$3:$B$400,A194)</f>
        <v>R$ 0.00</v>
      </c>
    </row>
    <row r="195" ht="15.75" customHeight="1">
      <c r="A195" s="22" t="str">
        <f t="shared" si="2"/>
        <v>12/01/2027</v>
      </c>
      <c r="B195" s="16" t="str">
        <f>COUNTIFS(SAC!$B$3:$B$400,A195)</f>
        <v>0</v>
      </c>
      <c r="C195" s="16" t="str">
        <f>COUNTIFS(SAC!$N$3:$N$400,A195)</f>
        <v>0</v>
      </c>
      <c r="D195" s="17" t="str">
        <f>SUMIFS(SAC!$Q$3:$Q$400,SAC!$B$3:$B$400,A195)</f>
        <v>R$ 0.00</v>
      </c>
    </row>
    <row r="196" ht="15.75" customHeight="1">
      <c r="A196" s="22" t="str">
        <f t="shared" si="2"/>
        <v>13/01/2027</v>
      </c>
      <c r="B196" s="16" t="str">
        <f>COUNTIFS(SAC!$B$3:$B$400,A196)</f>
        <v>0</v>
      </c>
      <c r="C196" s="16" t="str">
        <f>COUNTIFS(SAC!$N$3:$N$400,A196)</f>
        <v>0</v>
      </c>
      <c r="D196" s="17" t="str">
        <f>SUMIFS(SAC!$Q$3:$Q$400,SAC!$B$3:$B$400,A196)</f>
        <v>R$ 0.00</v>
      </c>
    </row>
    <row r="197" ht="15.75" customHeight="1">
      <c r="A197" s="22" t="str">
        <f t="shared" si="2"/>
        <v>14/01/2027</v>
      </c>
      <c r="B197" s="16" t="str">
        <f>COUNTIFS(SAC!$B$3:$B$400,A197)</f>
        <v>0</v>
      </c>
      <c r="C197" s="16" t="str">
        <f>COUNTIFS(SAC!$N$3:$N$400,A197)</f>
        <v>0</v>
      </c>
      <c r="D197" s="17" t="str">
        <f>SUMIFS(SAC!$Q$3:$Q$400,SAC!$B$3:$B$400,A197)</f>
        <v>R$ 0.00</v>
      </c>
    </row>
    <row r="198" ht="15.75" customHeight="1">
      <c r="A198" s="22" t="str">
        <f t="shared" si="2"/>
        <v>15/01/2027</v>
      </c>
      <c r="B198" s="16" t="str">
        <f>COUNTIFS(SAC!$B$3:$B$400,A198)</f>
        <v>0</v>
      </c>
      <c r="C198" s="16" t="str">
        <f>COUNTIFS(SAC!$N$3:$N$400,A198)</f>
        <v>0</v>
      </c>
      <c r="D198" s="17" t="str">
        <f>SUMIFS(SAC!$Q$3:$Q$400,SAC!$B$3:$B$400,A198)</f>
        <v>R$ 0.00</v>
      </c>
    </row>
    <row r="199" ht="15.75" customHeight="1">
      <c r="A199" s="22" t="str">
        <f t="shared" si="2"/>
        <v>16/01/2027</v>
      </c>
      <c r="B199" s="16" t="str">
        <f>COUNTIFS(SAC!$B$3:$B$400,A199)</f>
        <v>0</v>
      </c>
      <c r="C199" s="16" t="str">
        <f>COUNTIFS(SAC!$N$3:$N$400,A199)</f>
        <v>0</v>
      </c>
      <c r="D199" s="17" t="str">
        <f>SUMIFS(SAC!$Q$3:$Q$400,SAC!$B$3:$B$400,A199)</f>
        <v>R$ 0.00</v>
      </c>
    </row>
    <row r="200" ht="15.75" customHeight="1">
      <c r="A200" s="22" t="str">
        <f t="shared" si="2"/>
        <v>17/01/2027</v>
      </c>
      <c r="B200" s="16" t="str">
        <f>COUNTIFS(SAC!$B$3:$B$400,A200)</f>
        <v>0</v>
      </c>
      <c r="C200" s="16" t="str">
        <f>COUNTIFS(SAC!$N$3:$N$400,A200)</f>
        <v>0</v>
      </c>
      <c r="D200" s="17" t="str">
        <f>SUMIFS(SAC!$Q$3:$Q$400,SAC!$B$3:$B$400,A200)</f>
        <v>R$ 0.00</v>
      </c>
    </row>
    <row r="201" ht="15.75" customHeight="1">
      <c r="A201" s="22" t="str">
        <f t="shared" si="2"/>
        <v>18/01/2027</v>
      </c>
      <c r="B201" s="16" t="str">
        <f>COUNTIFS(SAC!$B$3:$B$400,A201)</f>
        <v>0</v>
      </c>
      <c r="C201" s="16" t="str">
        <f>COUNTIFS(SAC!$N$3:$N$400,A201)</f>
        <v>0</v>
      </c>
      <c r="D201" s="17" t="str">
        <f>SUMIFS(SAC!$Q$3:$Q$400,SAC!$B$3:$B$400,A201)</f>
        <v>R$ 0.00</v>
      </c>
    </row>
    <row r="202" ht="15.75" customHeight="1">
      <c r="A202" s="22" t="str">
        <f t="shared" si="2"/>
        <v>19/01/2027</v>
      </c>
      <c r="B202" s="16" t="str">
        <f>COUNTIFS(SAC!$B$3:$B$400,A202)</f>
        <v>0</v>
      </c>
      <c r="C202" s="16" t="str">
        <f>COUNTIFS(SAC!$N$3:$N$400,A202)</f>
        <v>0</v>
      </c>
      <c r="D202" s="17" t="str">
        <f>SUMIFS(SAC!$Q$3:$Q$400,SAC!$B$3:$B$400,A202)</f>
        <v>R$ 0.00</v>
      </c>
    </row>
    <row r="203" ht="15.75" customHeight="1">
      <c r="A203" s="22" t="str">
        <f t="shared" si="2"/>
        <v>20/01/2027</v>
      </c>
      <c r="B203" s="16" t="str">
        <f>COUNTIFS(SAC!$B$3:$B$400,A203)</f>
        <v>0</v>
      </c>
      <c r="C203" s="16" t="str">
        <f>COUNTIFS(SAC!$N$3:$N$400,A203)</f>
        <v>0</v>
      </c>
      <c r="D203" s="17" t="str">
        <f>SUMIFS(SAC!$Q$3:$Q$400,SAC!$B$3:$B$400,A203)</f>
        <v>R$ 0.00</v>
      </c>
    </row>
    <row r="204" ht="15.75" customHeight="1">
      <c r="A204" s="22" t="str">
        <f t="shared" si="2"/>
        <v>21/01/2027</v>
      </c>
      <c r="B204" s="16" t="str">
        <f>COUNTIFS(SAC!$B$3:$B$400,A204)</f>
        <v>0</v>
      </c>
      <c r="C204" s="16" t="str">
        <f>COUNTIFS(SAC!$N$3:$N$400,A204)</f>
        <v>0</v>
      </c>
      <c r="D204" s="17" t="str">
        <f>SUMIFS(SAC!$Q$3:$Q$400,SAC!$B$3:$B$400,A204)</f>
        <v>R$ 0.00</v>
      </c>
    </row>
    <row r="205" ht="15.75" customHeight="1">
      <c r="A205" s="22" t="str">
        <f t="shared" si="2"/>
        <v>22/01/2027</v>
      </c>
      <c r="B205" s="16" t="str">
        <f>COUNTIFS(SAC!$B$3:$B$400,A205)</f>
        <v>0</v>
      </c>
      <c r="C205" s="16" t="str">
        <f>COUNTIFS(SAC!$N$3:$N$400,A205)</f>
        <v>0</v>
      </c>
      <c r="D205" s="17" t="str">
        <f>SUMIFS(SAC!$Q$3:$Q$400,SAC!$B$3:$B$400,A205)</f>
        <v>R$ 0.00</v>
      </c>
    </row>
    <row r="206" ht="15.75" customHeight="1">
      <c r="A206" s="22" t="str">
        <f t="shared" si="2"/>
        <v>23/01/2027</v>
      </c>
      <c r="B206" s="16" t="str">
        <f>COUNTIFS(SAC!$B$3:$B$400,A206)</f>
        <v>0</v>
      </c>
      <c r="C206" s="16" t="str">
        <f>COUNTIFS(SAC!$N$3:$N$400,A206)</f>
        <v>0</v>
      </c>
      <c r="D206" s="17" t="str">
        <f>SUMIFS(SAC!$Q$3:$Q$400,SAC!$B$3:$B$400,A206)</f>
        <v>R$ 0.00</v>
      </c>
    </row>
    <row r="207" ht="15.75" customHeight="1">
      <c r="A207" s="22" t="str">
        <f t="shared" si="2"/>
        <v>24/01/2027</v>
      </c>
      <c r="B207" s="16" t="str">
        <f>COUNTIFS(SAC!$B$3:$B$400,A207)</f>
        <v>0</v>
      </c>
      <c r="C207" s="16" t="str">
        <f>COUNTIFS(SAC!$N$3:$N$400,A207)</f>
        <v>0</v>
      </c>
      <c r="D207" s="17" t="str">
        <f>SUMIFS(SAC!$Q$3:$Q$400,SAC!$B$3:$B$400,A207)</f>
        <v>R$ 0.00</v>
      </c>
    </row>
    <row r="208" ht="15.75" customHeight="1">
      <c r="A208" s="22" t="str">
        <f t="shared" si="2"/>
        <v>25/01/2027</v>
      </c>
      <c r="B208" s="16" t="str">
        <f>COUNTIFS(SAC!$B$3:$B$400,A208)</f>
        <v>0</v>
      </c>
      <c r="C208" s="16" t="str">
        <f>COUNTIFS(SAC!$N$3:$N$400,A208)</f>
        <v>0</v>
      </c>
      <c r="D208" s="17" t="str">
        <f>SUMIFS(SAC!$Q$3:$Q$400,SAC!$B$3:$B$400,A208)</f>
        <v>R$ 0.00</v>
      </c>
    </row>
    <row r="209" ht="15.75" customHeight="1">
      <c r="A209" s="22" t="str">
        <f t="shared" si="2"/>
        <v>26/01/2027</v>
      </c>
      <c r="B209" s="16" t="str">
        <f>COUNTIFS(SAC!$B$3:$B$400,A209)</f>
        <v>0</v>
      </c>
      <c r="C209" s="16" t="str">
        <f>COUNTIFS(SAC!$N$3:$N$400,A209)</f>
        <v>0</v>
      </c>
      <c r="D209" s="17" t="str">
        <f>SUMIFS(SAC!$Q$3:$Q$400,SAC!$B$3:$B$400,A209)</f>
        <v>R$ 0.00</v>
      </c>
    </row>
    <row r="210" ht="15.75" customHeight="1">
      <c r="A210" s="22" t="str">
        <f t="shared" si="2"/>
        <v>27/01/2027</v>
      </c>
      <c r="B210" s="16" t="str">
        <f>COUNTIFS(SAC!$B$3:$B$400,A210)</f>
        <v>0</v>
      </c>
      <c r="C210" s="16" t="str">
        <f>COUNTIFS(SAC!$N$3:$N$400,A210)</f>
        <v>0</v>
      </c>
      <c r="D210" s="17" t="str">
        <f>SUMIFS(SAC!$Q$3:$Q$400,SAC!$B$3:$B$400,A210)</f>
        <v>R$ 0.00</v>
      </c>
    </row>
    <row r="211" ht="15.75" customHeight="1">
      <c r="A211" s="22" t="str">
        <f t="shared" si="2"/>
        <v>28/01/2027</v>
      </c>
      <c r="B211" s="16" t="str">
        <f>COUNTIFS(SAC!$B$3:$B$400,A211)</f>
        <v>0</v>
      </c>
      <c r="C211" s="16" t="str">
        <f>COUNTIFS(SAC!$N$3:$N$400,A211)</f>
        <v>0</v>
      </c>
      <c r="D211" s="17" t="str">
        <f>SUMIFS(SAC!$Q$3:$Q$400,SAC!$B$3:$B$400,A211)</f>
        <v>R$ 0.00</v>
      </c>
    </row>
    <row r="212" ht="15.75" customHeight="1">
      <c r="A212" s="22" t="str">
        <f t="shared" si="2"/>
        <v>29/01/2027</v>
      </c>
      <c r="B212" s="16" t="str">
        <f>COUNTIFS(SAC!$B$3:$B$400,A212)</f>
        <v>0</v>
      </c>
      <c r="C212" s="16" t="str">
        <f>COUNTIFS(SAC!$N$3:$N$400,A212)</f>
        <v>0</v>
      </c>
      <c r="D212" s="17" t="str">
        <f>SUMIFS(SAC!$Q$3:$Q$400,SAC!$B$3:$B$400,A212)</f>
        <v>R$ 0.00</v>
      </c>
    </row>
    <row r="213" ht="15.75" customHeight="1">
      <c r="A213" s="22" t="str">
        <f t="shared" si="2"/>
        <v>30/01/2027</v>
      </c>
      <c r="B213" s="16" t="str">
        <f>COUNTIFS(SAC!$B$3:$B$400,A213)</f>
        <v>0</v>
      </c>
      <c r="C213" s="16" t="str">
        <f>COUNTIFS(SAC!$N$3:$N$400,A213)</f>
        <v>0</v>
      </c>
      <c r="D213" s="17" t="str">
        <f>SUMIFS(SAC!$Q$3:$Q$400,SAC!$B$3:$B$400,A213)</f>
        <v>R$ 0.00</v>
      </c>
    </row>
    <row r="214" ht="15.75" customHeight="1">
      <c r="A214" s="22" t="str">
        <f t="shared" si="2"/>
        <v>31/01/2027</v>
      </c>
      <c r="B214" s="16" t="str">
        <f>COUNTIFS(SAC!$B$3:$B$400,A214)</f>
        <v>0</v>
      </c>
      <c r="C214" s="16" t="str">
        <f>COUNTIFS(SAC!$N$3:$N$400,A214)</f>
        <v>0</v>
      </c>
      <c r="D214" s="17" t="str">
        <f>SUMIFS(SAC!$Q$3:$Q$400,SAC!$B$3:$B$400,A214)</f>
        <v>R$ 0.00</v>
      </c>
    </row>
    <row r="215" ht="15.75" customHeight="1">
      <c r="A215" s="18" t="s">
        <v>59</v>
      </c>
      <c r="B215" s="19" t="str">
        <f t="shared" ref="B215:D215" si="3">SUM(B31:B214)</f>
        <v>0</v>
      </c>
      <c r="C215" s="19" t="str">
        <f t="shared" si="3"/>
        <v>0</v>
      </c>
      <c r="D215" s="20" t="str">
        <f t="shared" si="3"/>
        <v>R$ 0.00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>
      <c r="A237" s="4" t="s">
        <v>60</v>
      </c>
    </row>
    <row r="238" ht="15.75" customHeight="1"/>
    <row r="239" ht="15.75" customHeight="1">
      <c r="A239" s="5" t="s">
        <v>61</v>
      </c>
    </row>
    <row r="240" ht="15.75" customHeight="1">
      <c r="A240" s="6" t="s">
        <v>62</v>
      </c>
      <c r="B240" s="6" t="s">
        <v>63</v>
      </c>
      <c r="C240" s="6" t="s">
        <v>40</v>
      </c>
      <c r="D240" s="6"/>
    </row>
    <row r="241" ht="15.75" customHeight="1">
      <c r="A241" s="7" t="s">
        <v>64</v>
      </c>
      <c r="B241" s="16" t="str">
        <f>COUNTIF(SAC!$B$3:$B$400,"&lt;&gt;")</f>
        <v>0</v>
      </c>
      <c r="C241" s="17" t="str">
        <f>SUMIF(SAC!$B$3:$B$400,"&lt;&gt;",SAC!$Q$3:$Q$400)</f>
        <v>R$ 0.00</v>
      </c>
      <c r="D241" s="7"/>
    </row>
    <row r="242" ht="15.75" customHeight="1">
      <c r="A242" s="7" t="s">
        <v>65</v>
      </c>
      <c r="B242" s="16" t="str">
        <f>COUNTIFS('NC CANAIS'!$C$2:$C$300,"Mercado Livre",'NC CANAIS'!$A$2:$A$300,"&lt;&gt;")</f>
        <v>1</v>
      </c>
      <c r="C242" s="17" t="str">
        <f>SUMIFS('NC CANAIS'!$P$2:$P$300,'NC CANAIS'!$C$2:$C$300,"Mercado Livre")</f>
        <v>R$ 250.00</v>
      </c>
      <c r="D242" s="7"/>
    </row>
    <row r="243" ht="15.75" customHeight="1">
      <c r="A243" s="7" t="s">
        <v>66</v>
      </c>
      <c r="B243" s="16" t="str">
        <f>COUNTIFS('NC CANAIS'!$C$2:$C$300,"Instagram",'NC CANAIS'!$A$2:$A$300,"&lt;&gt;")</f>
        <v>0</v>
      </c>
      <c r="C243" s="17" t="str">
        <f>SUMIFS('NC CANAIS'!$P$2:$P$300,'NC CANAIS'!$C$2:$C$300,"Instagram")</f>
        <v>R$ 0.00</v>
      </c>
      <c r="D243" s="7"/>
    </row>
    <row r="244" ht="15.75" customHeight="1">
      <c r="A244" s="7" t="s">
        <v>67</v>
      </c>
      <c r="B244" s="16" t="str">
        <f>COUNTIFS('NC CANAIS'!$C$2:$C$300,"Lojista",'NC CANAIS'!$A$2:$A$300,"&lt;&gt;")</f>
        <v>0</v>
      </c>
      <c r="C244" s="17" t="str">
        <f>SUMIFS('NC CANAIS'!$P$2:$P$300,'NC CANAIS'!$C$2:$C$300,"Lojista")</f>
        <v>R$ 0.00</v>
      </c>
      <c r="D244" s="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</sheetData>
  <mergeCells count="7">
    <mergeCell ref="A1:D1"/>
    <mergeCell ref="A4:D4"/>
    <mergeCell ref="A18:D18"/>
    <mergeCell ref="A27:D27"/>
    <mergeCell ref="A29:D29"/>
    <mergeCell ref="A237:D237"/>
    <mergeCell ref="A239:D23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4.0"/>
    <col customWidth="1" min="2" max="7" width="13.0"/>
    <col customWidth="1" min="8" max="19" width="8.71"/>
  </cols>
  <sheetData>
    <row r="1">
      <c r="A1" s="1" t="s">
        <v>68</v>
      </c>
    </row>
    <row r="3">
      <c r="A3" s="6" t="s">
        <v>4</v>
      </c>
      <c r="B3" s="23">
        <v>46235.0</v>
      </c>
      <c r="C3" s="23">
        <v>46266.0</v>
      </c>
      <c r="D3" s="23">
        <v>46296.0</v>
      </c>
      <c r="E3" s="23">
        <v>46327.0</v>
      </c>
      <c r="F3" s="23">
        <v>46357.0</v>
      </c>
      <c r="G3" s="23">
        <v>46388.0</v>
      </c>
    </row>
    <row r="4">
      <c r="A4" s="7" t="s">
        <v>9</v>
      </c>
      <c r="B4" s="16" t="str">
        <f>COUNTIFS(SAC!$B$3:$B$400,"&gt;="&amp;B$3,SAC!$B$3:$B$400,"&lt;"&amp;EDATE(B$3,1))</f>
        <v>0</v>
      </c>
      <c r="C4" s="16" t="str">
        <f>COUNTIFS(SAC!$B$3:$B$400,"&gt;="&amp;C$3,SAC!$B$3:$B$400,"&lt;"&amp;EDATE(C$3,1))</f>
        <v>0</v>
      </c>
      <c r="D4" s="16" t="str">
        <f>COUNTIFS(SAC!$B$3:$B$400,"&gt;="&amp;D$3,SAC!$B$3:$B$400,"&lt;"&amp;EDATE(D$3,1))</f>
        <v>0</v>
      </c>
      <c r="E4" s="16" t="str">
        <f>COUNTIFS(SAC!$B$3:$B$400,"&gt;="&amp;E$3,SAC!$B$3:$B$400,"&lt;"&amp;EDATE(E$3,1))</f>
        <v>0</v>
      </c>
      <c r="F4" s="16" t="str">
        <f>COUNTIFS(SAC!$B$3:$B$400,"&gt;="&amp;F$3,SAC!$B$3:$B$400,"&lt;"&amp;EDATE(F$3,1))</f>
        <v>0</v>
      </c>
      <c r="G4" s="16" t="str">
        <f>COUNTIFS(SAC!$B$3:$B$400,"&gt;="&amp;G$3,SAC!$B$3:$B$400,"&lt;"&amp;EDATE(G$3,1))</f>
        <v>0</v>
      </c>
    </row>
    <row r="5">
      <c r="A5" s="7" t="s">
        <v>10</v>
      </c>
      <c r="B5" s="16" t="str">
        <f>COUNTIFS(SAC!$N$3:$N$400,"&gt;="&amp;B$3,SAC!$N$3:$N$400,"&lt;"&amp;EDATE(B$3,1))</f>
        <v>0</v>
      </c>
      <c r="C5" s="16" t="str">
        <f>COUNTIFS(SAC!$N$3:$N$400,"&gt;="&amp;C$3,SAC!$N$3:$N$400,"&lt;"&amp;EDATE(C$3,1))</f>
        <v>0</v>
      </c>
      <c r="D5" s="16" t="str">
        <f>COUNTIFS(SAC!$N$3:$N$400,"&gt;="&amp;D$3,SAC!$N$3:$N$400,"&lt;"&amp;EDATE(D$3,1))</f>
        <v>0</v>
      </c>
      <c r="E5" s="16" t="str">
        <f>COUNTIFS(SAC!$N$3:$N$400,"&gt;="&amp;E$3,SAC!$N$3:$N$400,"&lt;"&amp;EDATE(E$3,1))</f>
        <v>0</v>
      </c>
      <c r="F5" s="16" t="str">
        <f>COUNTIFS(SAC!$N$3:$N$400,"&gt;="&amp;F$3,SAC!$N$3:$N$400,"&lt;"&amp;EDATE(F$3,1))</f>
        <v>0</v>
      </c>
      <c r="G5" s="16" t="str">
        <f>COUNTIFS(SAC!$N$3:$N$400,"&gt;="&amp;G$3,SAC!$N$3:$N$400,"&lt;"&amp;EDATE(G$3,1))</f>
        <v>0</v>
      </c>
    </row>
    <row r="6">
      <c r="A6" s="7" t="s">
        <v>69</v>
      </c>
      <c r="B6" s="16" t="str">
        <f>COUNTIFS(SAC!$B$3:$B$400,"&gt;="&amp;B$3,SAC!$B$3:$B$400,"&lt;"&amp;EDATE(B$3,1),SAC!$N$3:$N$400,"")</f>
        <v>0</v>
      </c>
      <c r="C6" s="16" t="str">
        <f>COUNTIFS(SAC!$B$3:$B$400,"&gt;="&amp;C$3,SAC!$B$3:$B$400,"&lt;"&amp;EDATE(C$3,1),SAC!$N$3:$N$400,"")</f>
        <v>0</v>
      </c>
      <c r="D6" s="16" t="str">
        <f>COUNTIFS(SAC!$B$3:$B$400,"&gt;="&amp;D$3,SAC!$B$3:$B$400,"&lt;"&amp;EDATE(D$3,1),SAC!$N$3:$N$400,"")</f>
        <v>0</v>
      </c>
      <c r="E6" s="16" t="str">
        <f>COUNTIFS(SAC!$B$3:$B$400,"&gt;="&amp;E$3,SAC!$B$3:$B$400,"&lt;"&amp;EDATE(E$3,1),SAC!$N$3:$N$400,"")</f>
        <v>0</v>
      </c>
      <c r="F6" s="16" t="str">
        <f>COUNTIFS(SAC!$B$3:$B$400,"&gt;="&amp;F$3,SAC!$B$3:$B$400,"&lt;"&amp;EDATE(F$3,1),SAC!$N$3:$N$400,"")</f>
        <v>0</v>
      </c>
      <c r="G6" s="16" t="str">
        <f>COUNTIFS(SAC!$B$3:$B$400,"&gt;="&amp;G$3,SAC!$B$3:$B$400,"&lt;"&amp;EDATE(G$3,1),SAC!$N$3:$N$400,"")</f>
        <v>0</v>
      </c>
    </row>
    <row r="7">
      <c r="A7" s="7" t="s">
        <v>12</v>
      </c>
      <c r="B7" s="24" t="str">
        <f>IFERROR(AVERAGEIFS(SAC!$O$3:$O$400,SAC!$B$3:$B$400,"&gt;="&amp;B$3,SAC!$B$3:$B$400,"&lt;"&amp;EDATE(B$3,1)),0)</f>
        <v>0.0</v>
      </c>
      <c r="C7" s="24" t="str">
        <f>IFERROR(AVERAGEIFS(SAC!$O$3:$O$400,SAC!$B$3:$B$400,"&gt;="&amp;C$3,SAC!$B$3:$B$400,"&lt;"&amp;EDATE(C$3,1)),0)</f>
        <v>0.0</v>
      </c>
      <c r="D7" s="24" t="str">
        <f>IFERROR(AVERAGEIFS(SAC!$O$3:$O$400,SAC!$B$3:$B$400,"&gt;="&amp;D$3,SAC!$B$3:$B$400,"&lt;"&amp;EDATE(D$3,1)),0)</f>
        <v>0.0</v>
      </c>
      <c r="E7" s="24" t="str">
        <f>IFERROR(AVERAGEIFS(SAC!$O$3:$O$400,SAC!$B$3:$B$400,"&gt;="&amp;E$3,SAC!$B$3:$B$400,"&lt;"&amp;EDATE(E$3,1)),0)</f>
        <v>0.0</v>
      </c>
      <c r="F7" s="24" t="str">
        <f>IFERROR(AVERAGEIFS(SAC!$O$3:$O$400,SAC!$B$3:$B$400,"&gt;="&amp;F$3,SAC!$B$3:$B$400,"&lt;"&amp;EDATE(F$3,1)),0)</f>
        <v>0.0</v>
      </c>
      <c r="G7" s="24" t="str">
        <f>IFERROR(AVERAGEIFS(SAC!$O$3:$O$400,SAC!$B$3:$B$400,"&gt;="&amp;G$3,SAC!$B$3:$B$400,"&lt;"&amp;EDATE(G$3,1)),0)</f>
        <v>0.0</v>
      </c>
    </row>
    <row r="8">
      <c r="A8" s="7" t="s">
        <v>13</v>
      </c>
      <c r="B8" s="24" t="str">
        <f>IFERROR(AVERAGEIFS(SAC!$P$3:$P$400,SAC!$B$3:$B$400,"&gt;="&amp;B$3,SAC!$B$3:$B$400,"&lt;"&amp;EDATE(B$3,1)),0)</f>
        <v>0.0</v>
      </c>
      <c r="C8" s="24" t="str">
        <f>IFERROR(AVERAGEIFS(SAC!$P$3:$P$400,SAC!$B$3:$B$400,"&gt;="&amp;C$3,SAC!$B$3:$B$400,"&lt;"&amp;EDATE(C$3,1)),0)</f>
        <v>0.0</v>
      </c>
      <c r="D8" s="24" t="str">
        <f>IFERROR(AVERAGEIFS(SAC!$P$3:$P$400,SAC!$B$3:$B$400,"&gt;="&amp;D$3,SAC!$B$3:$B$400,"&lt;"&amp;EDATE(D$3,1)),0)</f>
        <v>0.0</v>
      </c>
      <c r="E8" s="24" t="str">
        <f>IFERROR(AVERAGEIFS(SAC!$P$3:$P$400,SAC!$B$3:$B$400,"&gt;="&amp;E$3,SAC!$B$3:$B$400,"&lt;"&amp;EDATE(E$3,1)),0)</f>
        <v>0.0</v>
      </c>
      <c r="F8" s="24" t="str">
        <f>IFERROR(AVERAGEIFS(SAC!$P$3:$P$400,SAC!$B$3:$B$400,"&gt;="&amp;F$3,SAC!$B$3:$B$400,"&lt;"&amp;EDATE(F$3,1)),0)</f>
        <v>0.0</v>
      </c>
      <c r="G8" s="24" t="str">
        <f>IFERROR(AVERAGEIFS(SAC!$P$3:$P$400,SAC!$B$3:$B$400,"&gt;="&amp;G$3,SAC!$B$3:$B$400,"&lt;"&amp;EDATE(G$3,1)),0)</f>
        <v>0.0</v>
      </c>
    </row>
    <row r="9">
      <c r="A9" s="7" t="s">
        <v>14</v>
      </c>
      <c r="B9" s="16" t="str">
        <f>COUNTIFS(SAC!$H$3:$H$400,"Reclamacao",SAC!$B$3:$B$400,"&gt;="&amp;B$3,SAC!$B$3:$B$400,"&lt;"&amp;EDATE(B$3,1))</f>
        <v>0</v>
      </c>
      <c r="C9" s="16" t="str">
        <f>COUNTIFS(SAC!$H$3:$H$400,"Reclamacao",SAC!$B$3:$B$400,"&gt;="&amp;C$3,SAC!$B$3:$B$400,"&lt;"&amp;EDATE(C$3,1))</f>
        <v>0</v>
      </c>
      <c r="D9" s="16" t="str">
        <f>COUNTIFS(SAC!$H$3:$H$400,"Reclamacao",SAC!$B$3:$B$400,"&gt;="&amp;D$3,SAC!$B$3:$B$400,"&lt;"&amp;EDATE(D$3,1))</f>
        <v>0</v>
      </c>
      <c r="E9" s="16" t="str">
        <f>COUNTIFS(SAC!$H$3:$H$400,"Reclamacao",SAC!$B$3:$B$400,"&gt;="&amp;E$3,SAC!$B$3:$B$400,"&lt;"&amp;EDATE(E$3,1))</f>
        <v>0</v>
      </c>
      <c r="F9" s="16" t="str">
        <f>COUNTIFS(SAC!$H$3:$H$400,"Reclamacao",SAC!$B$3:$B$400,"&gt;="&amp;F$3,SAC!$B$3:$B$400,"&lt;"&amp;EDATE(F$3,1))</f>
        <v>0</v>
      </c>
      <c r="G9" s="16" t="str">
        <f>COUNTIFS(SAC!$H$3:$H$400,"Reclamacao",SAC!$B$3:$B$400,"&gt;="&amp;G$3,SAC!$B$3:$B$400,"&lt;"&amp;EDATE(G$3,1))</f>
        <v>0</v>
      </c>
    </row>
    <row r="10">
      <c r="A10" s="7" t="s">
        <v>15</v>
      </c>
      <c r="B10" s="16" t="str">
        <f>COUNTIFS(SAC!$H$3:$H$400,"Troca",SAC!$B$3:$B$400,"&gt;="&amp;B$3,SAC!$B$3:$B$400,"&lt;"&amp;EDATE(B$3,1))</f>
        <v>0</v>
      </c>
      <c r="C10" s="16" t="str">
        <f>COUNTIFS(SAC!$H$3:$H$400,"Troca",SAC!$B$3:$B$400,"&gt;="&amp;C$3,SAC!$B$3:$B$400,"&lt;"&amp;EDATE(C$3,1))</f>
        <v>0</v>
      </c>
      <c r="D10" s="16" t="str">
        <f>COUNTIFS(SAC!$H$3:$H$400,"Troca",SAC!$B$3:$B$400,"&gt;="&amp;D$3,SAC!$B$3:$B$400,"&lt;"&amp;EDATE(D$3,1))</f>
        <v>0</v>
      </c>
      <c r="E10" s="16" t="str">
        <f>COUNTIFS(SAC!$H$3:$H$400,"Troca",SAC!$B$3:$B$400,"&gt;="&amp;E$3,SAC!$B$3:$B$400,"&lt;"&amp;EDATE(E$3,1))</f>
        <v>0</v>
      </c>
      <c r="F10" s="16" t="str">
        <f>COUNTIFS(SAC!$H$3:$H$400,"Troca",SAC!$B$3:$B$400,"&gt;="&amp;F$3,SAC!$B$3:$B$400,"&lt;"&amp;EDATE(F$3,1))</f>
        <v>0</v>
      </c>
      <c r="G10" s="16" t="str">
        <f>COUNTIFS(SAC!$H$3:$H$400,"Troca",SAC!$B$3:$B$400,"&gt;="&amp;G$3,SAC!$B$3:$B$400,"&lt;"&amp;EDATE(G$3,1))</f>
        <v>0</v>
      </c>
    </row>
    <row r="11">
      <c r="A11" s="7" t="s">
        <v>16</v>
      </c>
      <c r="B11" s="16" t="str">
        <f>COUNTIFS(SAC!$H$3:$H$400,"Avaria",SAC!$B$3:$B$400,"&gt;="&amp;B$3,SAC!$B$3:$B$400,"&lt;"&amp;EDATE(B$3,1))</f>
        <v>0</v>
      </c>
      <c r="C11" s="16" t="str">
        <f>COUNTIFS(SAC!$H$3:$H$400,"Avaria",SAC!$B$3:$B$400,"&gt;="&amp;C$3,SAC!$B$3:$B$400,"&lt;"&amp;EDATE(C$3,1))</f>
        <v>0</v>
      </c>
      <c r="D11" s="16" t="str">
        <f>COUNTIFS(SAC!$H$3:$H$400,"Avaria",SAC!$B$3:$B$400,"&gt;="&amp;D$3,SAC!$B$3:$B$400,"&lt;"&amp;EDATE(D$3,1))</f>
        <v>0</v>
      </c>
      <c r="E11" s="16" t="str">
        <f>COUNTIFS(SAC!$H$3:$H$400,"Avaria",SAC!$B$3:$B$400,"&gt;="&amp;E$3,SAC!$B$3:$B$400,"&lt;"&amp;EDATE(E$3,1))</f>
        <v>0</v>
      </c>
      <c r="F11" s="16" t="str">
        <f>COUNTIFS(SAC!$H$3:$H$400,"Avaria",SAC!$B$3:$B$400,"&gt;="&amp;F$3,SAC!$B$3:$B$400,"&lt;"&amp;EDATE(F$3,1))</f>
        <v>0</v>
      </c>
      <c r="G11" s="16" t="str">
        <f>COUNTIFS(SAC!$H$3:$H$400,"Avaria",SAC!$B$3:$B$400,"&gt;="&amp;G$3,SAC!$B$3:$B$400,"&lt;"&amp;EDATE(G$3,1))</f>
        <v>0</v>
      </c>
    </row>
    <row r="12">
      <c r="A12" s="7" t="s">
        <v>17</v>
      </c>
      <c r="B12" s="16" t="str">
        <f>COUNTIFS(SAC!$H$3:$H$400,"Peca faltante",SAC!$B$3:$B$400,"&gt;="&amp;B$3,SAC!$B$3:$B$400,"&lt;"&amp;EDATE(B$3,1))</f>
        <v>0</v>
      </c>
      <c r="C12" s="16" t="str">
        <f>COUNTIFS(SAC!$H$3:$H$400,"Peca faltante",SAC!$B$3:$B$400,"&gt;="&amp;C$3,SAC!$B$3:$B$400,"&lt;"&amp;EDATE(C$3,1))</f>
        <v>0</v>
      </c>
      <c r="D12" s="16" t="str">
        <f>COUNTIFS(SAC!$H$3:$H$400,"Peca faltante",SAC!$B$3:$B$400,"&gt;="&amp;D$3,SAC!$B$3:$B$400,"&lt;"&amp;EDATE(D$3,1))</f>
        <v>0</v>
      </c>
      <c r="E12" s="16" t="str">
        <f>COUNTIFS(SAC!$H$3:$H$400,"Peca faltante",SAC!$B$3:$B$400,"&gt;="&amp;E$3,SAC!$B$3:$B$400,"&lt;"&amp;EDATE(E$3,1))</f>
        <v>0</v>
      </c>
      <c r="F12" s="16" t="str">
        <f>COUNTIFS(SAC!$H$3:$H$400,"Peca faltante",SAC!$B$3:$B$400,"&gt;="&amp;F$3,SAC!$B$3:$B$400,"&lt;"&amp;EDATE(F$3,1))</f>
        <v>0</v>
      </c>
      <c r="G12" s="16" t="str">
        <f>COUNTIFS(SAC!$H$3:$H$400,"Peca faltante",SAC!$B$3:$B$400,"&gt;="&amp;G$3,SAC!$B$3:$B$400,"&lt;"&amp;EDATE(G$3,1))</f>
        <v>0</v>
      </c>
    </row>
    <row r="13">
      <c r="A13" s="7" t="s">
        <v>18</v>
      </c>
      <c r="B13" s="24" t="str">
        <f>IFERROR(AVERAGEIFS(SAC!$R$3:$R$400,SAC!$B$3:$B$400,"&gt;="&amp;B$3,SAC!$B$3:$B$400,"&lt;"&amp;EDATE(B$3,1)),0)</f>
        <v>0.0</v>
      </c>
      <c r="C13" s="24" t="str">
        <f>IFERROR(AVERAGEIFS(SAC!$R$3:$R$400,SAC!$B$3:$B$400,"&gt;="&amp;C$3,SAC!$B$3:$B$400,"&lt;"&amp;EDATE(C$3,1)),0)</f>
        <v>0.0</v>
      </c>
      <c r="D13" s="24" t="str">
        <f>IFERROR(AVERAGEIFS(SAC!$R$3:$R$400,SAC!$B$3:$B$400,"&gt;="&amp;D$3,SAC!$B$3:$B$400,"&lt;"&amp;EDATE(D$3,1)),0)</f>
        <v>0.0</v>
      </c>
      <c r="E13" s="24" t="str">
        <f>IFERROR(AVERAGEIFS(SAC!$R$3:$R$400,SAC!$B$3:$B$400,"&gt;="&amp;E$3,SAC!$B$3:$B$400,"&lt;"&amp;EDATE(E$3,1)),0)</f>
        <v>0.0</v>
      </c>
      <c r="F13" s="24" t="str">
        <f>IFERROR(AVERAGEIFS(SAC!$R$3:$R$400,SAC!$B$3:$B$400,"&gt;="&amp;F$3,SAC!$B$3:$B$400,"&lt;"&amp;EDATE(F$3,1)),0)</f>
        <v>0.0</v>
      </c>
      <c r="G13" s="24" t="str">
        <f>IFERROR(AVERAGEIFS(SAC!$R$3:$R$400,SAC!$B$3:$B$400,"&gt;="&amp;G$3,SAC!$B$3:$B$400,"&lt;"&amp;EDATE(G$3,1)),0)</f>
        <v>0.0</v>
      </c>
    </row>
    <row r="14">
      <c r="A14" s="7" t="s">
        <v>19</v>
      </c>
      <c r="B14" s="16" t="str">
        <f>COUNTIFS('POS-VENDA'!$A$3:$A$150,"&gt;="&amp;B$3,'POS-VENDA'!$A$3:$A$150,"&lt;"&amp;EDATE(B$3,1))</f>
        <v>0</v>
      </c>
      <c r="C14" s="16" t="str">
        <f>COUNTIFS('POS-VENDA'!$A$3:$A$150,"&gt;="&amp;C$3,'POS-VENDA'!$A$3:$A$150,"&lt;"&amp;EDATE(C$3,1))</f>
        <v>0</v>
      </c>
      <c r="D14" s="16" t="str">
        <f>COUNTIFS('POS-VENDA'!$A$3:$A$150,"&gt;="&amp;D$3,'POS-VENDA'!$A$3:$A$150,"&lt;"&amp;EDATE(D$3,1))</f>
        <v>0</v>
      </c>
      <c r="E14" s="16" t="str">
        <f>COUNTIFS('POS-VENDA'!$A$3:$A$150,"&gt;="&amp;E$3,'POS-VENDA'!$A$3:$A$150,"&lt;"&amp;EDATE(E$3,1))</f>
        <v>0</v>
      </c>
      <c r="F14" s="16" t="str">
        <f>COUNTIFS('POS-VENDA'!$A$3:$A$150,"&gt;="&amp;F$3,'POS-VENDA'!$A$3:$A$150,"&lt;"&amp;EDATE(F$3,1))</f>
        <v>0</v>
      </c>
      <c r="G14" s="16" t="str">
        <f>COUNTIFS('POS-VENDA'!$A$3:$A$150,"&gt;="&amp;G$3,'POS-VENDA'!$A$3:$A$150,"&lt;"&amp;EDATE(G$3,1))</f>
        <v>0</v>
      </c>
    </row>
    <row r="15">
      <c r="A15" s="7" t="s">
        <v>20</v>
      </c>
      <c r="B15" s="16" t="str">
        <f>COUNTIFS('CLIENTES E RECOMPRA'!$G$3:$G$150,"Sim",'CLIENTES E RECOMPRA'!$H$3:$H$150,"&gt;="&amp;B$3,'CLIENTES E RECOMPRA'!$H$3:$H$150,"&lt;"&amp;EDATE(B$3,1))</f>
        <v>0</v>
      </c>
      <c r="C15" s="16" t="str">
        <f>COUNTIFS('CLIENTES E RECOMPRA'!$G$3:$G$150,"Sim",'CLIENTES E RECOMPRA'!$H$3:$H$150,"&gt;="&amp;C$3,'CLIENTES E RECOMPRA'!$H$3:$H$150,"&lt;"&amp;EDATE(C$3,1))</f>
        <v>0</v>
      </c>
      <c r="D15" s="16" t="str">
        <f>COUNTIFS('CLIENTES E RECOMPRA'!$G$3:$G$150,"Sim",'CLIENTES E RECOMPRA'!$H$3:$H$150,"&gt;="&amp;D$3,'CLIENTES E RECOMPRA'!$H$3:$H$150,"&lt;"&amp;EDATE(D$3,1))</f>
        <v>0</v>
      </c>
      <c r="E15" s="16" t="str">
        <f>COUNTIFS('CLIENTES E RECOMPRA'!$G$3:$G$150,"Sim",'CLIENTES E RECOMPRA'!$H$3:$H$150,"&gt;="&amp;E$3,'CLIENTES E RECOMPRA'!$H$3:$H$150,"&lt;"&amp;EDATE(E$3,1))</f>
        <v>0</v>
      </c>
      <c r="F15" s="16" t="str">
        <f>COUNTIFS('CLIENTES E RECOMPRA'!$G$3:$G$150,"Sim",'CLIENTES E RECOMPRA'!$H$3:$H$150,"&gt;="&amp;F$3,'CLIENTES E RECOMPRA'!$H$3:$H$150,"&lt;"&amp;EDATE(F$3,1))</f>
        <v>0</v>
      </c>
      <c r="G15" s="16" t="str">
        <f>COUNTIFS('CLIENTES E RECOMPRA'!$G$3:$G$150,"Sim",'CLIENTES E RECOMPRA'!$H$3:$H$150,"&gt;="&amp;G$3,'CLIENTES E RECOMPRA'!$H$3:$H$150,"&lt;"&amp;EDATE(G$3,1))</f>
        <v>0</v>
      </c>
    </row>
    <row r="16">
      <c r="A16" s="7" t="s">
        <v>21</v>
      </c>
      <c r="B16" s="17" t="str">
        <f>SUMIFS(SAC!$Q$3:$Q$400,SAC!$B$3:$B$400,"&gt;="&amp;B$3,SAC!$B$3:$B$400,"&lt;"&amp;EDATE(B$3,1))</f>
        <v>R$ 0.00</v>
      </c>
      <c r="C16" s="17" t="str">
        <f>SUMIFS(SAC!$Q$3:$Q$400,SAC!$B$3:$B$400,"&gt;="&amp;C$3,SAC!$B$3:$B$400,"&lt;"&amp;EDATE(C$3,1))</f>
        <v>R$ 0.00</v>
      </c>
      <c r="D16" s="17" t="str">
        <f>SUMIFS(SAC!$Q$3:$Q$400,SAC!$B$3:$B$400,"&gt;="&amp;D$3,SAC!$B$3:$B$400,"&lt;"&amp;EDATE(D$3,1))</f>
        <v>R$ 0.00</v>
      </c>
      <c r="E16" s="17" t="str">
        <f>SUMIFS(SAC!$Q$3:$Q$400,SAC!$B$3:$B$400,"&gt;="&amp;E$3,SAC!$B$3:$B$400,"&lt;"&amp;EDATE(E$3,1))</f>
        <v>R$ 0.00</v>
      </c>
      <c r="F16" s="17" t="str">
        <f>SUMIFS(SAC!$Q$3:$Q$400,SAC!$B$3:$B$400,"&gt;="&amp;F$3,SAC!$B$3:$B$400,"&lt;"&amp;EDATE(F$3,1))</f>
        <v>R$ 0.00</v>
      </c>
      <c r="G16" s="17" t="str">
        <f>SUMIFS(SAC!$Q$3:$Q$400,SAC!$B$3:$B$400,"&gt;="&amp;G$3,SAC!$B$3:$B$400,"&lt;"&amp;EDATE(G$3,1))</f>
        <v>R$ 0.00</v>
      </c>
    </row>
    <row r="18">
      <c r="A18" s="4" t="s">
        <v>70</v>
      </c>
    </row>
    <row r="20">
      <c r="A20" s="5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G1"/>
    <mergeCell ref="A18:G18"/>
    <mergeCell ref="A20:G20"/>
  </mergeCells>
  <conditionalFormatting sqref="B4:G4">
    <cfRule type="colorScale" priority="1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5:G5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6:G6">
    <cfRule type="colorScale" priority="3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7:G7">
    <cfRule type="colorScale" priority="4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8:G8">
    <cfRule type="colorScale" priority="5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9:G9">
    <cfRule type="colorScale" priority="6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0:G10">
    <cfRule type="colorScale" priority="7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1:G11">
    <cfRule type="colorScale" priority="8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2:G12">
    <cfRule type="colorScale" priority="9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3:G13">
    <cfRule type="colorScale" priority="10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4:G14">
    <cfRule type="colorScale" priority="11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5:G15">
    <cfRule type="colorScale" priority="12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6:G16">
    <cfRule type="colorScale" priority="13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2.0"/>
    <col customWidth="1" min="3" max="3" width="17.0"/>
    <col customWidth="1" min="4" max="4" width="30.0"/>
    <col customWidth="1" min="5" max="5" width="16.0"/>
    <col customWidth="1" min="6" max="6" width="20.0"/>
    <col customWidth="1" min="7" max="8" width="18.0"/>
    <col customWidth="1" min="9" max="9" width="26.0"/>
    <col customWidth="1" min="10" max="10" width="12.0"/>
    <col customWidth="1" min="11" max="11" width="15.0"/>
    <col customWidth="1" min="12" max="12" width="12.0"/>
    <col customWidth="1" min="13" max="13" width="16.0"/>
    <col customWidth="1" min="14" max="27" width="8.71"/>
  </cols>
  <sheetData>
    <row r="1">
      <c r="A1" s="1" t="s">
        <v>72</v>
      </c>
      <c r="O1" s="5" t="s">
        <v>73</v>
      </c>
    </row>
    <row r="2">
      <c r="O2" s="25" t="s">
        <v>74</v>
      </c>
      <c r="P2" s="26" t="str">
        <f>COUNTIF($A$5:$A$302,"&lt;&gt;")</f>
        <v>0</v>
      </c>
    </row>
    <row r="3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  <c r="G3" s="6" t="s">
        <v>81</v>
      </c>
      <c r="H3" s="6" t="s">
        <v>82</v>
      </c>
      <c r="I3" s="6" t="s">
        <v>83</v>
      </c>
      <c r="J3" s="6" t="s">
        <v>54</v>
      </c>
      <c r="K3" s="6" t="s">
        <v>84</v>
      </c>
      <c r="L3" s="6" t="s">
        <v>85</v>
      </c>
      <c r="M3" s="6" t="s">
        <v>7</v>
      </c>
      <c r="O3" s="25" t="s">
        <v>40</v>
      </c>
      <c r="P3" s="27" t="str">
        <f>SUMIF($A$5:$A$302,"&lt;&gt;",$J$5:$J$302)</f>
        <v>R$ 0.00</v>
      </c>
    </row>
    <row r="4">
      <c r="A4" s="28">
        <v>46270.0</v>
      </c>
      <c r="B4" s="29" t="s">
        <v>86</v>
      </c>
      <c r="C4" s="29" t="s">
        <v>87</v>
      </c>
      <c r="D4" s="29" t="s">
        <v>88</v>
      </c>
      <c r="E4" s="29" t="s">
        <v>44</v>
      </c>
      <c r="F4" s="29"/>
      <c r="G4" s="29" t="s">
        <v>89</v>
      </c>
      <c r="H4" s="29" t="s">
        <v>90</v>
      </c>
      <c r="I4" s="29" t="s">
        <v>91</v>
      </c>
      <c r="J4" s="30">
        <v>150.0</v>
      </c>
      <c r="K4" s="29" t="s">
        <v>92</v>
      </c>
      <c r="L4" s="29" t="s">
        <v>93</v>
      </c>
      <c r="M4" s="29" t="s">
        <v>94</v>
      </c>
      <c r="O4" s="25" t="s">
        <v>95</v>
      </c>
      <c r="P4" s="31" t="str">
        <f>IFERROR(COUNTIF($L$5:$L$302,"Sim")/COUNTIF($A$5:$A$302,"&lt;&gt;"),0)</f>
        <v>0.0%</v>
      </c>
    </row>
    <row r="5">
      <c r="A5" s="22"/>
      <c r="B5" s="7"/>
      <c r="C5" s="7"/>
      <c r="D5" s="7"/>
      <c r="E5" s="7"/>
      <c r="F5" s="7"/>
      <c r="G5" s="7"/>
      <c r="H5" s="7"/>
      <c r="I5" s="7"/>
      <c r="J5" s="17"/>
      <c r="K5" s="7"/>
      <c r="L5" s="7"/>
      <c r="M5" s="7"/>
      <c r="O5" s="25" t="s">
        <v>96</v>
      </c>
      <c r="P5" s="27" t="str">
        <f>IFERROR(SUMIF($A$5:$A$302,"&lt;&gt;",$J$5:$J$302)/COUNTIF($A$5:$A$302,"&lt;&gt;"),0)</f>
        <v>R$ 0.00</v>
      </c>
    </row>
    <row r="6">
      <c r="A6" s="22"/>
      <c r="B6" s="7"/>
      <c r="C6" s="7"/>
      <c r="D6" s="7"/>
      <c r="E6" s="7"/>
      <c r="F6" s="7"/>
      <c r="G6" s="7"/>
      <c r="H6" s="7"/>
      <c r="I6" s="7"/>
      <c r="J6" s="17"/>
      <c r="K6" s="7"/>
      <c r="L6" s="7"/>
      <c r="M6" s="7"/>
    </row>
    <row r="7">
      <c r="A7" s="22"/>
      <c r="B7" s="7"/>
      <c r="C7" s="7"/>
      <c r="D7" s="7"/>
      <c r="E7" s="7"/>
      <c r="F7" s="7"/>
      <c r="G7" s="7"/>
      <c r="H7" s="7"/>
      <c r="I7" s="7"/>
      <c r="J7" s="17"/>
      <c r="K7" s="7"/>
      <c r="L7" s="7"/>
      <c r="M7" s="7"/>
    </row>
    <row r="8">
      <c r="A8" s="22"/>
      <c r="B8" s="7"/>
      <c r="C8" s="7"/>
      <c r="D8" s="7"/>
      <c r="E8" s="7"/>
      <c r="F8" s="7"/>
      <c r="G8" s="7"/>
      <c r="H8" s="7"/>
      <c r="I8" s="7"/>
      <c r="J8" s="17"/>
      <c r="K8" s="7"/>
      <c r="L8" s="7"/>
      <c r="M8" s="7"/>
    </row>
    <row r="9">
      <c r="A9" s="22"/>
      <c r="B9" s="7"/>
      <c r="C9" s="7"/>
      <c r="D9" s="7"/>
      <c r="E9" s="7"/>
      <c r="F9" s="7"/>
      <c r="G9" s="7"/>
      <c r="H9" s="7"/>
      <c r="I9" s="7"/>
      <c r="J9" s="17"/>
      <c r="K9" s="7"/>
      <c r="L9" s="7"/>
      <c r="M9" s="7"/>
    </row>
    <row r="10">
      <c r="A10" s="22"/>
      <c r="B10" s="7"/>
      <c r="C10" s="7"/>
      <c r="D10" s="7"/>
      <c r="E10" s="7"/>
      <c r="F10" s="7"/>
      <c r="G10" s="7"/>
      <c r="H10" s="7"/>
      <c r="I10" s="7"/>
      <c r="J10" s="17"/>
      <c r="K10" s="7"/>
      <c r="L10" s="7"/>
      <c r="M10" s="7"/>
    </row>
    <row r="11">
      <c r="A11" s="22"/>
      <c r="B11" s="7"/>
      <c r="C11" s="7"/>
      <c r="D11" s="7"/>
      <c r="E11" s="7"/>
      <c r="F11" s="7"/>
      <c r="G11" s="7"/>
      <c r="H11" s="7"/>
      <c r="I11" s="7"/>
      <c r="J11" s="17"/>
      <c r="K11" s="7"/>
      <c r="L11" s="7"/>
      <c r="M11" s="7"/>
    </row>
    <row r="12">
      <c r="A12" s="22"/>
      <c r="B12" s="7"/>
      <c r="C12" s="7"/>
      <c r="D12" s="7"/>
      <c r="E12" s="7"/>
      <c r="F12" s="7"/>
      <c r="G12" s="7"/>
      <c r="H12" s="7"/>
      <c r="I12" s="7"/>
      <c r="J12" s="17"/>
      <c r="K12" s="7"/>
      <c r="L12" s="7"/>
      <c r="M12" s="7"/>
    </row>
    <row r="13">
      <c r="A13" s="22"/>
      <c r="B13" s="7"/>
      <c r="C13" s="7"/>
      <c r="D13" s="7"/>
      <c r="E13" s="7"/>
      <c r="F13" s="7"/>
      <c r="G13" s="7"/>
      <c r="H13" s="7"/>
      <c r="I13" s="7"/>
      <c r="J13" s="17"/>
      <c r="K13" s="7"/>
      <c r="L13" s="7"/>
      <c r="M13" s="7"/>
    </row>
    <row r="14">
      <c r="A14" s="22"/>
      <c r="B14" s="7"/>
      <c r="C14" s="7"/>
      <c r="D14" s="7"/>
      <c r="E14" s="7"/>
      <c r="F14" s="7"/>
      <c r="G14" s="7"/>
      <c r="H14" s="7"/>
      <c r="I14" s="7"/>
      <c r="J14" s="17"/>
      <c r="K14" s="7"/>
      <c r="L14" s="7"/>
      <c r="M14" s="7"/>
    </row>
    <row r="15">
      <c r="A15" s="22"/>
      <c r="B15" s="7"/>
      <c r="C15" s="7"/>
      <c r="D15" s="7"/>
      <c r="E15" s="7"/>
      <c r="F15" s="7"/>
      <c r="G15" s="7"/>
      <c r="H15" s="7"/>
      <c r="I15" s="7"/>
      <c r="J15" s="17"/>
      <c r="K15" s="7"/>
      <c r="L15" s="7"/>
      <c r="M15" s="7"/>
    </row>
    <row r="16">
      <c r="A16" s="22"/>
      <c r="B16" s="7"/>
      <c r="C16" s="7"/>
      <c r="D16" s="7"/>
      <c r="E16" s="7"/>
      <c r="F16" s="7"/>
      <c r="G16" s="7"/>
      <c r="H16" s="7"/>
      <c r="I16" s="7"/>
      <c r="J16" s="17"/>
      <c r="K16" s="7"/>
      <c r="L16" s="7"/>
      <c r="M16" s="7"/>
    </row>
    <row r="17">
      <c r="A17" s="22"/>
      <c r="B17" s="7"/>
      <c r="C17" s="7"/>
      <c r="D17" s="7"/>
      <c r="E17" s="7"/>
      <c r="F17" s="7"/>
      <c r="G17" s="7"/>
      <c r="H17" s="7"/>
      <c r="I17" s="7"/>
      <c r="J17" s="17"/>
      <c r="K17" s="7"/>
      <c r="L17" s="7"/>
      <c r="M17" s="7"/>
    </row>
    <row r="18">
      <c r="A18" s="22"/>
      <c r="B18" s="7"/>
      <c r="C18" s="7"/>
      <c r="D18" s="7"/>
      <c r="E18" s="7"/>
      <c r="F18" s="7"/>
      <c r="G18" s="7"/>
      <c r="H18" s="7"/>
      <c r="I18" s="7"/>
      <c r="J18" s="17"/>
      <c r="K18" s="7"/>
      <c r="L18" s="7"/>
      <c r="M18" s="7"/>
    </row>
    <row r="19">
      <c r="A19" s="22"/>
      <c r="B19" s="7"/>
      <c r="C19" s="7"/>
      <c r="D19" s="7"/>
      <c r="E19" s="7"/>
      <c r="F19" s="7"/>
      <c r="G19" s="7"/>
      <c r="H19" s="7"/>
      <c r="I19" s="7"/>
      <c r="J19" s="17"/>
      <c r="K19" s="7"/>
      <c r="L19" s="7"/>
      <c r="M19" s="7"/>
    </row>
    <row r="20">
      <c r="A20" s="22"/>
      <c r="B20" s="7"/>
      <c r="C20" s="7"/>
      <c r="D20" s="7"/>
      <c r="E20" s="7"/>
      <c r="F20" s="7"/>
      <c r="G20" s="7"/>
      <c r="H20" s="7"/>
      <c r="I20" s="7"/>
      <c r="J20" s="17"/>
      <c r="K20" s="7"/>
      <c r="L20" s="7"/>
      <c r="M20" s="7"/>
    </row>
    <row r="21" ht="15.75" customHeight="1">
      <c r="A21" s="22"/>
      <c r="B21" s="7"/>
      <c r="C21" s="7"/>
      <c r="D21" s="7"/>
      <c r="E21" s="7"/>
      <c r="F21" s="7"/>
      <c r="G21" s="7"/>
      <c r="H21" s="7"/>
      <c r="I21" s="7"/>
      <c r="J21" s="17"/>
      <c r="K21" s="7"/>
      <c r="L21" s="7"/>
      <c r="M21" s="7"/>
    </row>
    <row r="22" ht="15.75" customHeight="1">
      <c r="A22" s="22"/>
      <c r="B22" s="7"/>
      <c r="C22" s="7"/>
      <c r="D22" s="7"/>
      <c r="E22" s="7"/>
      <c r="F22" s="7"/>
      <c r="G22" s="7"/>
      <c r="H22" s="7"/>
      <c r="I22" s="7"/>
      <c r="J22" s="17"/>
      <c r="K22" s="7"/>
      <c r="L22" s="7"/>
      <c r="M22" s="7"/>
    </row>
    <row r="23" ht="15.75" customHeight="1">
      <c r="A23" s="22"/>
      <c r="B23" s="7"/>
      <c r="C23" s="7"/>
      <c r="D23" s="7"/>
      <c r="E23" s="7"/>
      <c r="F23" s="7"/>
      <c r="G23" s="7"/>
      <c r="H23" s="7"/>
      <c r="I23" s="7"/>
      <c r="J23" s="17"/>
      <c r="K23" s="7"/>
      <c r="L23" s="7"/>
      <c r="M23" s="7"/>
    </row>
    <row r="24" ht="15.75" customHeight="1">
      <c r="A24" s="22"/>
      <c r="B24" s="7"/>
      <c r="C24" s="7"/>
      <c r="D24" s="7"/>
      <c r="E24" s="7"/>
      <c r="F24" s="7"/>
      <c r="G24" s="7"/>
      <c r="H24" s="7"/>
      <c r="I24" s="7"/>
      <c r="J24" s="17"/>
      <c r="K24" s="7"/>
      <c r="L24" s="7"/>
      <c r="M24" s="7"/>
    </row>
    <row r="25" ht="15.75" customHeight="1">
      <c r="A25" s="22"/>
      <c r="B25" s="7"/>
      <c r="C25" s="7"/>
      <c r="D25" s="7"/>
      <c r="E25" s="7"/>
      <c r="F25" s="7"/>
      <c r="G25" s="7"/>
      <c r="H25" s="7"/>
      <c r="I25" s="7"/>
      <c r="J25" s="17"/>
      <c r="K25" s="7"/>
      <c r="L25" s="7"/>
      <c r="M25" s="7"/>
    </row>
    <row r="26" ht="15.75" customHeight="1">
      <c r="A26" s="22"/>
      <c r="B26" s="7"/>
      <c r="C26" s="7"/>
      <c r="D26" s="7"/>
      <c r="E26" s="7"/>
      <c r="F26" s="7"/>
      <c r="G26" s="7"/>
      <c r="H26" s="7"/>
      <c r="I26" s="7"/>
      <c r="J26" s="17"/>
      <c r="K26" s="7"/>
      <c r="L26" s="7"/>
      <c r="M26" s="7"/>
    </row>
    <row r="27" ht="15.75" customHeight="1">
      <c r="A27" s="22"/>
      <c r="B27" s="7"/>
      <c r="C27" s="7"/>
      <c r="D27" s="7"/>
      <c r="E27" s="7"/>
      <c r="F27" s="7"/>
      <c r="G27" s="7"/>
      <c r="H27" s="7"/>
      <c r="I27" s="7"/>
      <c r="J27" s="17"/>
      <c r="K27" s="7"/>
      <c r="L27" s="7"/>
      <c r="M27" s="7"/>
    </row>
    <row r="28" ht="15.75" customHeight="1">
      <c r="A28" s="22"/>
      <c r="B28" s="7"/>
      <c r="C28" s="7"/>
      <c r="D28" s="7"/>
      <c r="E28" s="7"/>
      <c r="F28" s="7"/>
      <c r="G28" s="7"/>
      <c r="H28" s="7"/>
      <c r="I28" s="7"/>
      <c r="J28" s="17"/>
      <c r="K28" s="7"/>
      <c r="L28" s="7"/>
      <c r="M28" s="7"/>
    </row>
    <row r="29" ht="15.75" customHeight="1">
      <c r="A29" s="22"/>
      <c r="B29" s="7"/>
      <c r="C29" s="7"/>
      <c r="D29" s="7"/>
      <c r="E29" s="7"/>
      <c r="F29" s="7"/>
      <c r="G29" s="7"/>
      <c r="H29" s="7"/>
      <c r="I29" s="7"/>
      <c r="J29" s="17"/>
      <c r="K29" s="7"/>
      <c r="L29" s="7"/>
      <c r="M29" s="7"/>
    </row>
    <row r="30" ht="15.75" customHeight="1">
      <c r="A30" s="22"/>
      <c r="B30" s="7"/>
      <c r="C30" s="7"/>
      <c r="D30" s="7"/>
      <c r="E30" s="7"/>
      <c r="F30" s="7"/>
      <c r="G30" s="7"/>
      <c r="H30" s="7"/>
      <c r="I30" s="7"/>
      <c r="J30" s="17"/>
      <c r="K30" s="7"/>
      <c r="L30" s="7"/>
      <c r="M30" s="7"/>
    </row>
    <row r="31" ht="15.75" customHeight="1">
      <c r="A31" s="22"/>
      <c r="B31" s="7"/>
      <c r="C31" s="7"/>
      <c r="D31" s="7"/>
      <c r="E31" s="7"/>
      <c r="F31" s="7"/>
      <c r="G31" s="7"/>
      <c r="H31" s="7"/>
      <c r="I31" s="7"/>
      <c r="J31" s="17"/>
      <c r="K31" s="7"/>
      <c r="L31" s="7"/>
      <c r="M31" s="7"/>
    </row>
    <row r="32" ht="15.75" customHeight="1">
      <c r="A32" s="22"/>
      <c r="B32" s="7"/>
      <c r="C32" s="7"/>
      <c r="D32" s="7"/>
      <c r="E32" s="7"/>
      <c r="F32" s="7"/>
      <c r="G32" s="7"/>
      <c r="H32" s="7"/>
      <c r="I32" s="7"/>
      <c r="J32" s="17"/>
      <c r="K32" s="7"/>
      <c r="L32" s="7"/>
      <c r="M32" s="7"/>
    </row>
    <row r="33" ht="15.75" customHeight="1">
      <c r="A33" s="22"/>
      <c r="B33" s="7"/>
      <c r="C33" s="7"/>
      <c r="D33" s="7"/>
      <c r="E33" s="7"/>
      <c r="F33" s="7"/>
      <c r="G33" s="7"/>
      <c r="H33" s="7"/>
      <c r="I33" s="7"/>
      <c r="J33" s="17"/>
      <c r="K33" s="7"/>
      <c r="L33" s="7"/>
      <c r="M33" s="7"/>
    </row>
    <row r="34" ht="15.75" customHeight="1">
      <c r="A34" s="22"/>
      <c r="B34" s="7"/>
      <c r="C34" s="7"/>
      <c r="D34" s="7"/>
      <c r="E34" s="7"/>
      <c r="F34" s="7"/>
      <c r="G34" s="7"/>
      <c r="H34" s="7"/>
      <c r="I34" s="7"/>
      <c r="J34" s="17"/>
      <c r="K34" s="7"/>
      <c r="L34" s="7"/>
      <c r="M34" s="7"/>
    </row>
    <row r="35" ht="15.75" customHeight="1">
      <c r="A35" s="22"/>
      <c r="B35" s="7"/>
      <c r="C35" s="7"/>
      <c r="D35" s="7"/>
      <c r="E35" s="7"/>
      <c r="F35" s="7"/>
      <c r="G35" s="7"/>
      <c r="H35" s="7"/>
      <c r="I35" s="7"/>
      <c r="J35" s="17"/>
      <c r="K35" s="7"/>
      <c r="L35" s="7"/>
      <c r="M35" s="7"/>
    </row>
    <row r="36" ht="15.75" customHeight="1">
      <c r="A36" s="22"/>
      <c r="B36" s="7"/>
      <c r="C36" s="7"/>
      <c r="D36" s="7"/>
      <c r="E36" s="7"/>
      <c r="F36" s="7"/>
      <c r="G36" s="7"/>
      <c r="H36" s="7"/>
      <c r="I36" s="7"/>
      <c r="J36" s="17"/>
      <c r="K36" s="7"/>
      <c r="L36" s="7"/>
      <c r="M36" s="7"/>
    </row>
    <row r="37" ht="15.75" customHeight="1">
      <c r="A37" s="22"/>
      <c r="B37" s="7"/>
      <c r="C37" s="7"/>
      <c r="D37" s="7"/>
      <c r="E37" s="7"/>
      <c r="F37" s="7"/>
      <c r="G37" s="7"/>
      <c r="H37" s="7"/>
      <c r="I37" s="7"/>
      <c r="J37" s="17"/>
      <c r="K37" s="7"/>
      <c r="L37" s="7"/>
      <c r="M37" s="7"/>
    </row>
    <row r="38" ht="15.75" customHeight="1">
      <c r="A38" s="22"/>
      <c r="B38" s="7"/>
      <c r="C38" s="7"/>
      <c r="D38" s="7"/>
      <c r="E38" s="7"/>
      <c r="F38" s="7"/>
      <c r="G38" s="7"/>
      <c r="H38" s="7"/>
      <c r="I38" s="7"/>
      <c r="J38" s="17"/>
      <c r="K38" s="7"/>
      <c r="L38" s="7"/>
      <c r="M38" s="7"/>
    </row>
    <row r="39" ht="15.75" customHeight="1">
      <c r="A39" s="22"/>
      <c r="B39" s="7"/>
      <c r="C39" s="7"/>
      <c r="D39" s="7"/>
      <c r="E39" s="7"/>
      <c r="F39" s="7"/>
      <c r="G39" s="7"/>
      <c r="H39" s="7"/>
      <c r="I39" s="7"/>
      <c r="J39" s="17"/>
      <c r="K39" s="7"/>
      <c r="L39" s="7"/>
      <c r="M39" s="7"/>
    </row>
    <row r="40" ht="15.75" customHeight="1">
      <c r="A40" s="22"/>
      <c r="B40" s="7"/>
      <c r="C40" s="7"/>
      <c r="D40" s="7"/>
      <c r="E40" s="7"/>
      <c r="F40" s="7"/>
      <c r="G40" s="7"/>
      <c r="H40" s="7"/>
      <c r="I40" s="7"/>
      <c r="J40" s="17"/>
      <c r="K40" s="7"/>
      <c r="L40" s="7"/>
      <c r="M40" s="7"/>
    </row>
    <row r="41" ht="15.75" customHeight="1">
      <c r="A41" s="22"/>
      <c r="B41" s="7"/>
      <c r="C41" s="7"/>
      <c r="D41" s="7"/>
      <c r="E41" s="7"/>
      <c r="F41" s="7"/>
      <c r="G41" s="7"/>
      <c r="H41" s="7"/>
      <c r="I41" s="7"/>
      <c r="J41" s="17"/>
      <c r="K41" s="7"/>
      <c r="L41" s="7"/>
      <c r="M41" s="7"/>
    </row>
    <row r="42" ht="15.75" customHeight="1">
      <c r="A42" s="22"/>
      <c r="B42" s="7"/>
      <c r="C42" s="7"/>
      <c r="D42" s="7"/>
      <c r="E42" s="7"/>
      <c r="F42" s="7"/>
      <c r="G42" s="7"/>
      <c r="H42" s="7"/>
      <c r="I42" s="7"/>
      <c r="J42" s="17"/>
      <c r="K42" s="7"/>
      <c r="L42" s="7"/>
      <c r="M42" s="7"/>
    </row>
    <row r="43" ht="15.75" customHeight="1">
      <c r="A43" s="22"/>
      <c r="B43" s="7"/>
      <c r="C43" s="7"/>
      <c r="D43" s="7"/>
      <c r="E43" s="7"/>
      <c r="F43" s="7"/>
      <c r="G43" s="7"/>
      <c r="H43" s="7"/>
      <c r="I43" s="7"/>
      <c r="J43" s="17"/>
      <c r="K43" s="7"/>
      <c r="L43" s="7"/>
      <c r="M43" s="7"/>
    </row>
    <row r="44" ht="15.75" customHeight="1">
      <c r="A44" s="22"/>
      <c r="B44" s="7"/>
      <c r="C44" s="7"/>
      <c r="D44" s="7"/>
      <c r="E44" s="7"/>
      <c r="F44" s="7"/>
      <c r="G44" s="7"/>
      <c r="H44" s="7"/>
      <c r="I44" s="7"/>
      <c r="J44" s="17"/>
      <c r="K44" s="7"/>
      <c r="L44" s="7"/>
      <c r="M44" s="7"/>
    </row>
    <row r="45" ht="15.75" customHeight="1">
      <c r="A45" s="22"/>
      <c r="B45" s="7"/>
      <c r="C45" s="7"/>
      <c r="D45" s="7"/>
      <c r="E45" s="7"/>
      <c r="F45" s="7"/>
      <c r="G45" s="7"/>
      <c r="H45" s="7"/>
      <c r="I45" s="7"/>
      <c r="J45" s="17"/>
      <c r="K45" s="7"/>
      <c r="L45" s="7"/>
      <c r="M45" s="7"/>
    </row>
    <row r="46" ht="15.75" customHeight="1">
      <c r="A46" s="22"/>
      <c r="B46" s="7"/>
      <c r="C46" s="7"/>
      <c r="D46" s="7"/>
      <c r="E46" s="7"/>
      <c r="F46" s="7"/>
      <c r="G46" s="7"/>
      <c r="H46" s="7"/>
      <c r="I46" s="7"/>
      <c r="J46" s="17"/>
      <c r="K46" s="7"/>
      <c r="L46" s="7"/>
      <c r="M46" s="7"/>
    </row>
    <row r="47" ht="15.75" customHeight="1">
      <c r="A47" s="22"/>
      <c r="B47" s="7"/>
      <c r="C47" s="7"/>
      <c r="D47" s="7"/>
      <c r="E47" s="7"/>
      <c r="F47" s="7"/>
      <c r="G47" s="7"/>
      <c r="H47" s="7"/>
      <c r="I47" s="7"/>
      <c r="J47" s="17"/>
      <c r="K47" s="7"/>
      <c r="L47" s="7"/>
      <c r="M47" s="7"/>
    </row>
    <row r="48" ht="15.75" customHeight="1">
      <c r="A48" s="22"/>
      <c r="B48" s="7"/>
      <c r="C48" s="7"/>
      <c r="D48" s="7"/>
      <c r="E48" s="7"/>
      <c r="F48" s="7"/>
      <c r="G48" s="7"/>
      <c r="H48" s="7"/>
      <c r="I48" s="7"/>
      <c r="J48" s="17"/>
      <c r="K48" s="7"/>
      <c r="L48" s="7"/>
      <c r="M48" s="7"/>
    </row>
    <row r="49" ht="15.75" customHeight="1">
      <c r="A49" s="22"/>
      <c r="B49" s="7"/>
      <c r="C49" s="7"/>
      <c r="D49" s="7"/>
      <c r="E49" s="7"/>
      <c r="F49" s="7"/>
      <c r="G49" s="7"/>
      <c r="H49" s="7"/>
      <c r="I49" s="7"/>
      <c r="J49" s="17"/>
      <c r="K49" s="7"/>
      <c r="L49" s="7"/>
      <c r="M49" s="7"/>
    </row>
    <row r="50" ht="15.75" customHeight="1">
      <c r="A50" s="22"/>
      <c r="B50" s="7"/>
      <c r="C50" s="7"/>
      <c r="D50" s="7"/>
      <c r="E50" s="7"/>
      <c r="F50" s="7"/>
      <c r="G50" s="7"/>
      <c r="H50" s="7"/>
      <c r="I50" s="7"/>
      <c r="J50" s="17"/>
      <c r="K50" s="7"/>
      <c r="L50" s="7"/>
      <c r="M50" s="7"/>
    </row>
    <row r="51" ht="15.75" customHeight="1">
      <c r="A51" s="22"/>
      <c r="B51" s="7"/>
      <c r="C51" s="7"/>
      <c r="D51" s="7"/>
      <c r="E51" s="7"/>
      <c r="F51" s="7"/>
      <c r="G51" s="7"/>
      <c r="H51" s="7"/>
      <c r="I51" s="7"/>
      <c r="J51" s="17"/>
      <c r="K51" s="7"/>
      <c r="L51" s="7"/>
      <c r="M51" s="7"/>
    </row>
    <row r="52" ht="15.75" customHeight="1">
      <c r="A52" s="22"/>
      <c r="B52" s="7"/>
      <c r="C52" s="7"/>
      <c r="D52" s="7"/>
      <c r="E52" s="7"/>
      <c r="F52" s="7"/>
      <c r="G52" s="7"/>
      <c r="H52" s="7"/>
      <c r="I52" s="7"/>
      <c r="J52" s="17"/>
      <c r="K52" s="7"/>
      <c r="L52" s="7"/>
      <c r="M52" s="7"/>
    </row>
    <row r="53" ht="15.75" customHeight="1">
      <c r="A53" s="22"/>
      <c r="B53" s="7"/>
      <c r="C53" s="7"/>
      <c r="D53" s="7"/>
      <c r="E53" s="7"/>
      <c r="F53" s="7"/>
      <c r="G53" s="7"/>
      <c r="H53" s="7"/>
      <c r="I53" s="7"/>
      <c r="J53" s="17"/>
      <c r="K53" s="7"/>
      <c r="L53" s="7"/>
      <c r="M53" s="7"/>
    </row>
    <row r="54" ht="15.75" customHeight="1">
      <c r="A54" s="22"/>
      <c r="B54" s="7"/>
      <c r="C54" s="7"/>
      <c r="D54" s="7"/>
      <c r="E54" s="7"/>
      <c r="F54" s="7"/>
      <c r="G54" s="7"/>
      <c r="H54" s="7"/>
      <c r="I54" s="7"/>
      <c r="J54" s="17"/>
      <c r="K54" s="7"/>
      <c r="L54" s="7"/>
      <c r="M54" s="7"/>
    </row>
    <row r="55" ht="15.75" customHeight="1">
      <c r="A55" s="22"/>
      <c r="B55" s="7"/>
      <c r="C55" s="7"/>
      <c r="D55" s="7"/>
      <c r="E55" s="7"/>
      <c r="F55" s="7"/>
      <c r="G55" s="7"/>
      <c r="H55" s="7"/>
      <c r="I55" s="7"/>
      <c r="J55" s="17"/>
      <c r="K55" s="7"/>
      <c r="L55" s="7"/>
      <c r="M55" s="7"/>
    </row>
    <row r="56" ht="15.75" customHeight="1">
      <c r="A56" s="22"/>
      <c r="B56" s="7"/>
      <c r="C56" s="7"/>
      <c r="D56" s="7"/>
      <c r="E56" s="7"/>
      <c r="F56" s="7"/>
      <c r="G56" s="7"/>
      <c r="H56" s="7"/>
      <c r="I56" s="7"/>
      <c r="J56" s="17"/>
      <c r="K56" s="7"/>
      <c r="L56" s="7"/>
      <c r="M56" s="7"/>
    </row>
    <row r="57" ht="15.75" customHeight="1">
      <c r="A57" s="22"/>
      <c r="B57" s="7"/>
      <c r="C57" s="7"/>
      <c r="D57" s="7"/>
      <c r="E57" s="7"/>
      <c r="F57" s="7"/>
      <c r="G57" s="7"/>
      <c r="H57" s="7"/>
      <c r="I57" s="7"/>
      <c r="J57" s="17"/>
      <c r="K57" s="7"/>
      <c r="L57" s="7"/>
      <c r="M57" s="7"/>
    </row>
    <row r="58" ht="15.75" customHeight="1">
      <c r="A58" s="22"/>
      <c r="B58" s="7"/>
      <c r="C58" s="7"/>
      <c r="D58" s="7"/>
      <c r="E58" s="7"/>
      <c r="F58" s="7"/>
      <c r="G58" s="7"/>
      <c r="H58" s="7"/>
      <c r="I58" s="7"/>
      <c r="J58" s="17"/>
      <c r="K58" s="7"/>
      <c r="L58" s="7"/>
      <c r="M58" s="7"/>
    </row>
    <row r="59" ht="15.75" customHeight="1">
      <c r="A59" s="22"/>
      <c r="B59" s="7"/>
      <c r="C59" s="7"/>
      <c r="D59" s="7"/>
      <c r="E59" s="7"/>
      <c r="F59" s="7"/>
      <c r="G59" s="7"/>
      <c r="H59" s="7"/>
      <c r="I59" s="7"/>
      <c r="J59" s="17"/>
      <c r="K59" s="7"/>
      <c r="L59" s="7"/>
      <c r="M59" s="7"/>
    </row>
    <row r="60" ht="15.75" customHeight="1">
      <c r="A60" s="22"/>
      <c r="B60" s="7"/>
      <c r="C60" s="7"/>
      <c r="D60" s="7"/>
      <c r="E60" s="7"/>
      <c r="F60" s="7"/>
      <c r="G60" s="7"/>
      <c r="H60" s="7"/>
      <c r="I60" s="7"/>
      <c r="J60" s="17"/>
      <c r="K60" s="7"/>
      <c r="L60" s="7"/>
      <c r="M60" s="7"/>
    </row>
    <row r="61" ht="15.75" customHeight="1">
      <c r="A61" s="22"/>
      <c r="B61" s="7"/>
      <c r="C61" s="7"/>
      <c r="D61" s="7"/>
      <c r="E61" s="7"/>
      <c r="F61" s="7"/>
      <c r="G61" s="7"/>
      <c r="H61" s="7"/>
      <c r="I61" s="7"/>
      <c r="J61" s="17"/>
      <c r="K61" s="7"/>
      <c r="L61" s="7"/>
      <c r="M61" s="7"/>
    </row>
    <row r="62" ht="15.75" customHeight="1">
      <c r="A62" s="22"/>
      <c r="B62" s="7"/>
      <c r="C62" s="7"/>
      <c r="D62" s="7"/>
      <c r="E62" s="7"/>
      <c r="F62" s="7"/>
      <c r="G62" s="7"/>
      <c r="H62" s="7"/>
      <c r="I62" s="7"/>
      <c r="J62" s="17"/>
      <c r="K62" s="7"/>
      <c r="L62" s="7"/>
      <c r="M62" s="7"/>
    </row>
    <row r="63" ht="15.75" customHeight="1">
      <c r="A63" s="22"/>
      <c r="B63" s="7"/>
      <c r="C63" s="7"/>
      <c r="D63" s="7"/>
      <c r="E63" s="7"/>
      <c r="F63" s="7"/>
      <c r="G63" s="7"/>
      <c r="H63" s="7"/>
      <c r="I63" s="7"/>
      <c r="J63" s="17"/>
      <c r="K63" s="7"/>
      <c r="L63" s="7"/>
      <c r="M63" s="7"/>
    </row>
    <row r="64" ht="15.75" customHeight="1">
      <c r="A64" s="22"/>
      <c r="B64" s="7"/>
      <c r="C64" s="7"/>
      <c r="D64" s="7"/>
      <c r="E64" s="7"/>
      <c r="F64" s="7"/>
      <c r="G64" s="7"/>
      <c r="H64" s="7"/>
      <c r="I64" s="7"/>
      <c r="J64" s="17"/>
      <c r="K64" s="7"/>
      <c r="L64" s="7"/>
      <c r="M64" s="7"/>
    </row>
    <row r="65" ht="15.75" customHeight="1">
      <c r="A65" s="22"/>
      <c r="B65" s="7"/>
      <c r="C65" s="7"/>
      <c r="D65" s="7"/>
      <c r="E65" s="7"/>
      <c r="F65" s="7"/>
      <c r="G65" s="7"/>
      <c r="H65" s="7"/>
      <c r="I65" s="7"/>
      <c r="J65" s="17"/>
      <c r="K65" s="7"/>
      <c r="L65" s="7"/>
      <c r="M65" s="7"/>
    </row>
    <row r="66" ht="15.75" customHeight="1">
      <c r="A66" s="22"/>
      <c r="B66" s="7"/>
      <c r="C66" s="7"/>
      <c r="D66" s="7"/>
      <c r="E66" s="7"/>
      <c r="F66" s="7"/>
      <c r="G66" s="7"/>
      <c r="H66" s="7"/>
      <c r="I66" s="7"/>
      <c r="J66" s="17"/>
      <c r="K66" s="7"/>
      <c r="L66" s="7"/>
      <c r="M66" s="7"/>
    </row>
    <row r="67" ht="15.75" customHeight="1">
      <c r="A67" s="22"/>
      <c r="B67" s="7"/>
      <c r="C67" s="7"/>
      <c r="D67" s="7"/>
      <c r="E67" s="7"/>
      <c r="F67" s="7"/>
      <c r="G67" s="7"/>
      <c r="H67" s="7"/>
      <c r="I67" s="7"/>
      <c r="J67" s="17"/>
      <c r="K67" s="7"/>
      <c r="L67" s="7"/>
      <c r="M67" s="7"/>
    </row>
    <row r="68" ht="15.75" customHeight="1">
      <c r="A68" s="22"/>
      <c r="B68" s="7"/>
      <c r="C68" s="7"/>
      <c r="D68" s="7"/>
      <c r="E68" s="7"/>
      <c r="F68" s="7"/>
      <c r="G68" s="7"/>
      <c r="H68" s="7"/>
      <c r="I68" s="7"/>
      <c r="J68" s="17"/>
      <c r="K68" s="7"/>
      <c r="L68" s="7"/>
      <c r="M68" s="7"/>
    </row>
    <row r="69" ht="15.75" customHeight="1">
      <c r="A69" s="22"/>
      <c r="B69" s="7"/>
      <c r="C69" s="7"/>
      <c r="D69" s="7"/>
      <c r="E69" s="7"/>
      <c r="F69" s="7"/>
      <c r="G69" s="7"/>
      <c r="H69" s="7"/>
      <c r="I69" s="7"/>
      <c r="J69" s="17"/>
      <c r="K69" s="7"/>
      <c r="L69" s="7"/>
      <c r="M69" s="7"/>
    </row>
    <row r="70" ht="15.75" customHeight="1">
      <c r="A70" s="22"/>
      <c r="B70" s="7"/>
      <c r="C70" s="7"/>
      <c r="D70" s="7"/>
      <c r="E70" s="7"/>
      <c r="F70" s="7"/>
      <c r="G70" s="7"/>
      <c r="H70" s="7"/>
      <c r="I70" s="7"/>
      <c r="J70" s="17"/>
      <c r="K70" s="7"/>
      <c r="L70" s="7"/>
      <c r="M70" s="7"/>
    </row>
    <row r="71" ht="15.75" customHeight="1">
      <c r="A71" s="22"/>
      <c r="B71" s="7"/>
      <c r="C71" s="7"/>
      <c r="D71" s="7"/>
      <c r="E71" s="7"/>
      <c r="F71" s="7"/>
      <c r="G71" s="7"/>
      <c r="H71" s="7"/>
      <c r="I71" s="7"/>
      <c r="J71" s="17"/>
      <c r="K71" s="7"/>
      <c r="L71" s="7"/>
      <c r="M71" s="7"/>
    </row>
    <row r="72" ht="15.75" customHeight="1">
      <c r="A72" s="22"/>
      <c r="B72" s="7"/>
      <c r="C72" s="7"/>
      <c r="D72" s="7"/>
      <c r="E72" s="7"/>
      <c r="F72" s="7"/>
      <c r="G72" s="7"/>
      <c r="H72" s="7"/>
      <c r="I72" s="7"/>
      <c r="J72" s="17"/>
      <c r="K72" s="7"/>
      <c r="L72" s="7"/>
      <c r="M72" s="7"/>
    </row>
    <row r="73" ht="15.75" customHeight="1">
      <c r="A73" s="22"/>
      <c r="B73" s="7"/>
      <c r="C73" s="7"/>
      <c r="D73" s="7"/>
      <c r="E73" s="7"/>
      <c r="F73" s="7"/>
      <c r="G73" s="7"/>
      <c r="H73" s="7"/>
      <c r="I73" s="7"/>
      <c r="J73" s="17"/>
      <c r="K73" s="7"/>
      <c r="L73" s="7"/>
      <c r="M73" s="7"/>
    </row>
    <row r="74" ht="15.75" customHeight="1">
      <c r="A74" s="22"/>
      <c r="B74" s="7"/>
      <c r="C74" s="7"/>
      <c r="D74" s="7"/>
      <c r="E74" s="7"/>
      <c r="F74" s="7"/>
      <c r="G74" s="7"/>
      <c r="H74" s="7"/>
      <c r="I74" s="7"/>
      <c r="J74" s="17"/>
      <c r="K74" s="7"/>
      <c r="L74" s="7"/>
      <c r="M74" s="7"/>
    </row>
    <row r="75" ht="15.75" customHeight="1">
      <c r="A75" s="22"/>
      <c r="B75" s="7"/>
      <c r="C75" s="7"/>
      <c r="D75" s="7"/>
      <c r="E75" s="7"/>
      <c r="F75" s="7"/>
      <c r="G75" s="7"/>
      <c r="H75" s="7"/>
      <c r="I75" s="7"/>
      <c r="J75" s="17"/>
      <c r="K75" s="7"/>
      <c r="L75" s="7"/>
      <c r="M75" s="7"/>
    </row>
    <row r="76" ht="15.75" customHeight="1">
      <c r="A76" s="22"/>
      <c r="B76" s="7"/>
      <c r="C76" s="7"/>
      <c r="D76" s="7"/>
      <c r="E76" s="7"/>
      <c r="F76" s="7"/>
      <c r="G76" s="7"/>
      <c r="H76" s="7"/>
      <c r="I76" s="7"/>
      <c r="J76" s="17"/>
      <c r="K76" s="7"/>
      <c r="L76" s="7"/>
      <c r="M76" s="7"/>
    </row>
    <row r="77" ht="15.75" customHeight="1">
      <c r="A77" s="22"/>
      <c r="B77" s="7"/>
      <c r="C77" s="7"/>
      <c r="D77" s="7"/>
      <c r="E77" s="7"/>
      <c r="F77" s="7"/>
      <c r="G77" s="7"/>
      <c r="H77" s="7"/>
      <c r="I77" s="7"/>
      <c r="J77" s="17"/>
      <c r="K77" s="7"/>
      <c r="L77" s="7"/>
      <c r="M77" s="7"/>
    </row>
    <row r="78" ht="15.75" customHeight="1">
      <c r="A78" s="22"/>
      <c r="B78" s="7"/>
      <c r="C78" s="7"/>
      <c r="D78" s="7"/>
      <c r="E78" s="7"/>
      <c r="F78" s="7"/>
      <c r="G78" s="7"/>
      <c r="H78" s="7"/>
      <c r="I78" s="7"/>
      <c r="J78" s="17"/>
      <c r="K78" s="7"/>
      <c r="L78" s="7"/>
      <c r="M78" s="7"/>
    </row>
    <row r="79" ht="15.75" customHeight="1">
      <c r="A79" s="22"/>
      <c r="B79" s="7"/>
      <c r="C79" s="7"/>
      <c r="D79" s="7"/>
      <c r="E79" s="7"/>
      <c r="F79" s="7"/>
      <c r="G79" s="7"/>
      <c r="H79" s="7"/>
      <c r="I79" s="7"/>
      <c r="J79" s="17"/>
      <c r="K79" s="7"/>
      <c r="L79" s="7"/>
      <c r="M79" s="7"/>
    </row>
    <row r="80" ht="15.75" customHeight="1">
      <c r="A80" s="22"/>
      <c r="B80" s="7"/>
      <c r="C80" s="7"/>
      <c r="D80" s="7"/>
      <c r="E80" s="7"/>
      <c r="F80" s="7"/>
      <c r="G80" s="7"/>
      <c r="H80" s="7"/>
      <c r="I80" s="7"/>
      <c r="J80" s="17"/>
      <c r="K80" s="7"/>
      <c r="L80" s="7"/>
      <c r="M80" s="7"/>
    </row>
    <row r="81" ht="15.75" customHeight="1">
      <c r="A81" s="22"/>
      <c r="B81" s="7"/>
      <c r="C81" s="7"/>
      <c r="D81" s="7"/>
      <c r="E81" s="7"/>
      <c r="F81" s="7"/>
      <c r="G81" s="7"/>
      <c r="H81" s="7"/>
      <c r="I81" s="7"/>
      <c r="J81" s="17"/>
      <c r="K81" s="7"/>
      <c r="L81" s="7"/>
      <c r="M81" s="7"/>
    </row>
    <row r="82" ht="15.75" customHeight="1">
      <c r="A82" s="22"/>
      <c r="B82" s="7"/>
      <c r="C82" s="7"/>
      <c r="D82" s="7"/>
      <c r="E82" s="7"/>
      <c r="F82" s="7"/>
      <c r="G82" s="7"/>
      <c r="H82" s="7"/>
      <c r="I82" s="7"/>
      <c r="J82" s="17"/>
      <c r="K82" s="7"/>
      <c r="L82" s="7"/>
      <c r="M82" s="7"/>
    </row>
    <row r="83" ht="15.75" customHeight="1">
      <c r="A83" s="22"/>
      <c r="B83" s="7"/>
      <c r="C83" s="7"/>
      <c r="D83" s="7"/>
      <c r="E83" s="7"/>
      <c r="F83" s="7"/>
      <c r="G83" s="7"/>
      <c r="H83" s="7"/>
      <c r="I83" s="7"/>
      <c r="J83" s="17"/>
      <c r="K83" s="7"/>
      <c r="L83" s="7"/>
      <c r="M83" s="7"/>
    </row>
    <row r="84" ht="15.75" customHeight="1">
      <c r="A84" s="22"/>
      <c r="B84" s="7"/>
      <c r="C84" s="7"/>
      <c r="D84" s="7"/>
      <c r="E84" s="7"/>
      <c r="F84" s="7"/>
      <c r="G84" s="7"/>
      <c r="H84" s="7"/>
      <c r="I84" s="7"/>
      <c r="J84" s="17"/>
      <c r="K84" s="7"/>
      <c r="L84" s="7"/>
      <c r="M84" s="7"/>
    </row>
    <row r="85" ht="15.75" customHeight="1">
      <c r="A85" s="22"/>
      <c r="B85" s="7"/>
      <c r="C85" s="7"/>
      <c r="D85" s="7"/>
      <c r="E85" s="7"/>
      <c r="F85" s="7"/>
      <c r="G85" s="7"/>
      <c r="H85" s="7"/>
      <c r="I85" s="7"/>
      <c r="J85" s="17"/>
      <c r="K85" s="7"/>
      <c r="L85" s="7"/>
      <c r="M85" s="7"/>
    </row>
    <row r="86" ht="15.75" customHeight="1">
      <c r="A86" s="22"/>
      <c r="B86" s="7"/>
      <c r="C86" s="7"/>
      <c r="D86" s="7"/>
      <c r="E86" s="7"/>
      <c r="F86" s="7"/>
      <c r="G86" s="7"/>
      <c r="H86" s="7"/>
      <c r="I86" s="7"/>
      <c r="J86" s="17"/>
      <c r="K86" s="7"/>
      <c r="L86" s="7"/>
      <c r="M86" s="7"/>
    </row>
    <row r="87" ht="15.75" customHeight="1">
      <c r="A87" s="22"/>
      <c r="B87" s="7"/>
      <c r="C87" s="7"/>
      <c r="D87" s="7"/>
      <c r="E87" s="7"/>
      <c r="F87" s="7"/>
      <c r="G87" s="7"/>
      <c r="H87" s="7"/>
      <c r="I87" s="7"/>
      <c r="J87" s="17"/>
      <c r="K87" s="7"/>
      <c r="L87" s="7"/>
      <c r="M87" s="7"/>
    </row>
    <row r="88" ht="15.75" customHeight="1">
      <c r="A88" s="22"/>
      <c r="B88" s="7"/>
      <c r="C88" s="7"/>
      <c r="D88" s="7"/>
      <c r="E88" s="7"/>
      <c r="F88" s="7"/>
      <c r="G88" s="7"/>
      <c r="H88" s="7"/>
      <c r="I88" s="7"/>
      <c r="J88" s="17"/>
      <c r="K88" s="7"/>
      <c r="L88" s="7"/>
      <c r="M88" s="7"/>
    </row>
    <row r="89" ht="15.75" customHeight="1">
      <c r="A89" s="22"/>
      <c r="B89" s="7"/>
      <c r="C89" s="7"/>
      <c r="D89" s="7"/>
      <c r="E89" s="7"/>
      <c r="F89" s="7"/>
      <c r="G89" s="7"/>
      <c r="H89" s="7"/>
      <c r="I89" s="7"/>
      <c r="J89" s="17"/>
      <c r="K89" s="7"/>
      <c r="L89" s="7"/>
      <c r="M89" s="7"/>
    </row>
    <row r="90" ht="15.75" customHeight="1">
      <c r="A90" s="22"/>
      <c r="B90" s="7"/>
      <c r="C90" s="7"/>
      <c r="D90" s="7"/>
      <c r="E90" s="7"/>
      <c r="F90" s="7"/>
      <c r="G90" s="7"/>
      <c r="H90" s="7"/>
      <c r="I90" s="7"/>
      <c r="J90" s="17"/>
      <c r="K90" s="7"/>
      <c r="L90" s="7"/>
      <c r="M90" s="7"/>
    </row>
    <row r="91" ht="15.75" customHeight="1">
      <c r="A91" s="22"/>
      <c r="B91" s="7"/>
      <c r="C91" s="7"/>
      <c r="D91" s="7"/>
      <c r="E91" s="7"/>
      <c r="F91" s="7"/>
      <c r="G91" s="7"/>
      <c r="H91" s="7"/>
      <c r="I91" s="7"/>
      <c r="J91" s="17"/>
      <c r="K91" s="7"/>
      <c r="L91" s="7"/>
      <c r="M91" s="7"/>
    </row>
    <row r="92" ht="15.75" customHeight="1">
      <c r="A92" s="22"/>
      <c r="B92" s="7"/>
      <c r="C92" s="7"/>
      <c r="D92" s="7"/>
      <c r="E92" s="7"/>
      <c r="F92" s="7"/>
      <c r="G92" s="7"/>
      <c r="H92" s="7"/>
      <c r="I92" s="7"/>
      <c r="J92" s="17"/>
      <c r="K92" s="7"/>
      <c r="L92" s="7"/>
      <c r="M92" s="7"/>
    </row>
    <row r="93" ht="15.75" customHeight="1">
      <c r="A93" s="22"/>
      <c r="B93" s="7"/>
      <c r="C93" s="7"/>
      <c r="D93" s="7"/>
      <c r="E93" s="7"/>
      <c r="F93" s="7"/>
      <c r="G93" s="7"/>
      <c r="H93" s="7"/>
      <c r="I93" s="7"/>
      <c r="J93" s="17"/>
      <c r="K93" s="7"/>
      <c r="L93" s="7"/>
      <c r="M93" s="7"/>
    </row>
    <row r="94" ht="15.75" customHeight="1">
      <c r="A94" s="22"/>
      <c r="B94" s="7"/>
      <c r="C94" s="7"/>
      <c r="D94" s="7"/>
      <c r="E94" s="7"/>
      <c r="F94" s="7"/>
      <c r="G94" s="7"/>
      <c r="H94" s="7"/>
      <c r="I94" s="7"/>
      <c r="J94" s="17"/>
      <c r="K94" s="7"/>
      <c r="L94" s="7"/>
      <c r="M94" s="7"/>
    </row>
    <row r="95" ht="15.75" customHeight="1">
      <c r="A95" s="22"/>
      <c r="B95" s="7"/>
      <c r="C95" s="7"/>
      <c r="D95" s="7"/>
      <c r="E95" s="7"/>
      <c r="F95" s="7"/>
      <c r="G95" s="7"/>
      <c r="H95" s="7"/>
      <c r="I95" s="7"/>
      <c r="J95" s="17"/>
      <c r="K95" s="7"/>
      <c r="L95" s="7"/>
      <c r="M95" s="7"/>
    </row>
    <row r="96" ht="15.75" customHeight="1">
      <c r="A96" s="22"/>
      <c r="B96" s="7"/>
      <c r="C96" s="7"/>
      <c r="D96" s="7"/>
      <c r="E96" s="7"/>
      <c r="F96" s="7"/>
      <c r="G96" s="7"/>
      <c r="H96" s="7"/>
      <c r="I96" s="7"/>
      <c r="J96" s="17"/>
      <c r="K96" s="7"/>
      <c r="L96" s="7"/>
      <c r="M96" s="7"/>
    </row>
    <row r="97" ht="15.75" customHeight="1">
      <c r="A97" s="22"/>
      <c r="B97" s="7"/>
      <c r="C97" s="7"/>
      <c r="D97" s="7"/>
      <c r="E97" s="7"/>
      <c r="F97" s="7"/>
      <c r="G97" s="7"/>
      <c r="H97" s="7"/>
      <c r="I97" s="7"/>
      <c r="J97" s="17"/>
      <c r="K97" s="7"/>
      <c r="L97" s="7"/>
      <c r="M97" s="7"/>
    </row>
    <row r="98" ht="15.75" customHeight="1">
      <c r="A98" s="22"/>
      <c r="B98" s="7"/>
      <c r="C98" s="7"/>
      <c r="D98" s="7"/>
      <c r="E98" s="7"/>
      <c r="F98" s="7"/>
      <c r="G98" s="7"/>
      <c r="H98" s="7"/>
      <c r="I98" s="7"/>
      <c r="J98" s="17"/>
      <c r="K98" s="7"/>
      <c r="L98" s="7"/>
      <c r="M98" s="7"/>
    </row>
    <row r="99" ht="15.75" customHeight="1">
      <c r="A99" s="22"/>
      <c r="B99" s="7"/>
      <c r="C99" s="7"/>
      <c r="D99" s="7"/>
      <c r="E99" s="7"/>
      <c r="F99" s="7"/>
      <c r="G99" s="7"/>
      <c r="H99" s="7"/>
      <c r="I99" s="7"/>
      <c r="J99" s="17"/>
      <c r="K99" s="7"/>
      <c r="L99" s="7"/>
      <c r="M99" s="7"/>
    </row>
    <row r="100" ht="15.75" customHeight="1">
      <c r="A100" s="22"/>
      <c r="B100" s="7"/>
      <c r="C100" s="7"/>
      <c r="D100" s="7"/>
      <c r="E100" s="7"/>
      <c r="F100" s="7"/>
      <c r="G100" s="7"/>
      <c r="H100" s="7"/>
      <c r="I100" s="7"/>
      <c r="J100" s="17"/>
      <c r="K100" s="7"/>
      <c r="L100" s="7"/>
      <c r="M100" s="7"/>
    </row>
    <row r="101" ht="15.75" customHeight="1">
      <c r="A101" s="22"/>
      <c r="B101" s="7"/>
      <c r="C101" s="7"/>
      <c r="D101" s="7"/>
      <c r="E101" s="7"/>
      <c r="F101" s="7"/>
      <c r="G101" s="7"/>
      <c r="H101" s="7"/>
      <c r="I101" s="7"/>
      <c r="J101" s="17"/>
      <c r="K101" s="7"/>
      <c r="L101" s="7"/>
      <c r="M101" s="7"/>
    </row>
    <row r="102" ht="15.75" customHeight="1">
      <c r="A102" s="22"/>
      <c r="B102" s="7"/>
      <c r="C102" s="7"/>
      <c r="D102" s="7"/>
      <c r="E102" s="7"/>
      <c r="F102" s="7"/>
      <c r="G102" s="7"/>
      <c r="H102" s="7"/>
      <c r="I102" s="7"/>
      <c r="J102" s="17"/>
      <c r="K102" s="7"/>
      <c r="L102" s="7"/>
      <c r="M102" s="7"/>
    </row>
    <row r="103" ht="15.75" customHeight="1">
      <c r="A103" s="22"/>
      <c r="B103" s="7"/>
      <c r="C103" s="7"/>
      <c r="D103" s="7"/>
      <c r="E103" s="7"/>
      <c r="F103" s="7"/>
      <c r="G103" s="7"/>
      <c r="H103" s="7"/>
      <c r="I103" s="7"/>
      <c r="J103" s="17"/>
      <c r="K103" s="7"/>
      <c r="L103" s="7"/>
      <c r="M103" s="7"/>
    </row>
    <row r="104" ht="15.75" customHeight="1">
      <c r="A104" s="22"/>
      <c r="B104" s="7"/>
      <c r="C104" s="7"/>
      <c r="D104" s="7"/>
      <c r="E104" s="7"/>
      <c r="F104" s="7"/>
      <c r="G104" s="7"/>
      <c r="H104" s="7"/>
      <c r="I104" s="7"/>
      <c r="J104" s="17"/>
      <c r="K104" s="7"/>
      <c r="L104" s="7"/>
      <c r="M104" s="7"/>
    </row>
    <row r="105" ht="15.75" customHeight="1">
      <c r="A105" s="22"/>
      <c r="B105" s="7"/>
      <c r="C105" s="7"/>
      <c r="D105" s="7"/>
      <c r="E105" s="7"/>
      <c r="F105" s="7"/>
      <c r="G105" s="7"/>
      <c r="H105" s="7"/>
      <c r="I105" s="7"/>
      <c r="J105" s="17"/>
      <c r="K105" s="7"/>
      <c r="L105" s="7"/>
      <c r="M105" s="7"/>
    </row>
    <row r="106" ht="15.75" customHeight="1">
      <c r="A106" s="22"/>
      <c r="B106" s="7"/>
      <c r="C106" s="7"/>
      <c r="D106" s="7"/>
      <c r="E106" s="7"/>
      <c r="F106" s="7"/>
      <c r="G106" s="7"/>
      <c r="H106" s="7"/>
      <c r="I106" s="7"/>
      <c r="J106" s="17"/>
      <c r="K106" s="7"/>
      <c r="L106" s="7"/>
      <c r="M106" s="7"/>
    </row>
    <row r="107" ht="15.75" customHeight="1">
      <c r="A107" s="22"/>
      <c r="B107" s="7"/>
      <c r="C107" s="7"/>
      <c r="D107" s="7"/>
      <c r="E107" s="7"/>
      <c r="F107" s="7"/>
      <c r="G107" s="7"/>
      <c r="H107" s="7"/>
      <c r="I107" s="7"/>
      <c r="J107" s="17"/>
      <c r="K107" s="7"/>
      <c r="L107" s="7"/>
      <c r="M107" s="7"/>
    </row>
    <row r="108" ht="15.75" customHeight="1">
      <c r="A108" s="22"/>
      <c r="B108" s="7"/>
      <c r="C108" s="7"/>
      <c r="D108" s="7"/>
      <c r="E108" s="7"/>
      <c r="F108" s="7"/>
      <c r="G108" s="7"/>
      <c r="H108" s="7"/>
      <c r="I108" s="7"/>
      <c r="J108" s="17"/>
      <c r="K108" s="7"/>
      <c r="L108" s="7"/>
      <c r="M108" s="7"/>
    </row>
    <row r="109" ht="15.75" customHeight="1">
      <c r="A109" s="22"/>
      <c r="B109" s="7"/>
      <c r="C109" s="7"/>
      <c r="D109" s="7"/>
      <c r="E109" s="7"/>
      <c r="F109" s="7"/>
      <c r="G109" s="7"/>
      <c r="H109" s="7"/>
      <c r="I109" s="7"/>
      <c r="J109" s="17"/>
      <c r="K109" s="7"/>
      <c r="L109" s="7"/>
      <c r="M109" s="7"/>
    </row>
    <row r="110" ht="15.75" customHeight="1">
      <c r="A110" s="22"/>
      <c r="B110" s="7"/>
      <c r="C110" s="7"/>
      <c r="D110" s="7"/>
      <c r="E110" s="7"/>
      <c r="F110" s="7"/>
      <c r="G110" s="7"/>
      <c r="H110" s="7"/>
      <c r="I110" s="7"/>
      <c r="J110" s="17"/>
      <c r="K110" s="7"/>
      <c r="L110" s="7"/>
      <c r="M110" s="7"/>
    </row>
    <row r="111" ht="15.75" customHeight="1">
      <c r="A111" s="22"/>
      <c r="B111" s="7"/>
      <c r="C111" s="7"/>
      <c r="D111" s="7"/>
      <c r="E111" s="7"/>
      <c r="F111" s="7"/>
      <c r="G111" s="7"/>
      <c r="H111" s="7"/>
      <c r="I111" s="7"/>
      <c r="J111" s="17"/>
      <c r="K111" s="7"/>
      <c r="L111" s="7"/>
      <c r="M111" s="7"/>
    </row>
    <row r="112" ht="15.75" customHeight="1">
      <c r="A112" s="22"/>
      <c r="B112" s="7"/>
      <c r="C112" s="7"/>
      <c r="D112" s="7"/>
      <c r="E112" s="7"/>
      <c r="F112" s="7"/>
      <c r="G112" s="7"/>
      <c r="H112" s="7"/>
      <c r="I112" s="7"/>
      <c r="J112" s="17"/>
      <c r="K112" s="7"/>
      <c r="L112" s="7"/>
      <c r="M112" s="7"/>
    </row>
    <row r="113" ht="15.75" customHeight="1">
      <c r="A113" s="22"/>
      <c r="B113" s="7"/>
      <c r="C113" s="7"/>
      <c r="D113" s="7"/>
      <c r="E113" s="7"/>
      <c r="F113" s="7"/>
      <c r="G113" s="7"/>
      <c r="H113" s="7"/>
      <c r="I113" s="7"/>
      <c r="J113" s="17"/>
      <c r="K113" s="7"/>
      <c r="L113" s="7"/>
      <c r="M113" s="7"/>
    </row>
    <row r="114" ht="15.75" customHeight="1">
      <c r="A114" s="22"/>
      <c r="B114" s="7"/>
      <c r="C114" s="7"/>
      <c r="D114" s="7"/>
      <c r="E114" s="7"/>
      <c r="F114" s="7"/>
      <c r="G114" s="7"/>
      <c r="H114" s="7"/>
      <c r="I114" s="7"/>
      <c r="J114" s="17"/>
      <c r="K114" s="7"/>
      <c r="L114" s="7"/>
      <c r="M114" s="7"/>
    </row>
    <row r="115" ht="15.75" customHeight="1">
      <c r="A115" s="22"/>
      <c r="B115" s="7"/>
      <c r="C115" s="7"/>
      <c r="D115" s="7"/>
      <c r="E115" s="7"/>
      <c r="F115" s="7"/>
      <c r="G115" s="7"/>
      <c r="H115" s="7"/>
      <c r="I115" s="7"/>
      <c r="J115" s="17"/>
      <c r="K115" s="7"/>
      <c r="L115" s="7"/>
      <c r="M115" s="7"/>
    </row>
    <row r="116" ht="15.75" customHeight="1">
      <c r="A116" s="22"/>
      <c r="B116" s="7"/>
      <c r="C116" s="7"/>
      <c r="D116" s="7"/>
      <c r="E116" s="7"/>
      <c r="F116" s="7"/>
      <c r="G116" s="7"/>
      <c r="H116" s="7"/>
      <c r="I116" s="7"/>
      <c r="J116" s="17"/>
      <c r="K116" s="7"/>
      <c r="L116" s="7"/>
      <c r="M116" s="7"/>
    </row>
    <row r="117" ht="15.75" customHeight="1">
      <c r="A117" s="22"/>
      <c r="B117" s="7"/>
      <c r="C117" s="7"/>
      <c r="D117" s="7"/>
      <c r="E117" s="7"/>
      <c r="F117" s="7"/>
      <c r="G117" s="7"/>
      <c r="H117" s="7"/>
      <c r="I117" s="7"/>
      <c r="J117" s="17"/>
      <c r="K117" s="7"/>
      <c r="L117" s="7"/>
      <c r="M117" s="7"/>
    </row>
    <row r="118" ht="15.75" customHeight="1">
      <c r="A118" s="22"/>
      <c r="B118" s="7"/>
      <c r="C118" s="7"/>
      <c r="D118" s="7"/>
      <c r="E118" s="7"/>
      <c r="F118" s="7"/>
      <c r="G118" s="7"/>
      <c r="H118" s="7"/>
      <c r="I118" s="7"/>
      <c r="J118" s="17"/>
      <c r="K118" s="7"/>
      <c r="L118" s="7"/>
      <c r="M118" s="7"/>
    </row>
    <row r="119" ht="15.75" customHeight="1">
      <c r="A119" s="22"/>
      <c r="B119" s="7"/>
      <c r="C119" s="7"/>
      <c r="D119" s="7"/>
      <c r="E119" s="7"/>
      <c r="F119" s="7"/>
      <c r="G119" s="7"/>
      <c r="H119" s="7"/>
      <c r="I119" s="7"/>
      <c r="J119" s="17"/>
      <c r="K119" s="7"/>
      <c r="L119" s="7"/>
      <c r="M119" s="7"/>
    </row>
    <row r="120" ht="15.75" customHeight="1">
      <c r="A120" s="22"/>
      <c r="B120" s="7"/>
      <c r="C120" s="7"/>
      <c r="D120" s="7"/>
      <c r="E120" s="7"/>
      <c r="F120" s="7"/>
      <c r="G120" s="7"/>
      <c r="H120" s="7"/>
      <c r="I120" s="7"/>
      <c r="J120" s="17"/>
      <c r="K120" s="7"/>
      <c r="L120" s="7"/>
      <c r="M120" s="7"/>
    </row>
    <row r="121" ht="15.75" customHeight="1">
      <c r="A121" s="22"/>
      <c r="B121" s="7"/>
      <c r="C121" s="7"/>
      <c r="D121" s="7"/>
      <c r="E121" s="7"/>
      <c r="F121" s="7"/>
      <c r="G121" s="7"/>
      <c r="H121" s="7"/>
      <c r="I121" s="7"/>
      <c r="J121" s="17"/>
      <c r="K121" s="7"/>
      <c r="L121" s="7"/>
      <c r="M121" s="7"/>
    </row>
    <row r="122" ht="15.75" customHeight="1">
      <c r="A122" s="22"/>
      <c r="B122" s="7"/>
      <c r="C122" s="7"/>
      <c r="D122" s="7"/>
      <c r="E122" s="7"/>
      <c r="F122" s="7"/>
      <c r="G122" s="7"/>
      <c r="H122" s="7"/>
      <c r="I122" s="7"/>
      <c r="J122" s="17"/>
      <c r="K122" s="7"/>
      <c r="L122" s="7"/>
      <c r="M122" s="7"/>
    </row>
    <row r="123" ht="15.75" customHeight="1">
      <c r="A123" s="22"/>
      <c r="B123" s="7"/>
      <c r="C123" s="7"/>
      <c r="D123" s="7"/>
      <c r="E123" s="7"/>
      <c r="F123" s="7"/>
      <c r="G123" s="7"/>
      <c r="H123" s="7"/>
      <c r="I123" s="7"/>
      <c r="J123" s="17"/>
      <c r="K123" s="7"/>
      <c r="L123" s="7"/>
      <c r="M123" s="7"/>
    </row>
    <row r="124" ht="15.75" customHeight="1">
      <c r="A124" s="22"/>
      <c r="B124" s="7"/>
      <c r="C124" s="7"/>
      <c r="D124" s="7"/>
      <c r="E124" s="7"/>
      <c r="F124" s="7"/>
      <c r="G124" s="7"/>
      <c r="H124" s="7"/>
      <c r="I124" s="7"/>
      <c r="J124" s="17"/>
      <c r="K124" s="7"/>
      <c r="L124" s="7"/>
      <c r="M124" s="7"/>
    </row>
    <row r="125" ht="15.75" customHeight="1">
      <c r="A125" s="22"/>
      <c r="B125" s="7"/>
      <c r="C125" s="7"/>
      <c r="D125" s="7"/>
      <c r="E125" s="7"/>
      <c r="F125" s="7"/>
      <c r="G125" s="7"/>
      <c r="H125" s="7"/>
      <c r="I125" s="7"/>
      <c r="J125" s="17"/>
      <c r="K125" s="7"/>
      <c r="L125" s="7"/>
      <c r="M125" s="7"/>
    </row>
    <row r="126" ht="15.75" customHeight="1">
      <c r="A126" s="22"/>
      <c r="B126" s="7"/>
      <c r="C126" s="7"/>
      <c r="D126" s="7"/>
      <c r="E126" s="7"/>
      <c r="F126" s="7"/>
      <c r="G126" s="7"/>
      <c r="H126" s="7"/>
      <c r="I126" s="7"/>
      <c r="J126" s="17"/>
      <c r="K126" s="7"/>
      <c r="L126" s="7"/>
      <c r="M126" s="7"/>
    </row>
    <row r="127" ht="15.75" customHeight="1">
      <c r="A127" s="22"/>
      <c r="B127" s="7"/>
      <c r="C127" s="7"/>
      <c r="D127" s="7"/>
      <c r="E127" s="7"/>
      <c r="F127" s="7"/>
      <c r="G127" s="7"/>
      <c r="H127" s="7"/>
      <c r="I127" s="7"/>
      <c r="J127" s="17"/>
      <c r="K127" s="7"/>
      <c r="L127" s="7"/>
      <c r="M127" s="7"/>
    </row>
    <row r="128" ht="15.75" customHeight="1">
      <c r="A128" s="22"/>
      <c r="B128" s="7"/>
      <c r="C128" s="7"/>
      <c r="D128" s="7"/>
      <c r="E128" s="7"/>
      <c r="F128" s="7"/>
      <c r="G128" s="7"/>
      <c r="H128" s="7"/>
      <c r="I128" s="7"/>
      <c r="J128" s="17"/>
      <c r="K128" s="7"/>
      <c r="L128" s="7"/>
      <c r="M128" s="7"/>
    </row>
    <row r="129" ht="15.75" customHeight="1">
      <c r="A129" s="22"/>
      <c r="B129" s="7"/>
      <c r="C129" s="7"/>
      <c r="D129" s="7"/>
      <c r="E129" s="7"/>
      <c r="F129" s="7"/>
      <c r="G129" s="7"/>
      <c r="H129" s="7"/>
      <c r="I129" s="7"/>
      <c r="J129" s="17"/>
      <c r="K129" s="7"/>
      <c r="L129" s="7"/>
      <c r="M129" s="7"/>
    </row>
    <row r="130" ht="15.75" customHeight="1">
      <c r="A130" s="22"/>
      <c r="B130" s="7"/>
      <c r="C130" s="7"/>
      <c r="D130" s="7"/>
      <c r="E130" s="7"/>
      <c r="F130" s="7"/>
      <c r="G130" s="7"/>
      <c r="H130" s="7"/>
      <c r="I130" s="7"/>
      <c r="J130" s="17"/>
      <c r="K130" s="7"/>
      <c r="L130" s="7"/>
      <c r="M130" s="7"/>
    </row>
    <row r="131" ht="15.75" customHeight="1">
      <c r="A131" s="22"/>
      <c r="B131" s="7"/>
      <c r="C131" s="7"/>
      <c r="D131" s="7"/>
      <c r="E131" s="7"/>
      <c r="F131" s="7"/>
      <c r="G131" s="7"/>
      <c r="H131" s="7"/>
      <c r="I131" s="7"/>
      <c r="J131" s="17"/>
      <c r="K131" s="7"/>
      <c r="L131" s="7"/>
      <c r="M131" s="7"/>
    </row>
    <row r="132" ht="15.75" customHeight="1">
      <c r="A132" s="22"/>
      <c r="B132" s="7"/>
      <c r="C132" s="7"/>
      <c r="D132" s="7"/>
      <c r="E132" s="7"/>
      <c r="F132" s="7"/>
      <c r="G132" s="7"/>
      <c r="H132" s="7"/>
      <c r="I132" s="7"/>
      <c r="J132" s="17"/>
      <c r="K132" s="7"/>
      <c r="L132" s="7"/>
      <c r="M132" s="7"/>
    </row>
    <row r="133" ht="15.75" customHeight="1">
      <c r="A133" s="22"/>
      <c r="B133" s="7"/>
      <c r="C133" s="7"/>
      <c r="D133" s="7"/>
      <c r="E133" s="7"/>
      <c r="F133" s="7"/>
      <c r="G133" s="7"/>
      <c r="H133" s="7"/>
      <c r="I133" s="7"/>
      <c r="J133" s="17"/>
      <c r="K133" s="7"/>
      <c r="L133" s="7"/>
      <c r="M133" s="7"/>
    </row>
    <row r="134" ht="15.75" customHeight="1">
      <c r="A134" s="22"/>
      <c r="B134" s="7"/>
      <c r="C134" s="7"/>
      <c r="D134" s="7"/>
      <c r="E134" s="7"/>
      <c r="F134" s="7"/>
      <c r="G134" s="7"/>
      <c r="H134" s="7"/>
      <c r="I134" s="7"/>
      <c r="J134" s="17"/>
      <c r="K134" s="7"/>
      <c r="L134" s="7"/>
      <c r="M134" s="7"/>
    </row>
    <row r="135" ht="15.75" customHeight="1">
      <c r="A135" s="22"/>
      <c r="B135" s="7"/>
      <c r="C135" s="7"/>
      <c r="D135" s="7"/>
      <c r="E135" s="7"/>
      <c r="F135" s="7"/>
      <c r="G135" s="7"/>
      <c r="H135" s="7"/>
      <c r="I135" s="7"/>
      <c r="J135" s="17"/>
      <c r="K135" s="7"/>
      <c r="L135" s="7"/>
      <c r="M135" s="7"/>
    </row>
    <row r="136" ht="15.75" customHeight="1">
      <c r="A136" s="22"/>
      <c r="B136" s="7"/>
      <c r="C136" s="7"/>
      <c r="D136" s="7"/>
      <c r="E136" s="7"/>
      <c r="F136" s="7"/>
      <c r="G136" s="7"/>
      <c r="H136" s="7"/>
      <c r="I136" s="7"/>
      <c r="J136" s="17"/>
      <c r="K136" s="7"/>
      <c r="L136" s="7"/>
      <c r="M136" s="7"/>
    </row>
    <row r="137" ht="15.75" customHeight="1">
      <c r="A137" s="22"/>
      <c r="B137" s="7"/>
      <c r="C137" s="7"/>
      <c r="D137" s="7"/>
      <c r="E137" s="7"/>
      <c r="F137" s="7"/>
      <c r="G137" s="7"/>
      <c r="H137" s="7"/>
      <c r="I137" s="7"/>
      <c r="J137" s="17"/>
      <c r="K137" s="7"/>
      <c r="L137" s="7"/>
      <c r="M137" s="7"/>
    </row>
    <row r="138" ht="15.75" customHeight="1">
      <c r="A138" s="22"/>
      <c r="B138" s="7"/>
      <c r="C138" s="7"/>
      <c r="D138" s="7"/>
      <c r="E138" s="7"/>
      <c r="F138" s="7"/>
      <c r="G138" s="7"/>
      <c r="H138" s="7"/>
      <c r="I138" s="7"/>
      <c r="J138" s="17"/>
      <c r="K138" s="7"/>
      <c r="L138" s="7"/>
      <c r="M138" s="7"/>
    </row>
    <row r="139" ht="15.75" customHeight="1">
      <c r="A139" s="22"/>
      <c r="B139" s="7"/>
      <c r="C139" s="7"/>
      <c r="D139" s="7"/>
      <c r="E139" s="7"/>
      <c r="F139" s="7"/>
      <c r="G139" s="7"/>
      <c r="H139" s="7"/>
      <c r="I139" s="7"/>
      <c r="J139" s="17"/>
      <c r="K139" s="7"/>
      <c r="L139" s="7"/>
      <c r="M139" s="7"/>
    </row>
    <row r="140" ht="15.75" customHeight="1">
      <c r="A140" s="22"/>
      <c r="B140" s="7"/>
      <c r="C140" s="7"/>
      <c r="D140" s="7"/>
      <c r="E140" s="7"/>
      <c r="F140" s="7"/>
      <c r="G140" s="7"/>
      <c r="H140" s="7"/>
      <c r="I140" s="7"/>
      <c r="J140" s="17"/>
      <c r="K140" s="7"/>
      <c r="L140" s="7"/>
      <c r="M140" s="7"/>
    </row>
    <row r="141" ht="15.75" customHeight="1">
      <c r="A141" s="22"/>
      <c r="B141" s="7"/>
      <c r="C141" s="7"/>
      <c r="D141" s="7"/>
      <c r="E141" s="7"/>
      <c r="F141" s="7"/>
      <c r="G141" s="7"/>
      <c r="H141" s="7"/>
      <c r="I141" s="7"/>
      <c r="J141" s="17"/>
      <c r="K141" s="7"/>
      <c r="L141" s="7"/>
      <c r="M141" s="7"/>
    </row>
    <row r="142" ht="15.75" customHeight="1">
      <c r="A142" s="22"/>
      <c r="B142" s="7"/>
      <c r="C142" s="7"/>
      <c r="D142" s="7"/>
      <c r="E142" s="7"/>
      <c r="F142" s="7"/>
      <c r="G142" s="7"/>
      <c r="H142" s="7"/>
      <c r="I142" s="7"/>
      <c r="J142" s="17"/>
      <c r="K142" s="7"/>
      <c r="L142" s="7"/>
      <c r="M142" s="7"/>
    </row>
    <row r="143" ht="15.75" customHeight="1">
      <c r="A143" s="22"/>
      <c r="B143" s="7"/>
      <c r="C143" s="7"/>
      <c r="D143" s="7"/>
      <c r="E143" s="7"/>
      <c r="F143" s="7"/>
      <c r="G143" s="7"/>
      <c r="H143" s="7"/>
      <c r="I143" s="7"/>
      <c r="J143" s="17"/>
      <c r="K143" s="7"/>
      <c r="L143" s="7"/>
      <c r="M143" s="7"/>
    </row>
    <row r="144" ht="15.75" customHeight="1">
      <c r="A144" s="22"/>
      <c r="B144" s="7"/>
      <c r="C144" s="7"/>
      <c r="D144" s="7"/>
      <c r="E144" s="7"/>
      <c r="F144" s="7"/>
      <c r="G144" s="7"/>
      <c r="H144" s="7"/>
      <c r="I144" s="7"/>
      <c r="J144" s="17"/>
      <c r="K144" s="7"/>
      <c r="L144" s="7"/>
      <c r="M144" s="7"/>
    </row>
    <row r="145" ht="15.75" customHeight="1">
      <c r="A145" s="22"/>
      <c r="B145" s="7"/>
      <c r="C145" s="7"/>
      <c r="D145" s="7"/>
      <c r="E145" s="7"/>
      <c r="F145" s="7"/>
      <c r="G145" s="7"/>
      <c r="H145" s="7"/>
      <c r="I145" s="7"/>
      <c r="J145" s="17"/>
      <c r="K145" s="7"/>
      <c r="L145" s="7"/>
      <c r="M145" s="7"/>
    </row>
    <row r="146" ht="15.75" customHeight="1">
      <c r="A146" s="22"/>
      <c r="B146" s="7"/>
      <c r="C146" s="7"/>
      <c r="D146" s="7"/>
      <c r="E146" s="7"/>
      <c r="F146" s="7"/>
      <c r="G146" s="7"/>
      <c r="H146" s="7"/>
      <c r="I146" s="7"/>
      <c r="J146" s="17"/>
      <c r="K146" s="7"/>
      <c r="L146" s="7"/>
      <c r="M146" s="7"/>
    </row>
    <row r="147" ht="15.75" customHeight="1">
      <c r="A147" s="22"/>
      <c r="B147" s="7"/>
      <c r="C147" s="7"/>
      <c r="D147" s="7"/>
      <c r="E147" s="7"/>
      <c r="F147" s="7"/>
      <c r="G147" s="7"/>
      <c r="H147" s="7"/>
      <c r="I147" s="7"/>
      <c r="J147" s="17"/>
      <c r="K147" s="7"/>
      <c r="L147" s="7"/>
      <c r="M147" s="7"/>
    </row>
    <row r="148" ht="15.75" customHeight="1">
      <c r="A148" s="22"/>
      <c r="B148" s="7"/>
      <c r="C148" s="7"/>
      <c r="D148" s="7"/>
      <c r="E148" s="7"/>
      <c r="F148" s="7"/>
      <c r="G148" s="7"/>
      <c r="H148" s="7"/>
      <c r="I148" s="7"/>
      <c r="J148" s="17"/>
      <c r="K148" s="7"/>
      <c r="L148" s="7"/>
      <c r="M148" s="7"/>
    </row>
    <row r="149" ht="15.75" customHeight="1">
      <c r="A149" s="22"/>
      <c r="B149" s="7"/>
      <c r="C149" s="7"/>
      <c r="D149" s="7"/>
      <c r="E149" s="7"/>
      <c r="F149" s="7"/>
      <c r="G149" s="7"/>
      <c r="H149" s="7"/>
      <c r="I149" s="7"/>
      <c r="J149" s="17"/>
      <c r="K149" s="7"/>
      <c r="L149" s="7"/>
      <c r="M149" s="7"/>
    </row>
    <row r="150" ht="15.75" customHeight="1">
      <c r="A150" s="22"/>
      <c r="B150" s="7"/>
      <c r="C150" s="7"/>
      <c r="D150" s="7"/>
      <c r="E150" s="7"/>
      <c r="F150" s="7"/>
      <c r="G150" s="7"/>
      <c r="H150" s="7"/>
      <c r="I150" s="7"/>
      <c r="J150" s="17"/>
      <c r="K150" s="7"/>
      <c r="L150" s="7"/>
      <c r="M150" s="7"/>
    </row>
    <row r="151" ht="15.75" customHeight="1">
      <c r="A151" s="22"/>
      <c r="B151" s="7"/>
      <c r="C151" s="7"/>
      <c r="D151" s="7"/>
      <c r="E151" s="7"/>
      <c r="F151" s="7"/>
      <c r="G151" s="7"/>
      <c r="H151" s="7"/>
      <c r="I151" s="7"/>
      <c r="J151" s="17"/>
      <c r="K151" s="7"/>
      <c r="L151" s="7"/>
      <c r="M151" s="7"/>
    </row>
    <row r="152" ht="15.75" customHeight="1">
      <c r="A152" s="22"/>
      <c r="B152" s="7"/>
      <c r="C152" s="7"/>
      <c r="D152" s="7"/>
      <c r="E152" s="7"/>
      <c r="F152" s="7"/>
      <c r="G152" s="7"/>
      <c r="H152" s="7"/>
      <c r="I152" s="7"/>
      <c r="J152" s="17"/>
      <c r="K152" s="7"/>
      <c r="L152" s="7"/>
      <c r="M152" s="7"/>
    </row>
    <row r="153" ht="15.75" customHeight="1">
      <c r="A153" s="22"/>
      <c r="B153" s="7"/>
      <c r="C153" s="7"/>
      <c r="D153" s="7"/>
      <c r="E153" s="7"/>
      <c r="F153" s="7"/>
      <c r="G153" s="7"/>
      <c r="H153" s="7"/>
      <c r="I153" s="7"/>
      <c r="J153" s="17"/>
      <c r="K153" s="7"/>
      <c r="L153" s="7"/>
      <c r="M153" s="7"/>
    </row>
    <row r="154" ht="15.75" customHeight="1">
      <c r="A154" s="22"/>
      <c r="B154" s="7"/>
      <c r="C154" s="7"/>
      <c r="D154" s="7"/>
      <c r="E154" s="7"/>
      <c r="F154" s="7"/>
      <c r="G154" s="7"/>
      <c r="H154" s="7"/>
      <c r="I154" s="7"/>
      <c r="J154" s="17"/>
      <c r="K154" s="7"/>
      <c r="L154" s="7"/>
      <c r="M154" s="7"/>
    </row>
    <row r="155" ht="15.75" customHeight="1">
      <c r="A155" s="22"/>
      <c r="B155" s="7"/>
      <c r="C155" s="7"/>
      <c r="D155" s="7"/>
      <c r="E155" s="7"/>
      <c r="F155" s="7"/>
      <c r="G155" s="7"/>
      <c r="H155" s="7"/>
      <c r="I155" s="7"/>
      <c r="J155" s="17"/>
      <c r="K155" s="7"/>
      <c r="L155" s="7"/>
      <c r="M155" s="7"/>
    </row>
    <row r="156" ht="15.75" customHeight="1">
      <c r="A156" s="22"/>
      <c r="B156" s="7"/>
      <c r="C156" s="7"/>
      <c r="D156" s="7"/>
      <c r="E156" s="7"/>
      <c r="F156" s="7"/>
      <c r="G156" s="7"/>
      <c r="H156" s="7"/>
      <c r="I156" s="7"/>
      <c r="J156" s="17"/>
      <c r="K156" s="7"/>
      <c r="L156" s="7"/>
      <c r="M156" s="7"/>
    </row>
    <row r="157" ht="15.75" customHeight="1">
      <c r="A157" s="22"/>
      <c r="B157" s="7"/>
      <c r="C157" s="7"/>
      <c r="D157" s="7"/>
      <c r="E157" s="7"/>
      <c r="F157" s="7"/>
      <c r="G157" s="7"/>
      <c r="H157" s="7"/>
      <c r="I157" s="7"/>
      <c r="J157" s="17"/>
      <c r="K157" s="7"/>
      <c r="L157" s="7"/>
      <c r="M157" s="7"/>
    </row>
    <row r="158" ht="15.75" customHeight="1">
      <c r="A158" s="22"/>
      <c r="B158" s="7"/>
      <c r="C158" s="7"/>
      <c r="D158" s="7"/>
      <c r="E158" s="7"/>
      <c r="F158" s="7"/>
      <c r="G158" s="7"/>
      <c r="H158" s="7"/>
      <c r="I158" s="7"/>
      <c r="J158" s="17"/>
      <c r="K158" s="7"/>
      <c r="L158" s="7"/>
      <c r="M158" s="7"/>
    </row>
    <row r="159" ht="15.75" customHeight="1">
      <c r="A159" s="22"/>
      <c r="B159" s="7"/>
      <c r="C159" s="7"/>
      <c r="D159" s="7"/>
      <c r="E159" s="7"/>
      <c r="F159" s="7"/>
      <c r="G159" s="7"/>
      <c r="H159" s="7"/>
      <c r="I159" s="7"/>
      <c r="J159" s="17"/>
      <c r="K159" s="7"/>
      <c r="L159" s="7"/>
      <c r="M159" s="7"/>
    </row>
    <row r="160" ht="15.75" customHeight="1">
      <c r="A160" s="22"/>
      <c r="B160" s="7"/>
      <c r="C160" s="7"/>
      <c r="D160" s="7"/>
      <c r="E160" s="7"/>
      <c r="F160" s="7"/>
      <c r="G160" s="7"/>
      <c r="H160" s="7"/>
      <c r="I160" s="7"/>
      <c r="J160" s="17"/>
      <c r="K160" s="7"/>
      <c r="L160" s="7"/>
      <c r="M160" s="7"/>
    </row>
    <row r="161" ht="15.75" customHeight="1">
      <c r="A161" s="22"/>
      <c r="B161" s="7"/>
      <c r="C161" s="7"/>
      <c r="D161" s="7"/>
      <c r="E161" s="7"/>
      <c r="F161" s="7"/>
      <c r="G161" s="7"/>
      <c r="H161" s="7"/>
      <c r="I161" s="7"/>
      <c r="J161" s="17"/>
      <c r="K161" s="7"/>
      <c r="L161" s="7"/>
      <c r="M161" s="7"/>
    </row>
    <row r="162" ht="15.75" customHeight="1">
      <c r="A162" s="22"/>
      <c r="B162" s="7"/>
      <c r="C162" s="7"/>
      <c r="D162" s="7"/>
      <c r="E162" s="7"/>
      <c r="F162" s="7"/>
      <c r="G162" s="7"/>
      <c r="H162" s="7"/>
      <c r="I162" s="7"/>
      <c r="J162" s="17"/>
      <c r="K162" s="7"/>
      <c r="L162" s="7"/>
      <c r="M162" s="7"/>
    </row>
    <row r="163" ht="15.75" customHeight="1">
      <c r="A163" s="22"/>
      <c r="B163" s="7"/>
      <c r="C163" s="7"/>
      <c r="D163" s="7"/>
      <c r="E163" s="7"/>
      <c r="F163" s="7"/>
      <c r="G163" s="7"/>
      <c r="H163" s="7"/>
      <c r="I163" s="7"/>
      <c r="J163" s="17"/>
      <c r="K163" s="7"/>
      <c r="L163" s="7"/>
      <c r="M163" s="7"/>
    </row>
    <row r="164" ht="15.75" customHeight="1">
      <c r="A164" s="22"/>
      <c r="B164" s="7"/>
      <c r="C164" s="7"/>
      <c r="D164" s="7"/>
      <c r="E164" s="7"/>
      <c r="F164" s="7"/>
      <c r="G164" s="7"/>
      <c r="H164" s="7"/>
      <c r="I164" s="7"/>
      <c r="J164" s="17"/>
      <c r="K164" s="7"/>
      <c r="L164" s="7"/>
      <c r="M164" s="7"/>
    </row>
    <row r="165" ht="15.75" customHeight="1">
      <c r="A165" s="22"/>
      <c r="B165" s="7"/>
      <c r="C165" s="7"/>
      <c r="D165" s="7"/>
      <c r="E165" s="7"/>
      <c r="F165" s="7"/>
      <c r="G165" s="7"/>
      <c r="H165" s="7"/>
      <c r="I165" s="7"/>
      <c r="J165" s="17"/>
      <c r="K165" s="7"/>
      <c r="L165" s="7"/>
      <c r="M165" s="7"/>
    </row>
    <row r="166" ht="15.75" customHeight="1">
      <c r="A166" s="22"/>
      <c r="B166" s="7"/>
      <c r="C166" s="7"/>
      <c r="D166" s="7"/>
      <c r="E166" s="7"/>
      <c r="F166" s="7"/>
      <c r="G166" s="7"/>
      <c r="H166" s="7"/>
      <c r="I166" s="7"/>
      <c r="J166" s="17"/>
      <c r="K166" s="7"/>
      <c r="L166" s="7"/>
      <c r="M166" s="7"/>
    </row>
    <row r="167" ht="15.75" customHeight="1">
      <c r="A167" s="22"/>
      <c r="B167" s="7"/>
      <c r="C167" s="7"/>
      <c r="D167" s="7"/>
      <c r="E167" s="7"/>
      <c r="F167" s="7"/>
      <c r="G167" s="7"/>
      <c r="H167" s="7"/>
      <c r="I167" s="7"/>
      <c r="J167" s="17"/>
      <c r="K167" s="7"/>
      <c r="L167" s="7"/>
      <c r="M167" s="7"/>
    </row>
    <row r="168" ht="15.75" customHeight="1">
      <c r="A168" s="22"/>
      <c r="B168" s="7"/>
      <c r="C168" s="7"/>
      <c r="D168" s="7"/>
      <c r="E168" s="7"/>
      <c r="F168" s="7"/>
      <c r="G168" s="7"/>
      <c r="H168" s="7"/>
      <c r="I168" s="7"/>
      <c r="J168" s="17"/>
      <c r="K168" s="7"/>
      <c r="L168" s="7"/>
      <c r="M168" s="7"/>
    </row>
    <row r="169" ht="15.75" customHeight="1">
      <c r="A169" s="22"/>
      <c r="B169" s="7"/>
      <c r="C169" s="7"/>
      <c r="D169" s="7"/>
      <c r="E169" s="7"/>
      <c r="F169" s="7"/>
      <c r="G169" s="7"/>
      <c r="H169" s="7"/>
      <c r="I169" s="7"/>
      <c r="J169" s="17"/>
      <c r="K169" s="7"/>
      <c r="L169" s="7"/>
      <c r="M169" s="7"/>
    </row>
    <row r="170" ht="15.75" customHeight="1">
      <c r="A170" s="22"/>
      <c r="B170" s="7"/>
      <c r="C170" s="7"/>
      <c r="D170" s="7"/>
      <c r="E170" s="7"/>
      <c r="F170" s="7"/>
      <c r="G170" s="7"/>
      <c r="H170" s="7"/>
      <c r="I170" s="7"/>
      <c r="J170" s="17"/>
      <c r="K170" s="7"/>
      <c r="L170" s="7"/>
      <c r="M170" s="7"/>
    </row>
    <row r="171" ht="15.75" customHeight="1">
      <c r="A171" s="22"/>
      <c r="B171" s="7"/>
      <c r="C171" s="7"/>
      <c r="D171" s="7"/>
      <c r="E171" s="7"/>
      <c r="F171" s="7"/>
      <c r="G171" s="7"/>
      <c r="H171" s="7"/>
      <c r="I171" s="7"/>
      <c r="J171" s="17"/>
      <c r="K171" s="7"/>
      <c r="L171" s="7"/>
      <c r="M171" s="7"/>
    </row>
    <row r="172" ht="15.75" customHeight="1">
      <c r="A172" s="22"/>
      <c r="B172" s="7"/>
      <c r="C172" s="7"/>
      <c r="D172" s="7"/>
      <c r="E172" s="7"/>
      <c r="F172" s="7"/>
      <c r="G172" s="7"/>
      <c r="H172" s="7"/>
      <c r="I172" s="7"/>
      <c r="J172" s="17"/>
      <c r="K172" s="7"/>
      <c r="L172" s="7"/>
      <c r="M172" s="7"/>
    </row>
    <row r="173" ht="15.75" customHeight="1">
      <c r="A173" s="22"/>
      <c r="B173" s="7"/>
      <c r="C173" s="7"/>
      <c r="D173" s="7"/>
      <c r="E173" s="7"/>
      <c r="F173" s="7"/>
      <c r="G173" s="7"/>
      <c r="H173" s="7"/>
      <c r="I173" s="7"/>
      <c r="J173" s="17"/>
      <c r="K173" s="7"/>
      <c r="L173" s="7"/>
      <c r="M173" s="7"/>
    </row>
    <row r="174" ht="15.75" customHeight="1">
      <c r="A174" s="22"/>
      <c r="B174" s="7"/>
      <c r="C174" s="7"/>
      <c r="D174" s="7"/>
      <c r="E174" s="7"/>
      <c r="F174" s="7"/>
      <c r="G174" s="7"/>
      <c r="H174" s="7"/>
      <c r="I174" s="7"/>
      <c r="J174" s="17"/>
      <c r="K174" s="7"/>
      <c r="L174" s="7"/>
      <c r="M174" s="7"/>
    </row>
    <row r="175" ht="15.75" customHeight="1">
      <c r="A175" s="22"/>
      <c r="B175" s="7"/>
      <c r="C175" s="7"/>
      <c r="D175" s="7"/>
      <c r="E175" s="7"/>
      <c r="F175" s="7"/>
      <c r="G175" s="7"/>
      <c r="H175" s="7"/>
      <c r="I175" s="7"/>
      <c r="J175" s="17"/>
      <c r="K175" s="7"/>
      <c r="L175" s="7"/>
      <c r="M175" s="7"/>
    </row>
    <row r="176" ht="15.75" customHeight="1">
      <c r="A176" s="22"/>
      <c r="B176" s="7"/>
      <c r="C176" s="7"/>
      <c r="D176" s="7"/>
      <c r="E176" s="7"/>
      <c r="F176" s="7"/>
      <c r="G176" s="7"/>
      <c r="H176" s="7"/>
      <c r="I176" s="7"/>
      <c r="J176" s="17"/>
      <c r="K176" s="7"/>
      <c r="L176" s="7"/>
      <c r="M176" s="7"/>
    </row>
    <row r="177" ht="15.75" customHeight="1">
      <c r="A177" s="22"/>
      <c r="B177" s="7"/>
      <c r="C177" s="7"/>
      <c r="D177" s="7"/>
      <c r="E177" s="7"/>
      <c r="F177" s="7"/>
      <c r="G177" s="7"/>
      <c r="H177" s="7"/>
      <c r="I177" s="7"/>
      <c r="J177" s="17"/>
      <c r="K177" s="7"/>
      <c r="L177" s="7"/>
      <c r="M177" s="7"/>
    </row>
    <row r="178" ht="15.75" customHeight="1">
      <c r="A178" s="22"/>
      <c r="B178" s="7"/>
      <c r="C178" s="7"/>
      <c r="D178" s="7"/>
      <c r="E178" s="7"/>
      <c r="F178" s="7"/>
      <c r="G178" s="7"/>
      <c r="H178" s="7"/>
      <c r="I178" s="7"/>
      <c r="J178" s="17"/>
      <c r="K178" s="7"/>
      <c r="L178" s="7"/>
      <c r="M178" s="7"/>
    </row>
    <row r="179" ht="15.75" customHeight="1">
      <c r="A179" s="22"/>
      <c r="B179" s="7"/>
      <c r="C179" s="7"/>
      <c r="D179" s="7"/>
      <c r="E179" s="7"/>
      <c r="F179" s="7"/>
      <c r="G179" s="7"/>
      <c r="H179" s="7"/>
      <c r="I179" s="7"/>
      <c r="J179" s="17"/>
      <c r="K179" s="7"/>
      <c r="L179" s="7"/>
      <c r="M179" s="7"/>
    </row>
    <row r="180" ht="15.75" customHeight="1">
      <c r="A180" s="22"/>
      <c r="B180" s="7"/>
      <c r="C180" s="7"/>
      <c r="D180" s="7"/>
      <c r="E180" s="7"/>
      <c r="F180" s="7"/>
      <c r="G180" s="7"/>
      <c r="H180" s="7"/>
      <c r="I180" s="7"/>
      <c r="J180" s="17"/>
      <c r="K180" s="7"/>
      <c r="L180" s="7"/>
      <c r="M180" s="7"/>
    </row>
    <row r="181" ht="15.75" customHeight="1">
      <c r="A181" s="22"/>
      <c r="B181" s="7"/>
      <c r="C181" s="7"/>
      <c r="D181" s="7"/>
      <c r="E181" s="7"/>
      <c r="F181" s="7"/>
      <c r="G181" s="7"/>
      <c r="H181" s="7"/>
      <c r="I181" s="7"/>
      <c r="J181" s="17"/>
      <c r="K181" s="7"/>
      <c r="L181" s="7"/>
      <c r="M181" s="7"/>
    </row>
    <row r="182" ht="15.75" customHeight="1">
      <c r="A182" s="22"/>
      <c r="B182" s="7"/>
      <c r="C182" s="7"/>
      <c r="D182" s="7"/>
      <c r="E182" s="7"/>
      <c r="F182" s="7"/>
      <c r="G182" s="7"/>
      <c r="H182" s="7"/>
      <c r="I182" s="7"/>
      <c r="J182" s="17"/>
      <c r="K182" s="7"/>
      <c r="L182" s="7"/>
      <c r="M182" s="7"/>
    </row>
    <row r="183" ht="15.75" customHeight="1">
      <c r="A183" s="22"/>
      <c r="B183" s="7"/>
      <c r="C183" s="7"/>
      <c r="D183" s="7"/>
      <c r="E183" s="7"/>
      <c r="F183" s="7"/>
      <c r="G183" s="7"/>
      <c r="H183" s="7"/>
      <c r="I183" s="7"/>
      <c r="J183" s="17"/>
      <c r="K183" s="7"/>
      <c r="L183" s="7"/>
      <c r="M183" s="7"/>
    </row>
    <row r="184" ht="15.75" customHeight="1">
      <c r="A184" s="22"/>
      <c r="B184" s="7"/>
      <c r="C184" s="7"/>
      <c r="D184" s="7"/>
      <c r="E184" s="7"/>
      <c r="F184" s="7"/>
      <c r="G184" s="7"/>
      <c r="H184" s="7"/>
      <c r="I184" s="7"/>
      <c r="J184" s="17"/>
      <c r="K184" s="7"/>
      <c r="L184" s="7"/>
      <c r="M184" s="7"/>
    </row>
    <row r="185" ht="15.75" customHeight="1">
      <c r="A185" s="22"/>
      <c r="B185" s="7"/>
      <c r="C185" s="7"/>
      <c r="D185" s="7"/>
      <c r="E185" s="7"/>
      <c r="F185" s="7"/>
      <c r="G185" s="7"/>
      <c r="H185" s="7"/>
      <c r="I185" s="7"/>
      <c r="J185" s="17"/>
      <c r="K185" s="7"/>
      <c r="L185" s="7"/>
      <c r="M185" s="7"/>
    </row>
    <row r="186" ht="15.75" customHeight="1">
      <c r="A186" s="22"/>
      <c r="B186" s="7"/>
      <c r="C186" s="7"/>
      <c r="D186" s="7"/>
      <c r="E186" s="7"/>
      <c r="F186" s="7"/>
      <c r="G186" s="7"/>
      <c r="H186" s="7"/>
      <c r="I186" s="7"/>
      <c r="J186" s="17"/>
      <c r="K186" s="7"/>
      <c r="L186" s="7"/>
      <c r="M186" s="7"/>
    </row>
    <row r="187" ht="15.75" customHeight="1">
      <c r="A187" s="22"/>
      <c r="B187" s="7"/>
      <c r="C187" s="7"/>
      <c r="D187" s="7"/>
      <c r="E187" s="7"/>
      <c r="F187" s="7"/>
      <c r="G187" s="7"/>
      <c r="H187" s="7"/>
      <c r="I187" s="7"/>
      <c r="J187" s="17"/>
      <c r="K187" s="7"/>
      <c r="L187" s="7"/>
      <c r="M187" s="7"/>
    </row>
    <row r="188" ht="15.75" customHeight="1">
      <c r="A188" s="22"/>
      <c r="B188" s="7"/>
      <c r="C188" s="7"/>
      <c r="D188" s="7"/>
      <c r="E188" s="7"/>
      <c r="F188" s="7"/>
      <c r="G188" s="7"/>
      <c r="H188" s="7"/>
      <c r="I188" s="7"/>
      <c r="J188" s="17"/>
      <c r="K188" s="7"/>
      <c r="L188" s="7"/>
      <c r="M188" s="7"/>
    </row>
    <row r="189" ht="15.75" customHeight="1">
      <c r="A189" s="22"/>
      <c r="B189" s="7"/>
      <c r="C189" s="7"/>
      <c r="D189" s="7"/>
      <c r="E189" s="7"/>
      <c r="F189" s="7"/>
      <c r="G189" s="7"/>
      <c r="H189" s="7"/>
      <c r="I189" s="7"/>
      <c r="J189" s="17"/>
      <c r="K189" s="7"/>
      <c r="L189" s="7"/>
      <c r="M189" s="7"/>
    </row>
    <row r="190" ht="15.75" customHeight="1">
      <c r="A190" s="22"/>
      <c r="B190" s="7"/>
      <c r="C190" s="7"/>
      <c r="D190" s="7"/>
      <c r="E190" s="7"/>
      <c r="F190" s="7"/>
      <c r="G190" s="7"/>
      <c r="H190" s="7"/>
      <c r="I190" s="7"/>
      <c r="J190" s="17"/>
      <c r="K190" s="7"/>
      <c r="L190" s="7"/>
      <c r="M190" s="7"/>
    </row>
    <row r="191" ht="15.75" customHeight="1">
      <c r="A191" s="22"/>
      <c r="B191" s="7"/>
      <c r="C191" s="7"/>
      <c r="D191" s="7"/>
      <c r="E191" s="7"/>
      <c r="F191" s="7"/>
      <c r="G191" s="7"/>
      <c r="H191" s="7"/>
      <c r="I191" s="7"/>
      <c r="J191" s="17"/>
      <c r="K191" s="7"/>
      <c r="L191" s="7"/>
      <c r="M191" s="7"/>
    </row>
    <row r="192" ht="15.75" customHeight="1">
      <c r="A192" s="22"/>
      <c r="B192" s="7"/>
      <c r="C192" s="7"/>
      <c r="D192" s="7"/>
      <c r="E192" s="7"/>
      <c r="F192" s="7"/>
      <c r="G192" s="7"/>
      <c r="H192" s="7"/>
      <c r="I192" s="7"/>
      <c r="J192" s="17"/>
      <c r="K192" s="7"/>
      <c r="L192" s="7"/>
      <c r="M192" s="7"/>
    </row>
    <row r="193" ht="15.75" customHeight="1">
      <c r="A193" s="22"/>
      <c r="B193" s="7"/>
      <c r="C193" s="7"/>
      <c r="D193" s="7"/>
      <c r="E193" s="7"/>
      <c r="F193" s="7"/>
      <c r="G193" s="7"/>
      <c r="H193" s="7"/>
      <c r="I193" s="7"/>
      <c r="J193" s="17"/>
      <c r="K193" s="7"/>
      <c r="L193" s="7"/>
      <c r="M193" s="7"/>
    </row>
    <row r="194" ht="15.75" customHeight="1">
      <c r="A194" s="22"/>
      <c r="B194" s="7"/>
      <c r="C194" s="7"/>
      <c r="D194" s="7"/>
      <c r="E194" s="7"/>
      <c r="F194" s="7"/>
      <c r="G194" s="7"/>
      <c r="H194" s="7"/>
      <c r="I194" s="7"/>
      <c r="J194" s="17"/>
      <c r="K194" s="7"/>
      <c r="L194" s="7"/>
      <c r="M194" s="7"/>
    </row>
    <row r="195" ht="15.75" customHeight="1">
      <c r="A195" s="22"/>
      <c r="B195" s="7"/>
      <c r="C195" s="7"/>
      <c r="D195" s="7"/>
      <c r="E195" s="7"/>
      <c r="F195" s="7"/>
      <c r="G195" s="7"/>
      <c r="H195" s="7"/>
      <c r="I195" s="7"/>
      <c r="J195" s="17"/>
      <c r="K195" s="7"/>
      <c r="L195" s="7"/>
      <c r="M195" s="7"/>
    </row>
    <row r="196" ht="15.75" customHeight="1">
      <c r="A196" s="22"/>
      <c r="B196" s="7"/>
      <c r="C196" s="7"/>
      <c r="D196" s="7"/>
      <c r="E196" s="7"/>
      <c r="F196" s="7"/>
      <c r="G196" s="7"/>
      <c r="H196" s="7"/>
      <c r="I196" s="7"/>
      <c r="J196" s="17"/>
      <c r="K196" s="7"/>
      <c r="L196" s="7"/>
      <c r="M196" s="7"/>
    </row>
    <row r="197" ht="15.75" customHeight="1">
      <c r="A197" s="22"/>
      <c r="B197" s="7"/>
      <c r="C197" s="7"/>
      <c r="D197" s="7"/>
      <c r="E197" s="7"/>
      <c r="F197" s="7"/>
      <c r="G197" s="7"/>
      <c r="H197" s="7"/>
      <c r="I197" s="7"/>
      <c r="J197" s="17"/>
      <c r="K197" s="7"/>
      <c r="L197" s="7"/>
      <c r="M197" s="7"/>
    </row>
    <row r="198" ht="15.75" customHeight="1">
      <c r="A198" s="22"/>
      <c r="B198" s="7"/>
      <c r="C198" s="7"/>
      <c r="D198" s="7"/>
      <c r="E198" s="7"/>
      <c r="F198" s="7"/>
      <c r="G198" s="7"/>
      <c r="H198" s="7"/>
      <c r="I198" s="7"/>
      <c r="J198" s="17"/>
      <c r="K198" s="7"/>
      <c r="L198" s="7"/>
      <c r="M198" s="7"/>
    </row>
    <row r="199" ht="15.75" customHeight="1">
      <c r="A199" s="22"/>
      <c r="B199" s="7"/>
      <c r="C199" s="7"/>
      <c r="D199" s="7"/>
      <c r="E199" s="7"/>
      <c r="F199" s="7"/>
      <c r="G199" s="7"/>
      <c r="H199" s="7"/>
      <c r="I199" s="7"/>
      <c r="J199" s="17"/>
      <c r="K199" s="7"/>
      <c r="L199" s="7"/>
      <c r="M199" s="7"/>
    </row>
    <row r="200" ht="15.75" customHeight="1">
      <c r="A200" s="22"/>
      <c r="B200" s="7"/>
      <c r="C200" s="7"/>
      <c r="D200" s="7"/>
      <c r="E200" s="7"/>
      <c r="F200" s="7"/>
      <c r="G200" s="7"/>
      <c r="H200" s="7"/>
      <c r="I200" s="7"/>
      <c r="J200" s="17"/>
      <c r="K200" s="7"/>
      <c r="L200" s="7"/>
      <c r="M200" s="7"/>
    </row>
    <row r="201" ht="15.75" customHeight="1">
      <c r="A201" s="22"/>
      <c r="B201" s="7"/>
      <c r="C201" s="7"/>
      <c r="D201" s="7"/>
      <c r="E201" s="7"/>
      <c r="F201" s="7"/>
      <c r="G201" s="7"/>
      <c r="H201" s="7"/>
      <c r="I201" s="7"/>
      <c r="J201" s="17"/>
      <c r="K201" s="7"/>
      <c r="L201" s="7"/>
      <c r="M201" s="7"/>
    </row>
    <row r="202" ht="15.75" customHeight="1">
      <c r="A202" s="22"/>
      <c r="B202" s="7"/>
      <c r="C202" s="7"/>
      <c r="D202" s="7"/>
      <c r="E202" s="7"/>
      <c r="F202" s="7"/>
      <c r="G202" s="7"/>
      <c r="H202" s="7"/>
      <c r="I202" s="7"/>
      <c r="J202" s="17"/>
      <c r="K202" s="7"/>
      <c r="L202" s="7"/>
      <c r="M202" s="7"/>
    </row>
    <row r="203" ht="15.75" customHeight="1">
      <c r="A203" s="22"/>
      <c r="B203" s="7"/>
      <c r="C203" s="7"/>
      <c r="D203" s="7"/>
      <c r="E203" s="7"/>
      <c r="F203" s="7"/>
      <c r="G203" s="7"/>
      <c r="H203" s="7"/>
      <c r="I203" s="7"/>
      <c r="J203" s="17"/>
      <c r="K203" s="7"/>
      <c r="L203" s="7"/>
      <c r="M203" s="7"/>
    </row>
    <row r="204" ht="15.75" customHeight="1">
      <c r="A204" s="22"/>
      <c r="B204" s="7"/>
      <c r="C204" s="7"/>
      <c r="D204" s="7"/>
      <c r="E204" s="7"/>
      <c r="F204" s="7"/>
      <c r="G204" s="7"/>
      <c r="H204" s="7"/>
      <c r="I204" s="7"/>
      <c r="J204" s="17"/>
      <c r="K204" s="7"/>
      <c r="L204" s="7"/>
      <c r="M204" s="7"/>
    </row>
    <row r="205" ht="15.75" customHeight="1">
      <c r="A205" s="22"/>
      <c r="B205" s="7"/>
      <c r="C205" s="7"/>
      <c r="D205" s="7"/>
      <c r="E205" s="7"/>
      <c r="F205" s="7"/>
      <c r="G205" s="7"/>
      <c r="H205" s="7"/>
      <c r="I205" s="7"/>
      <c r="J205" s="17"/>
      <c r="K205" s="7"/>
      <c r="L205" s="7"/>
      <c r="M205" s="7"/>
    </row>
    <row r="206" ht="15.75" customHeight="1">
      <c r="A206" s="22"/>
      <c r="B206" s="7"/>
      <c r="C206" s="7"/>
      <c r="D206" s="7"/>
      <c r="E206" s="7"/>
      <c r="F206" s="7"/>
      <c r="G206" s="7"/>
      <c r="H206" s="7"/>
      <c r="I206" s="7"/>
      <c r="J206" s="17"/>
      <c r="K206" s="7"/>
      <c r="L206" s="7"/>
      <c r="M206" s="7"/>
    </row>
    <row r="207" ht="15.75" customHeight="1">
      <c r="A207" s="22"/>
      <c r="B207" s="7"/>
      <c r="C207" s="7"/>
      <c r="D207" s="7"/>
      <c r="E207" s="7"/>
      <c r="F207" s="7"/>
      <c r="G207" s="7"/>
      <c r="H207" s="7"/>
      <c r="I207" s="7"/>
      <c r="J207" s="17"/>
      <c r="K207" s="7"/>
      <c r="L207" s="7"/>
      <c r="M207" s="7"/>
    </row>
    <row r="208" ht="15.75" customHeight="1">
      <c r="A208" s="22"/>
      <c r="B208" s="7"/>
      <c r="C208" s="7"/>
      <c r="D208" s="7"/>
      <c r="E208" s="7"/>
      <c r="F208" s="7"/>
      <c r="G208" s="7"/>
      <c r="H208" s="7"/>
      <c r="I208" s="7"/>
      <c r="J208" s="17"/>
      <c r="K208" s="7"/>
      <c r="L208" s="7"/>
      <c r="M208" s="7"/>
    </row>
    <row r="209" ht="15.75" customHeight="1">
      <c r="A209" s="22"/>
      <c r="B209" s="7"/>
      <c r="C209" s="7"/>
      <c r="D209" s="7"/>
      <c r="E209" s="7"/>
      <c r="F209" s="7"/>
      <c r="G209" s="7"/>
      <c r="H209" s="7"/>
      <c r="I209" s="7"/>
      <c r="J209" s="17"/>
      <c r="K209" s="7"/>
      <c r="L209" s="7"/>
      <c r="M209" s="7"/>
    </row>
    <row r="210" ht="15.75" customHeight="1">
      <c r="A210" s="22"/>
      <c r="B210" s="7"/>
      <c r="C210" s="7"/>
      <c r="D210" s="7"/>
      <c r="E210" s="7"/>
      <c r="F210" s="7"/>
      <c r="G210" s="7"/>
      <c r="H210" s="7"/>
      <c r="I210" s="7"/>
      <c r="J210" s="17"/>
      <c r="K210" s="7"/>
      <c r="L210" s="7"/>
      <c r="M210" s="7"/>
    </row>
    <row r="211" ht="15.75" customHeight="1">
      <c r="A211" s="22"/>
      <c r="B211" s="7"/>
      <c r="C211" s="7"/>
      <c r="D211" s="7"/>
      <c r="E211" s="7"/>
      <c r="F211" s="7"/>
      <c r="G211" s="7"/>
      <c r="H211" s="7"/>
      <c r="I211" s="7"/>
      <c r="J211" s="17"/>
      <c r="K211" s="7"/>
      <c r="L211" s="7"/>
      <c r="M211" s="7"/>
    </row>
    <row r="212" ht="15.75" customHeight="1">
      <c r="A212" s="22"/>
      <c r="B212" s="7"/>
      <c r="C212" s="7"/>
      <c r="D212" s="7"/>
      <c r="E212" s="7"/>
      <c r="F212" s="7"/>
      <c r="G212" s="7"/>
      <c r="H212" s="7"/>
      <c r="I212" s="7"/>
      <c r="J212" s="17"/>
      <c r="K212" s="7"/>
      <c r="L212" s="7"/>
      <c r="M212" s="7"/>
    </row>
    <row r="213" ht="15.75" customHeight="1">
      <c r="A213" s="22"/>
      <c r="B213" s="7"/>
      <c r="C213" s="7"/>
      <c r="D213" s="7"/>
      <c r="E213" s="7"/>
      <c r="F213" s="7"/>
      <c r="G213" s="7"/>
      <c r="H213" s="7"/>
      <c r="I213" s="7"/>
      <c r="J213" s="17"/>
      <c r="K213" s="7"/>
      <c r="L213" s="7"/>
      <c r="M213" s="7"/>
    </row>
    <row r="214" ht="15.75" customHeight="1">
      <c r="A214" s="22"/>
      <c r="B214" s="7"/>
      <c r="C214" s="7"/>
      <c r="D214" s="7"/>
      <c r="E214" s="7"/>
      <c r="F214" s="7"/>
      <c r="G214" s="7"/>
      <c r="H214" s="7"/>
      <c r="I214" s="7"/>
      <c r="J214" s="17"/>
      <c r="K214" s="7"/>
      <c r="L214" s="7"/>
      <c r="M214" s="7"/>
    </row>
    <row r="215" ht="15.75" customHeight="1">
      <c r="A215" s="22"/>
      <c r="B215" s="7"/>
      <c r="C215" s="7"/>
      <c r="D215" s="7"/>
      <c r="E215" s="7"/>
      <c r="F215" s="7"/>
      <c r="G215" s="7"/>
      <c r="H215" s="7"/>
      <c r="I215" s="7"/>
      <c r="J215" s="17"/>
      <c r="K215" s="7"/>
      <c r="L215" s="7"/>
      <c r="M215" s="7"/>
    </row>
    <row r="216" ht="15.75" customHeight="1">
      <c r="A216" s="22"/>
      <c r="B216" s="7"/>
      <c r="C216" s="7"/>
      <c r="D216" s="7"/>
      <c r="E216" s="7"/>
      <c r="F216" s="7"/>
      <c r="G216" s="7"/>
      <c r="H216" s="7"/>
      <c r="I216" s="7"/>
      <c r="J216" s="17"/>
      <c r="K216" s="7"/>
      <c r="L216" s="7"/>
      <c r="M216" s="7"/>
    </row>
    <row r="217" ht="15.75" customHeight="1">
      <c r="A217" s="22"/>
      <c r="B217" s="7"/>
      <c r="C217" s="7"/>
      <c r="D217" s="7"/>
      <c r="E217" s="7"/>
      <c r="F217" s="7"/>
      <c r="G217" s="7"/>
      <c r="H217" s="7"/>
      <c r="I217" s="7"/>
      <c r="J217" s="17"/>
      <c r="K217" s="7"/>
      <c r="L217" s="7"/>
      <c r="M217" s="7"/>
    </row>
    <row r="218" ht="15.75" customHeight="1">
      <c r="A218" s="22"/>
      <c r="B218" s="7"/>
      <c r="C218" s="7"/>
      <c r="D218" s="7"/>
      <c r="E218" s="7"/>
      <c r="F218" s="7"/>
      <c r="G218" s="7"/>
      <c r="H218" s="7"/>
      <c r="I218" s="7"/>
      <c r="J218" s="17"/>
      <c r="K218" s="7"/>
      <c r="L218" s="7"/>
      <c r="M218" s="7"/>
    </row>
    <row r="219" ht="15.75" customHeight="1">
      <c r="A219" s="22"/>
      <c r="B219" s="7"/>
      <c r="C219" s="7"/>
      <c r="D219" s="7"/>
      <c r="E219" s="7"/>
      <c r="F219" s="7"/>
      <c r="G219" s="7"/>
      <c r="H219" s="7"/>
      <c r="I219" s="7"/>
      <c r="J219" s="17"/>
      <c r="K219" s="7"/>
      <c r="L219" s="7"/>
      <c r="M219" s="7"/>
    </row>
    <row r="220" ht="15.75" customHeight="1">
      <c r="A220" s="22"/>
      <c r="B220" s="7"/>
      <c r="C220" s="7"/>
      <c r="D220" s="7"/>
      <c r="E220" s="7"/>
      <c r="F220" s="7"/>
      <c r="G220" s="7"/>
      <c r="H220" s="7"/>
      <c r="I220" s="7"/>
      <c r="J220" s="17"/>
      <c r="K220" s="7"/>
      <c r="L220" s="7"/>
      <c r="M220" s="7"/>
    </row>
    <row r="221" ht="15.75" customHeight="1">
      <c r="A221" s="22"/>
      <c r="B221" s="7"/>
      <c r="C221" s="7"/>
      <c r="D221" s="7"/>
      <c r="E221" s="7"/>
      <c r="F221" s="7"/>
      <c r="G221" s="7"/>
      <c r="H221" s="7"/>
      <c r="I221" s="7"/>
      <c r="J221" s="17"/>
      <c r="K221" s="7"/>
      <c r="L221" s="7"/>
      <c r="M221" s="7"/>
    </row>
    <row r="222" ht="15.75" customHeight="1">
      <c r="A222" s="22"/>
      <c r="B222" s="7"/>
      <c r="C222" s="7"/>
      <c r="D222" s="7"/>
      <c r="E222" s="7"/>
      <c r="F222" s="7"/>
      <c r="G222" s="7"/>
      <c r="H222" s="7"/>
      <c r="I222" s="7"/>
      <c r="J222" s="17"/>
      <c r="K222" s="7"/>
      <c r="L222" s="7"/>
      <c r="M222" s="7"/>
    </row>
    <row r="223" ht="15.75" customHeight="1">
      <c r="A223" s="22"/>
      <c r="B223" s="7"/>
      <c r="C223" s="7"/>
      <c r="D223" s="7"/>
      <c r="E223" s="7"/>
      <c r="F223" s="7"/>
      <c r="G223" s="7"/>
      <c r="H223" s="7"/>
      <c r="I223" s="7"/>
      <c r="J223" s="17"/>
      <c r="K223" s="7"/>
      <c r="L223" s="7"/>
      <c r="M223" s="7"/>
    </row>
    <row r="224" ht="15.75" customHeight="1">
      <c r="A224" s="22"/>
      <c r="B224" s="7"/>
      <c r="C224" s="7"/>
      <c r="D224" s="7"/>
      <c r="E224" s="7"/>
      <c r="F224" s="7"/>
      <c r="G224" s="7"/>
      <c r="H224" s="7"/>
      <c r="I224" s="7"/>
      <c r="J224" s="17"/>
      <c r="K224" s="7"/>
      <c r="L224" s="7"/>
      <c r="M224" s="7"/>
    </row>
    <row r="225" ht="15.75" customHeight="1">
      <c r="A225" s="22"/>
      <c r="B225" s="7"/>
      <c r="C225" s="7"/>
      <c r="D225" s="7"/>
      <c r="E225" s="7"/>
      <c r="F225" s="7"/>
      <c r="G225" s="7"/>
      <c r="H225" s="7"/>
      <c r="I225" s="7"/>
      <c r="J225" s="17"/>
      <c r="K225" s="7"/>
      <c r="L225" s="7"/>
      <c r="M225" s="7"/>
    </row>
    <row r="226" ht="15.75" customHeight="1">
      <c r="A226" s="22"/>
      <c r="B226" s="7"/>
      <c r="C226" s="7"/>
      <c r="D226" s="7"/>
      <c r="E226" s="7"/>
      <c r="F226" s="7"/>
      <c r="G226" s="7"/>
      <c r="H226" s="7"/>
      <c r="I226" s="7"/>
      <c r="J226" s="17"/>
      <c r="K226" s="7"/>
      <c r="L226" s="7"/>
      <c r="M226" s="7"/>
    </row>
    <row r="227" ht="15.75" customHeight="1">
      <c r="A227" s="22"/>
      <c r="B227" s="7"/>
      <c r="C227" s="7"/>
      <c r="D227" s="7"/>
      <c r="E227" s="7"/>
      <c r="F227" s="7"/>
      <c r="G227" s="7"/>
      <c r="H227" s="7"/>
      <c r="I227" s="7"/>
      <c r="J227" s="17"/>
      <c r="K227" s="7"/>
      <c r="L227" s="7"/>
      <c r="M227" s="7"/>
    </row>
    <row r="228" ht="15.75" customHeight="1">
      <c r="A228" s="22"/>
      <c r="B228" s="7"/>
      <c r="C228" s="7"/>
      <c r="D228" s="7"/>
      <c r="E228" s="7"/>
      <c r="F228" s="7"/>
      <c r="G228" s="7"/>
      <c r="H228" s="7"/>
      <c r="I228" s="7"/>
      <c r="J228" s="17"/>
      <c r="K228" s="7"/>
      <c r="L228" s="7"/>
      <c r="M228" s="7"/>
    </row>
    <row r="229" ht="15.75" customHeight="1">
      <c r="A229" s="22"/>
      <c r="B229" s="7"/>
      <c r="C229" s="7"/>
      <c r="D229" s="7"/>
      <c r="E229" s="7"/>
      <c r="F229" s="7"/>
      <c r="G229" s="7"/>
      <c r="H229" s="7"/>
      <c r="I229" s="7"/>
      <c r="J229" s="17"/>
      <c r="K229" s="7"/>
      <c r="L229" s="7"/>
      <c r="M229" s="7"/>
    </row>
    <row r="230" ht="15.75" customHeight="1">
      <c r="A230" s="22"/>
      <c r="B230" s="7"/>
      <c r="C230" s="7"/>
      <c r="D230" s="7"/>
      <c r="E230" s="7"/>
      <c r="F230" s="7"/>
      <c r="G230" s="7"/>
      <c r="H230" s="7"/>
      <c r="I230" s="7"/>
      <c r="J230" s="17"/>
      <c r="K230" s="7"/>
      <c r="L230" s="7"/>
      <c r="M230" s="7"/>
    </row>
    <row r="231" ht="15.75" customHeight="1">
      <c r="A231" s="22"/>
      <c r="B231" s="7"/>
      <c r="C231" s="7"/>
      <c r="D231" s="7"/>
      <c r="E231" s="7"/>
      <c r="F231" s="7"/>
      <c r="G231" s="7"/>
      <c r="H231" s="7"/>
      <c r="I231" s="7"/>
      <c r="J231" s="17"/>
      <c r="K231" s="7"/>
      <c r="L231" s="7"/>
      <c r="M231" s="7"/>
    </row>
    <row r="232" ht="15.75" customHeight="1">
      <c r="A232" s="22"/>
      <c r="B232" s="7"/>
      <c r="C232" s="7"/>
      <c r="D232" s="7"/>
      <c r="E232" s="7"/>
      <c r="F232" s="7"/>
      <c r="G232" s="7"/>
      <c r="H232" s="7"/>
      <c r="I232" s="7"/>
      <c r="J232" s="17"/>
      <c r="K232" s="7"/>
      <c r="L232" s="7"/>
      <c r="M232" s="7"/>
    </row>
    <row r="233" ht="15.75" customHeight="1">
      <c r="A233" s="22"/>
      <c r="B233" s="7"/>
      <c r="C233" s="7"/>
      <c r="D233" s="7"/>
      <c r="E233" s="7"/>
      <c r="F233" s="7"/>
      <c r="G233" s="7"/>
      <c r="H233" s="7"/>
      <c r="I233" s="7"/>
      <c r="J233" s="17"/>
      <c r="K233" s="7"/>
      <c r="L233" s="7"/>
      <c r="M233" s="7"/>
    </row>
    <row r="234" ht="15.75" customHeight="1">
      <c r="A234" s="22"/>
      <c r="B234" s="7"/>
      <c r="C234" s="7"/>
      <c r="D234" s="7"/>
      <c r="E234" s="7"/>
      <c r="F234" s="7"/>
      <c r="G234" s="7"/>
      <c r="H234" s="7"/>
      <c r="I234" s="7"/>
      <c r="J234" s="17"/>
      <c r="K234" s="7"/>
      <c r="L234" s="7"/>
      <c r="M234" s="7"/>
    </row>
    <row r="235" ht="15.75" customHeight="1">
      <c r="A235" s="22"/>
      <c r="B235" s="7"/>
      <c r="C235" s="7"/>
      <c r="D235" s="7"/>
      <c r="E235" s="7"/>
      <c r="F235" s="7"/>
      <c r="G235" s="7"/>
      <c r="H235" s="7"/>
      <c r="I235" s="7"/>
      <c r="J235" s="17"/>
      <c r="K235" s="7"/>
      <c r="L235" s="7"/>
      <c r="M235" s="7"/>
    </row>
    <row r="236" ht="15.75" customHeight="1">
      <c r="A236" s="22"/>
      <c r="B236" s="7"/>
      <c r="C236" s="7"/>
      <c r="D236" s="7"/>
      <c r="E236" s="7"/>
      <c r="F236" s="7"/>
      <c r="G236" s="7"/>
      <c r="H236" s="7"/>
      <c r="I236" s="7"/>
      <c r="J236" s="17"/>
      <c r="K236" s="7"/>
      <c r="L236" s="7"/>
      <c r="M236" s="7"/>
    </row>
    <row r="237" ht="15.75" customHeight="1">
      <c r="A237" s="22"/>
      <c r="B237" s="7"/>
      <c r="C237" s="7"/>
      <c r="D237" s="7"/>
      <c r="E237" s="7"/>
      <c r="F237" s="7"/>
      <c r="G237" s="7"/>
      <c r="H237" s="7"/>
      <c r="I237" s="7"/>
      <c r="J237" s="17"/>
      <c r="K237" s="7"/>
      <c r="L237" s="7"/>
      <c r="M237" s="7"/>
    </row>
    <row r="238" ht="15.75" customHeight="1">
      <c r="A238" s="22"/>
      <c r="B238" s="7"/>
      <c r="C238" s="7"/>
      <c r="D238" s="7"/>
      <c r="E238" s="7"/>
      <c r="F238" s="7"/>
      <c r="G238" s="7"/>
      <c r="H238" s="7"/>
      <c r="I238" s="7"/>
      <c r="J238" s="17"/>
      <c r="K238" s="7"/>
      <c r="L238" s="7"/>
      <c r="M238" s="7"/>
    </row>
    <row r="239" ht="15.75" customHeight="1">
      <c r="A239" s="22"/>
      <c r="B239" s="7"/>
      <c r="C239" s="7"/>
      <c r="D239" s="7"/>
      <c r="E239" s="7"/>
      <c r="F239" s="7"/>
      <c r="G239" s="7"/>
      <c r="H239" s="7"/>
      <c r="I239" s="7"/>
      <c r="J239" s="17"/>
      <c r="K239" s="7"/>
      <c r="L239" s="7"/>
      <c r="M239" s="7"/>
    </row>
    <row r="240" ht="15.75" customHeight="1">
      <c r="A240" s="22"/>
      <c r="B240" s="7"/>
      <c r="C240" s="7"/>
      <c r="D240" s="7"/>
      <c r="E240" s="7"/>
      <c r="F240" s="7"/>
      <c r="G240" s="7"/>
      <c r="H240" s="7"/>
      <c r="I240" s="7"/>
      <c r="J240" s="17"/>
      <c r="K240" s="7"/>
      <c r="L240" s="7"/>
      <c r="M240" s="7"/>
    </row>
    <row r="241" ht="15.75" customHeight="1">
      <c r="A241" s="22"/>
      <c r="B241" s="7"/>
      <c r="C241" s="7"/>
      <c r="D241" s="7"/>
      <c r="E241" s="7"/>
      <c r="F241" s="7"/>
      <c r="G241" s="7"/>
      <c r="H241" s="7"/>
      <c r="I241" s="7"/>
      <c r="J241" s="17"/>
      <c r="K241" s="7"/>
      <c r="L241" s="7"/>
      <c r="M241" s="7"/>
    </row>
    <row r="242" ht="15.75" customHeight="1">
      <c r="A242" s="22"/>
      <c r="B242" s="7"/>
      <c r="C242" s="7"/>
      <c r="D242" s="7"/>
      <c r="E242" s="7"/>
      <c r="F242" s="7"/>
      <c r="G242" s="7"/>
      <c r="H242" s="7"/>
      <c r="I242" s="7"/>
      <c r="J242" s="17"/>
      <c r="K242" s="7"/>
      <c r="L242" s="7"/>
      <c r="M242" s="7"/>
    </row>
    <row r="243" ht="15.75" customHeight="1">
      <c r="A243" s="22"/>
      <c r="B243" s="7"/>
      <c r="C243" s="7"/>
      <c r="D243" s="7"/>
      <c r="E243" s="7"/>
      <c r="F243" s="7"/>
      <c r="G243" s="7"/>
      <c r="H243" s="7"/>
      <c r="I243" s="7"/>
      <c r="J243" s="17"/>
      <c r="K243" s="7"/>
      <c r="L243" s="7"/>
      <c r="M243" s="7"/>
    </row>
    <row r="244" ht="15.75" customHeight="1">
      <c r="A244" s="22"/>
      <c r="B244" s="7"/>
      <c r="C244" s="7"/>
      <c r="D244" s="7"/>
      <c r="E244" s="7"/>
      <c r="F244" s="7"/>
      <c r="G244" s="7"/>
      <c r="H244" s="7"/>
      <c r="I244" s="7"/>
      <c r="J244" s="17"/>
      <c r="K244" s="7"/>
      <c r="L244" s="7"/>
      <c r="M244" s="7"/>
    </row>
    <row r="245" ht="15.75" customHeight="1">
      <c r="A245" s="22"/>
      <c r="B245" s="7"/>
      <c r="C245" s="7"/>
      <c r="D245" s="7"/>
      <c r="E245" s="7"/>
      <c r="F245" s="7"/>
      <c r="G245" s="7"/>
      <c r="H245" s="7"/>
      <c r="I245" s="7"/>
      <c r="J245" s="17"/>
      <c r="K245" s="7"/>
      <c r="L245" s="7"/>
      <c r="M245" s="7"/>
    </row>
    <row r="246" ht="15.75" customHeight="1">
      <c r="A246" s="22"/>
      <c r="B246" s="7"/>
      <c r="C246" s="7"/>
      <c r="D246" s="7"/>
      <c r="E246" s="7"/>
      <c r="F246" s="7"/>
      <c r="G246" s="7"/>
      <c r="H246" s="7"/>
      <c r="I246" s="7"/>
      <c r="J246" s="17"/>
      <c r="K246" s="7"/>
      <c r="L246" s="7"/>
      <c r="M246" s="7"/>
    </row>
    <row r="247" ht="15.75" customHeight="1">
      <c r="A247" s="22"/>
      <c r="B247" s="7"/>
      <c r="C247" s="7"/>
      <c r="D247" s="7"/>
      <c r="E247" s="7"/>
      <c r="F247" s="7"/>
      <c r="G247" s="7"/>
      <c r="H247" s="7"/>
      <c r="I247" s="7"/>
      <c r="J247" s="17"/>
      <c r="K247" s="7"/>
      <c r="L247" s="7"/>
      <c r="M247" s="7"/>
    </row>
    <row r="248" ht="15.75" customHeight="1">
      <c r="A248" s="22"/>
      <c r="B248" s="7"/>
      <c r="C248" s="7"/>
      <c r="D248" s="7"/>
      <c r="E248" s="7"/>
      <c r="F248" s="7"/>
      <c r="G248" s="7"/>
      <c r="H248" s="7"/>
      <c r="I248" s="7"/>
      <c r="J248" s="17"/>
      <c r="K248" s="7"/>
      <c r="L248" s="7"/>
      <c r="M248" s="7"/>
    </row>
    <row r="249" ht="15.75" customHeight="1">
      <c r="A249" s="22"/>
      <c r="B249" s="7"/>
      <c r="C249" s="7"/>
      <c r="D249" s="7"/>
      <c r="E249" s="7"/>
      <c r="F249" s="7"/>
      <c r="G249" s="7"/>
      <c r="H249" s="7"/>
      <c r="I249" s="7"/>
      <c r="J249" s="17"/>
      <c r="K249" s="7"/>
      <c r="L249" s="7"/>
      <c r="M249" s="7"/>
    </row>
    <row r="250" ht="15.75" customHeight="1">
      <c r="A250" s="22"/>
      <c r="B250" s="7"/>
      <c r="C250" s="7"/>
      <c r="D250" s="7"/>
      <c r="E250" s="7"/>
      <c r="F250" s="7"/>
      <c r="G250" s="7"/>
      <c r="H250" s="7"/>
      <c r="I250" s="7"/>
      <c r="J250" s="17"/>
      <c r="K250" s="7"/>
      <c r="L250" s="7"/>
      <c r="M250" s="7"/>
    </row>
    <row r="251" ht="15.75" customHeight="1">
      <c r="A251" s="22"/>
      <c r="B251" s="7"/>
      <c r="C251" s="7"/>
      <c r="D251" s="7"/>
      <c r="E251" s="7"/>
      <c r="F251" s="7"/>
      <c r="G251" s="7"/>
      <c r="H251" s="7"/>
      <c r="I251" s="7"/>
      <c r="J251" s="17"/>
      <c r="K251" s="7"/>
      <c r="L251" s="7"/>
      <c r="M251" s="7"/>
    </row>
    <row r="252" ht="15.75" customHeight="1">
      <c r="A252" s="22"/>
      <c r="B252" s="7"/>
      <c r="C252" s="7"/>
      <c r="D252" s="7"/>
      <c r="E252" s="7"/>
      <c r="F252" s="7"/>
      <c r="G252" s="7"/>
      <c r="H252" s="7"/>
      <c r="I252" s="7"/>
      <c r="J252" s="17"/>
      <c r="K252" s="7"/>
      <c r="L252" s="7"/>
      <c r="M252" s="7"/>
    </row>
    <row r="253" ht="15.75" customHeight="1">
      <c r="A253" s="22"/>
      <c r="B253" s="7"/>
      <c r="C253" s="7"/>
      <c r="D253" s="7"/>
      <c r="E253" s="7"/>
      <c r="F253" s="7"/>
      <c r="G253" s="7"/>
      <c r="H253" s="7"/>
      <c r="I253" s="7"/>
      <c r="J253" s="17"/>
      <c r="K253" s="7"/>
      <c r="L253" s="7"/>
      <c r="M253" s="7"/>
    </row>
    <row r="254" ht="15.75" customHeight="1">
      <c r="A254" s="22"/>
      <c r="B254" s="7"/>
      <c r="C254" s="7"/>
      <c r="D254" s="7"/>
      <c r="E254" s="7"/>
      <c r="F254" s="7"/>
      <c r="G254" s="7"/>
      <c r="H254" s="7"/>
      <c r="I254" s="7"/>
      <c r="J254" s="17"/>
      <c r="K254" s="7"/>
      <c r="L254" s="7"/>
      <c r="M254" s="7"/>
    </row>
    <row r="255" ht="15.75" customHeight="1">
      <c r="A255" s="22"/>
      <c r="B255" s="7"/>
      <c r="C255" s="7"/>
      <c r="D255" s="7"/>
      <c r="E255" s="7"/>
      <c r="F255" s="7"/>
      <c r="G255" s="7"/>
      <c r="H255" s="7"/>
      <c r="I255" s="7"/>
      <c r="J255" s="17"/>
      <c r="K255" s="7"/>
      <c r="L255" s="7"/>
      <c r="M255" s="7"/>
    </row>
    <row r="256" ht="15.75" customHeight="1">
      <c r="A256" s="22"/>
      <c r="B256" s="7"/>
      <c r="C256" s="7"/>
      <c r="D256" s="7"/>
      <c r="E256" s="7"/>
      <c r="F256" s="7"/>
      <c r="G256" s="7"/>
      <c r="H256" s="7"/>
      <c r="I256" s="7"/>
      <c r="J256" s="17"/>
      <c r="K256" s="7"/>
      <c r="L256" s="7"/>
      <c r="M256" s="7"/>
    </row>
    <row r="257" ht="15.75" customHeight="1">
      <c r="A257" s="22"/>
      <c r="B257" s="7"/>
      <c r="C257" s="7"/>
      <c r="D257" s="7"/>
      <c r="E257" s="7"/>
      <c r="F257" s="7"/>
      <c r="G257" s="7"/>
      <c r="H257" s="7"/>
      <c r="I257" s="7"/>
      <c r="J257" s="17"/>
      <c r="K257" s="7"/>
      <c r="L257" s="7"/>
      <c r="M257" s="7"/>
    </row>
    <row r="258" ht="15.75" customHeight="1">
      <c r="A258" s="22"/>
      <c r="B258" s="7"/>
      <c r="C258" s="7"/>
      <c r="D258" s="7"/>
      <c r="E258" s="7"/>
      <c r="F258" s="7"/>
      <c r="G258" s="7"/>
      <c r="H258" s="7"/>
      <c r="I258" s="7"/>
      <c r="J258" s="17"/>
      <c r="K258" s="7"/>
      <c r="L258" s="7"/>
      <c r="M258" s="7"/>
    </row>
    <row r="259" ht="15.75" customHeight="1">
      <c r="A259" s="22"/>
      <c r="B259" s="7"/>
      <c r="C259" s="7"/>
      <c r="D259" s="7"/>
      <c r="E259" s="7"/>
      <c r="F259" s="7"/>
      <c r="G259" s="7"/>
      <c r="H259" s="7"/>
      <c r="I259" s="7"/>
      <c r="J259" s="17"/>
      <c r="K259" s="7"/>
      <c r="L259" s="7"/>
      <c r="M259" s="7"/>
    </row>
    <row r="260" ht="15.75" customHeight="1">
      <c r="A260" s="22"/>
      <c r="B260" s="7"/>
      <c r="C260" s="7"/>
      <c r="D260" s="7"/>
      <c r="E260" s="7"/>
      <c r="F260" s="7"/>
      <c r="G260" s="7"/>
      <c r="H260" s="7"/>
      <c r="I260" s="7"/>
      <c r="J260" s="17"/>
      <c r="K260" s="7"/>
      <c r="L260" s="7"/>
      <c r="M260" s="7"/>
    </row>
    <row r="261" ht="15.75" customHeight="1">
      <c r="A261" s="22"/>
      <c r="B261" s="7"/>
      <c r="C261" s="7"/>
      <c r="D261" s="7"/>
      <c r="E261" s="7"/>
      <c r="F261" s="7"/>
      <c r="G261" s="7"/>
      <c r="H261" s="7"/>
      <c r="I261" s="7"/>
      <c r="J261" s="17"/>
      <c r="K261" s="7"/>
      <c r="L261" s="7"/>
      <c r="M261" s="7"/>
    </row>
    <row r="262" ht="15.75" customHeight="1">
      <c r="A262" s="22"/>
      <c r="B262" s="7"/>
      <c r="C262" s="7"/>
      <c r="D262" s="7"/>
      <c r="E262" s="7"/>
      <c r="F262" s="7"/>
      <c r="G262" s="7"/>
      <c r="H262" s="7"/>
      <c r="I262" s="7"/>
      <c r="J262" s="17"/>
      <c r="K262" s="7"/>
      <c r="L262" s="7"/>
      <c r="M262" s="7"/>
    </row>
    <row r="263" ht="15.75" customHeight="1">
      <c r="A263" s="22"/>
      <c r="B263" s="7"/>
      <c r="C263" s="7"/>
      <c r="D263" s="7"/>
      <c r="E263" s="7"/>
      <c r="F263" s="7"/>
      <c r="G263" s="7"/>
      <c r="H263" s="7"/>
      <c r="I263" s="7"/>
      <c r="J263" s="17"/>
      <c r="K263" s="7"/>
      <c r="L263" s="7"/>
      <c r="M263" s="7"/>
    </row>
    <row r="264" ht="15.75" customHeight="1">
      <c r="A264" s="22"/>
      <c r="B264" s="7"/>
      <c r="C264" s="7"/>
      <c r="D264" s="7"/>
      <c r="E264" s="7"/>
      <c r="F264" s="7"/>
      <c r="G264" s="7"/>
      <c r="H264" s="7"/>
      <c r="I264" s="7"/>
      <c r="J264" s="17"/>
      <c r="K264" s="7"/>
      <c r="L264" s="7"/>
      <c r="M264" s="7"/>
    </row>
    <row r="265" ht="15.75" customHeight="1">
      <c r="A265" s="22"/>
      <c r="B265" s="7"/>
      <c r="C265" s="7"/>
      <c r="D265" s="7"/>
      <c r="E265" s="7"/>
      <c r="F265" s="7"/>
      <c r="G265" s="7"/>
      <c r="H265" s="7"/>
      <c r="I265" s="7"/>
      <c r="J265" s="17"/>
      <c r="K265" s="7"/>
      <c r="L265" s="7"/>
      <c r="M265" s="7"/>
    </row>
    <row r="266" ht="15.75" customHeight="1">
      <c r="A266" s="22"/>
      <c r="B266" s="7"/>
      <c r="C266" s="7"/>
      <c r="D266" s="7"/>
      <c r="E266" s="7"/>
      <c r="F266" s="7"/>
      <c r="G266" s="7"/>
      <c r="H266" s="7"/>
      <c r="I266" s="7"/>
      <c r="J266" s="17"/>
      <c r="K266" s="7"/>
      <c r="L266" s="7"/>
      <c r="M266" s="7"/>
    </row>
    <row r="267" ht="15.75" customHeight="1">
      <c r="A267" s="22"/>
      <c r="B267" s="7"/>
      <c r="C267" s="7"/>
      <c r="D267" s="7"/>
      <c r="E267" s="7"/>
      <c r="F267" s="7"/>
      <c r="G267" s="7"/>
      <c r="H267" s="7"/>
      <c r="I267" s="7"/>
      <c r="J267" s="17"/>
      <c r="K267" s="7"/>
      <c r="L267" s="7"/>
      <c r="M267" s="7"/>
    </row>
    <row r="268" ht="15.75" customHeight="1">
      <c r="A268" s="22"/>
      <c r="B268" s="7"/>
      <c r="C268" s="7"/>
      <c r="D268" s="7"/>
      <c r="E268" s="7"/>
      <c r="F268" s="7"/>
      <c r="G268" s="7"/>
      <c r="H268" s="7"/>
      <c r="I268" s="7"/>
      <c r="J268" s="17"/>
      <c r="K268" s="7"/>
      <c r="L268" s="7"/>
      <c r="M268" s="7"/>
    </row>
    <row r="269" ht="15.75" customHeight="1">
      <c r="A269" s="22"/>
      <c r="B269" s="7"/>
      <c r="C269" s="7"/>
      <c r="D269" s="7"/>
      <c r="E269" s="7"/>
      <c r="F269" s="7"/>
      <c r="G269" s="7"/>
      <c r="H269" s="7"/>
      <c r="I269" s="7"/>
      <c r="J269" s="17"/>
      <c r="K269" s="7"/>
      <c r="L269" s="7"/>
      <c r="M269" s="7"/>
    </row>
    <row r="270" ht="15.75" customHeight="1">
      <c r="A270" s="22"/>
      <c r="B270" s="7"/>
      <c r="C270" s="7"/>
      <c r="D270" s="7"/>
      <c r="E270" s="7"/>
      <c r="F270" s="7"/>
      <c r="G270" s="7"/>
      <c r="H270" s="7"/>
      <c r="I270" s="7"/>
      <c r="J270" s="17"/>
      <c r="K270" s="7"/>
      <c r="L270" s="7"/>
      <c r="M270" s="7"/>
    </row>
    <row r="271" ht="15.75" customHeight="1">
      <c r="A271" s="22"/>
      <c r="B271" s="7"/>
      <c r="C271" s="7"/>
      <c r="D271" s="7"/>
      <c r="E271" s="7"/>
      <c r="F271" s="7"/>
      <c r="G271" s="7"/>
      <c r="H271" s="7"/>
      <c r="I271" s="7"/>
      <c r="J271" s="17"/>
      <c r="K271" s="7"/>
      <c r="L271" s="7"/>
      <c r="M271" s="7"/>
    </row>
    <row r="272" ht="15.75" customHeight="1">
      <c r="A272" s="22"/>
      <c r="B272" s="7"/>
      <c r="C272" s="7"/>
      <c r="D272" s="7"/>
      <c r="E272" s="7"/>
      <c r="F272" s="7"/>
      <c r="G272" s="7"/>
      <c r="H272" s="7"/>
      <c r="I272" s="7"/>
      <c r="J272" s="17"/>
      <c r="K272" s="7"/>
      <c r="L272" s="7"/>
      <c r="M272" s="7"/>
    </row>
    <row r="273" ht="15.75" customHeight="1">
      <c r="A273" s="22"/>
      <c r="B273" s="7"/>
      <c r="C273" s="7"/>
      <c r="D273" s="7"/>
      <c r="E273" s="7"/>
      <c r="F273" s="7"/>
      <c r="G273" s="7"/>
      <c r="H273" s="7"/>
      <c r="I273" s="7"/>
      <c r="J273" s="17"/>
      <c r="K273" s="7"/>
      <c r="L273" s="7"/>
      <c r="M273" s="7"/>
    </row>
    <row r="274" ht="15.75" customHeight="1">
      <c r="A274" s="22"/>
      <c r="B274" s="7"/>
      <c r="C274" s="7"/>
      <c r="D274" s="7"/>
      <c r="E274" s="7"/>
      <c r="F274" s="7"/>
      <c r="G274" s="7"/>
      <c r="H274" s="7"/>
      <c r="I274" s="7"/>
      <c r="J274" s="17"/>
      <c r="K274" s="7"/>
      <c r="L274" s="7"/>
      <c r="M274" s="7"/>
    </row>
    <row r="275" ht="15.75" customHeight="1">
      <c r="A275" s="22"/>
      <c r="B275" s="7"/>
      <c r="C275" s="7"/>
      <c r="D275" s="7"/>
      <c r="E275" s="7"/>
      <c r="F275" s="7"/>
      <c r="G275" s="7"/>
      <c r="H275" s="7"/>
      <c r="I275" s="7"/>
      <c r="J275" s="17"/>
      <c r="K275" s="7"/>
      <c r="L275" s="7"/>
      <c r="M275" s="7"/>
    </row>
    <row r="276" ht="15.75" customHeight="1">
      <c r="A276" s="22"/>
      <c r="B276" s="7"/>
      <c r="C276" s="7"/>
      <c r="D276" s="7"/>
      <c r="E276" s="7"/>
      <c r="F276" s="7"/>
      <c r="G276" s="7"/>
      <c r="H276" s="7"/>
      <c r="I276" s="7"/>
      <c r="J276" s="17"/>
      <c r="K276" s="7"/>
      <c r="L276" s="7"/>
      <c r="M276" s="7"/>
    </row>
    <row r="277" ht="15.75" customHeight="1">
      <c r="A277" s="22"/>
      <c r="B277" s="7"/>
      <c r="C277" s="7"/>
      <c r="D277" s="7"/>
      <c r="E277" s="7"/>
      <c r="F277" s="7"/>
      <c r="G277" s="7"/>
      <c r="H277" s="7"/>
      <c r="I277" s="7"/>
      <c r="J277" s="17"/>
      <c r="K277" s="7"/>
      <c r="L277" s="7"/>
      <c r="M277" s="7"/>
    </row>
    <row r="278" ht="15.75" customHeight="1">
      <c r="A278" s="22"/>
      <c r="B278" s="7"/>
      <c r="C278" s="7"/>
      <c r="D278" s="7"/>
      <c r="E278" s="7"/>
      <c r="F278" s="7"/>
      <c r="G278" s="7"/>
      <c r="H278" s="7"/>
      <c r="I278" s="7"/>
      <c r="J278" s="17"/>
      <c r="K278" s="7"/>
      <c r="L278" s="7"/>
      <c r="M278" s="7"/>
    </row>
    <row r="279" ht="15.75" customHeight="1">
      <c r="A279" s="22"/>
      <c r="B279" s="7"/>
      <c r="C279" s="7"/>
      <c r="D279" s="7"/>
      <c r="E279" s="7"/>
      <c r="F279" s="7"/>
      <c r="G279" s="7"/>
      <c r="H279" s="7"/>
      <c r="I279" s="7"/>
      <c r="J279" s="17"/>
      <c r="K279" s="7"/>
      <c r="L279" s="7"/>
      <c r="M279" s="7"/>
    </row>
    <row r="280" ht="15.75" customHeight="1">
      <c r="A280" s="22"/>
      <c r="B280" s="7"/>
      <c r="C280" s="7"/>
      <c r="D280" s="7"/>
      <c r="E280" s="7"/>
      <c r="F280" s="7"/>
      <c r="G280" s="7"/>
      <c r="H280" s="7"/>
      <c r="I280" s="7"/>
      <c r="J280" s="17"/>
      <c r="K280" s="7"/>
      <c r="L280" s="7"/>
      <c r="M280" s="7"/>
    </row>
    <row r="281" ht="15.75" customHeight="1">
      <c r="A281" s="22"/>
      <c r="B281" s="7"/>
      <c r="C281" s="7"/>
      <c r="D281" s="7"/>
      <c r="E281" s="7"/>
      <c r="F281" s="7"/>
      <c r="G281" s="7"/>
      <c r="H281" s="7"/>
      <c r="I281" s="7"/>
      <c r="J281" s="17"/>
      <c r="K281" s="7"/>
      <c r="L281" s="7"/>
      <c r="M281" s="7"/>
    </row>
    <row r="282" ht="15.75" customHeight="1">
      <c r="A282" s="22"/>
      <c r="B282" s="7"/>
      <c r="C282" s="7"/>
      <c r="D282" s="7"/>
      <c r="E282" s="7"/>
      <c r="F282" s="7"/>
      <c r="G282" s="7"/>
      <c r="H282" s="7"/>
      <c r="I282" s="7"/>
      <c r="J282" s="17"/>
      <c r="K282" s="7"/>
      <c r="L282" s="7"/>
      <c r="M282" s="7"/>
    </row>
    <row r="283" ht="15.75" customHeight="1">
      <c r="A283" s="22"/>
      <c r="B283" s="7"/>
      <c r="C283" s="7"/>
      <c r="D283" s="7"/>
      <c r="E283" s="7"/>
      <c r="F283" s="7"/>
      <c r="G283" s="7"/>
      <c r="H283" s="7"/>
      <c r="I283" s="7"/>
      <c r="J283" s="17"/>
      <c r="K283" s="7"/>
      <c r="L283" s="7"/>
      <c r="M283" s="7"/>
    </row>
    <row r="284" ht="15.75" customHeight="1">
      <c r="A284" s="22"/>
      <c r="B284" s="7"/>
      <c r="C284" s="7"/>
      <c r="D284" s="7"/>
      <c r="E284" s="7"/>
      <c r="F284" s="7"/>
      <c r="G284" s="7"/>
      <c r="H284" s="7"/>
      <c r="I284" s="7"/>
      <c r="J284" s="17"/>
      <c r="K284" s="7"/>
      <c r="L284" s="7"/>
      <c r="M284" s="7"/>
    </row>
    <row r="285" ht="15.75" customHeight="1">
      <c r="A285" s="22"/>
      <c r="B285" s="7"/>
      <c r="C285" s="7"/>
      <c r="D285" s="7"/>
      <c r="E285" s="7"/>
      <c r="F285" s="7"/>
      <c r="G285" s="7"/>
      <c r="H285" s="7"/>
      <c r="I285" s="7"/>
      <c r="J285" s="17"/>
      <c r="K285" s="7"/>
      <c r="L285" s="7"/>
      <c r="M285" s="7"/>
    </row>
    <row r="286" ht="15.75" customHeight="1">
      <c r="A286" s="22"/>
      <c r="B286" s="7"/>
      <c r="C286" s="7"/>
      <c r="D286" s="7"/>
      <c r="E286" s="7"/>
      <c r="F286" s="7"/>
      <c r="G286" s="7"/>
      <c r="H286" s="7"/>
      <c r="I286" s="7"/>
      <c r="J286" s="17"/>
      <c r="K286" s="7"/>
      <c r="L286" s="7"/>
      <c r="M286" s="7"/>
    </row>
    <row r="287" ht="15.75" customHeight="1">
      <c r="A287" s="22"/>
      <c r="B287" s="7"/>
      <c r="C287" s="7"/>
      <c r="D287" s="7"/>
      <c r="E287" s="7"/>
      <c r="F287" s="7"/>
      <c r="G287" s="7"/>
      <c r="H287" s="7"/>
      <c r="I287" s="7"/>
      <c r="J287" s="17"/>
      <c r="K287" s="7"/>
      <c r="L287" s="7"/>
      <c r="M287" s="7"/>
    </row>
    <row r="288" ht="15.75" customHeight="1">
      <c r="A288" s="22"/>
      <c r="B288" s="7"/>
      <c r="C288" s="7"/>
      <c r="D288" s="7"/>
      <c r="E288" s="7"/>
      <c r="F288" s="7"/>
      <c r="G288" s="7"/>
      <c r="H288" s="7"/>
      <c r="I288" s="7"/>
      <c r="J288" s="17"/>
      <c r="K288" s="7"/>
      <c r="L288" s="7"/>
      <c r="M288" s="7"/>
    </row>
    <row r="289" ht="15.75" customHeight="1">
      <c r="A289" s="22"/>
      <c r="B289" s="7"/>
      <c r="C289" s="7"/>
      <c r="D289" s="7"/>
      <c r="E289" s="7"/>
      <c r="F289" s="7"/>
      <c r="G289" s="7"/>
      <c r="H289" s="7"/>
      <c r="I289" s="7"/>
      <c r="J289" s="17"/>
      <c r="K289" s="7"/>
      <c r="L289" s="7"/>
      <c r="M289" s="7"/>
    </row>
    <row r="290" ht="15.75" customHeight="1">
      <c r="A290" s="22"/>
      <c r="B290" s="7"/>
      <c r="C290" s="7"/>
      <c r="D290" s="7"/>
      <c r="E290" s="7"/>
      <c r="F290" s="7"/>
      <c r="G290" s="7"/>
      <c r="H290" s="7"/>
      <c r="I290" s="7"/>
      <c r="J290" s="17"/>
      <c r="K290" s="7"/>
      <c r="L290" s="7"/>
      <c r="M290" s="7"/>
    </row>
    <row r="291" ht="15.75" customHeight="1">
      <c r="A291" s="22"/>
      <c r="B291" s="7"/>
      <c r="C291" s="7"/>
      <c r="D291" s="7"/>
      <c r="E291" s="7"/>
      <c r="F291" s="7"/>
      <c r="G291" s="7"/>
      <c r="H291" s="7"/>
      <c r="I291" s="7"/>
      <c r="J291" s="17"/>
      <c r="K291" s="7"/>
      <c r="L291" s="7"/>
      <c r="M291" s="7"/>
    </row>
    <row r="292" ht="15.75" customHeight="1">
      <c r="A292" s="22"/>
      <c r="B292" s="7"/>
      <c r="C292" s="7"/>
      <c r="D292" s="7"/>
      <c r="E292" s="7"/>
      <c r="F292" s="7"/>
      <c r="G292" s="7"/>
      <c r="H292" s="7"/>
      <c r="I292" s="7"/>
      <c r="J292" s="17"/>
      <c r="K292" s="7"/>
      <c r="L292" s="7"/>
      <c r="M292" s="7"/>
    </row>
    <row r="293" ht="15.75" customHeight="1">
      <c r="A293" s="22"/>
      <c r="B293" s="7"/>
      <c r="C293" s="7"/>
      <c r="D293" s="7"/>
      <c r="E293" s="7"/>
      <c r="F293" s="7"/>
      <c r="G293" s="7"/>
      <c r="H293" s="7"/>
      <c r="I293" s="7"/>
      <c r="J293" s="17"/>
      <c r="K293" s="7"/>
      <c r="L293" s="7"/>
      <c r="M293" s="7"/>
    </row>
    <row r="294" ht="15.75" customHeight="1">
      <c r="A294" s="22"/>
      <c r="B294" s="7"/>
      <c r="C294" s="7"/>
      <c r="D294" s="7"/>
      <c r="E294" s="7"/>
      <c r="F294" s="7"/>
      <c r="G294" s="7"/>
      <c r="H294" s="7"/>
      <c r="I294" s="7"/>
      <c r="J294" s="17"/>
      <c r="K294" s="7"/>
      <c r="L294" s="7"/>
      <c r="M294" s="7"/>
    </row>
    <row r="295" ht="15.75" customHeight="1">
      <c r="A295" s="22"/>
      <c r="B295" s="7"/>
      <c r="C295" s="7"/>
      <c r="D295" s="7"/>
      <c r="E295" s="7"/>
      <c r="F295" s="7"/>
      <c r="G295" s="7"/>
      <c r="H295" s="7"/>
      <c r="I295" s="7"/>
      <c r="J295" s="17"/>
      <c r="K295" s="7"/>
      <c r="L295" s="7"/>
      <c r="M295" s="7"/>
    </row>
    <row r="296" ht="15.75" customHeight="1">
      <c r="A296" s="22"/>
      <c r="B296" s="7"/>
      <c r="C296" s="7"/>
      <c r="D296" s="7"/>
      <c r="E296" s="7"/>
      <c r="F296" s="7"/>
      <c r="G296" s="7"/>
      <c r="H296" s="7"/>
      <c r="I296" s="7"/>
      <c r="J296" s="17"/>
      <c r="K296" s="7"/>
      <c r="L296" s="7"/>
      <c r="M296" s="7"/>
    </row>
    <row r="297" ht="15.75" customHeight="1">
      <c r="A297" s="22"/>
      <c r="B297" s="7"/>
      <c r="C297" s="7"/>
      <c r="D297" s="7"/>
      <c r="E297" s="7"/>
      <c r="F297" s="7"/>
      <c r="G297" s="7"/>
      <c r="H297" s="7"/>
      <c r="I297" s="7"/>
      <c r="J297" s="17"/>
      <c r="K297" s="7"/>
      <c r="L297" s="7"/>
      <c r="M297" s="7"/>
    </row>
    <row r="298" ht="15.75" customHeight="1">
      <c r="A298" s="22"/>
      <c r="B298" s="7"/>
      <c r="C298" s="7"/>
      <c r="D298" s="7"/>
      <c r="E298" s="7"/>
      <c r="F298" s="7"/>
      <c r="G298" s="7"/>
      <c r="H298" s="7"/>
      <c r="I298" s="7"/>
      <c r="J298" s="17"/>
      <c r="K298" s="7"/>
      <c r="L298" s="7"/>
      <c r="M298" s="7"/>
    </row>
    <row r="299" ht="15.75" customHeight="1">
      <c r="A299" s="22"/>
      <c r="B299" s="7"/>
      <c r="C299" s="7"/>
      <c r="D299" s="7"/>
      <c r="E299" s="7"/>
      <c r="F299" s="7"/>
      <c r="G299" s="7"/>
      <c r="H299" s="7"/>
      <c r="I299" s="7"/>
      <c r="J299" s="17"/>
      <c r="K299" s="7"/>
      <c r="L299" s="7"/>
      <c r="M299" s="7"/>
    </row>
    <row r="300" ht="15.75" customHeight="1">
      <c r="A300" s="22"/>
      <c r="B300" s="7"/>
      <c r="C300" s="7"/>
      <c r="D300" s="7"/>
      <c r="E300" s="7"/>
      <c r="F300" s="7"/>
      <c r="G300" s="7"/>
      <c r="H300" s="7"/>
      <c r="I300" s="7"/>
      <c r="J300" s="17"/>
      <c r="K300" s="7"/>
      <c r="L300" s="7"/>
      <c r="M300" s="7"/>
    </row>
    <row r="301" ht="15.75" customHeight="1">
      <c r="A301" s="22"/>
      <c r="B301" s="7"/>
      <c r="C301" s="7"/>
      <c r="D301" s="7"/>
      <c r="E301" s="7"/>
      <c r="F301" s="7"/>
      <c r="G301" s="7"/>
      <c r="H301" s="7"/>
      <c r="I301" s="7"/>
      <c r="J301" s="17"/>
      <c r="K301" s="7"/>
      <c r="L301" s="7"/>
      <c r="M301" s="7"/>
    </row>
    <row r="302" ht="15.75" customHeight="1">
      <c r="A302" s="22"/>
      <c r="B302" s="7"/>
      <c r="C302" s="7"/>
      <c r="D302" s="7"/>
      <c r="E302" s="7"/>
      <c r="F302" s="7"/>
      <c r="G302" s="7"/>
      <c r="H302" s="7"/>
      <c r="I302" s="7"/>
      <c r="J302" s="17"/>
      <c r="K302" s="7"/>
      <c r="L302" s="7"/>
      <c r="M302" s="7"/>
    </row>
    <row r="303" ht="15.75" customHeight="1"/>
    <row r="304" ht="15.75" customHeight="1">
      <c r="A304" s="5" t="s">
        <v>97</v>
      </c>
    </row>
    <row r="305" ht="15.75" customHeight="1">
      <c r="A305" s="6" t="s">
        <v>79</v>
      </c>
      <c r="B305" s="6" t="s">
        <v>98</v>
      </c>
      <c r="C305" s="6" t="s">
        <v>54</v>
      </c>
    </row>
    <row r="306" ht="15.75" customHeight="1">
      <c r="A306" s="7" t="s">
        <v>41</v>
      </c>
      <c r="B306" s="16" t="str">
        <f t="shared" ref="B306:B315" si="1">COUNTIF($E$5:$E$302,$A306)</f>
        <v>0</v>
      </c>
      <c r="C306" s="17" t="str">
        <f t="shared" ref="C306:C315" si="2">SUMIF($E$5:$E$302,$A306,$J$5:$J$302)</f>
        <v>R$ 0.00</v>
      </c>
      <c r="G306" s="32" t="str">
        <f>B306*1000-1</f>
        <v>-1</v>
      </c>
    </row>
    <row r="307" ht="15.75" customHeight="1">
      <c r="A307" s="7" t="s">
        <v>42</v>
      </c>
      <c r="B307" s="16" t="str">
        <f t="shared" si="1"/>
        <v>0</v>
      </c>
      <c r="C307" s="17" t="str">
        <f t="shared" si="2"/>
        <v>R$ 0.00</v>
      </c>
      <c r="G307" s="32" t="str">
        <f>B307*1000-2</f>
        <v>-2</v>
      </c>
    </row>
    <row r="308" ht="15.75" customHeight="1">
      <c r="A308" s="7" t="s">
        <v>43</v>
      </c>
      <c r="B308" s="16" t="str">
        <f t="shared" si="1"/>
        <v>0</v>
      </c>
      <c r="C308" s="17" t="str">
        <f t="shared" si="2"/>
        <v>R$ 0.00</v>
      </c>
      <c r="G308" s="32" t="str">
        <f>B308*1000-3</f>
        <v>-3</v>
      </c>
    </row>
    <row r="309" ht="15.75" customHeight="1">
      <c r="A309" s="7" t="s">
        <v>44</v>
      </c>
      <c r="B309" s="16" t="str">
        <f t="shared" si="1"/>
        <v>0</v>
      </c>
      <c r="C309" s="17" t="str">
        <f t="shared" si="2"/>
        <v>R$ 0.00</v>
      </c>
      <c r="G309" s="32" t="str">
        <f>B309*1000-4</f>
        <v>-4</v>
      </c>
    </row>
    <row r="310" ht="15.75" customHeight="1">
      <c r="A310" s="7" t="s">
        <v>45</v>
      </c>
      <c r="B310" s="16" t="str">
        <f t="shared" si="1"/>
        <v>0</v>
      </c>
      <c r="C310" s="17" t="str">
        <f t="shared" si="2"/>
        <v>R$ 0.00</v>
      </c>
      <c r="G310" s="32" t="str">
        <f>B310*1000-5</f>
        <v>-5</v>
      </c>
    </row>
    <row r="311" ht="15.75" customHeight="1">
      <c r="A311" s="7" t="s">
        <v>46</v>
      </c>
      <c r="B311" s="16" t="str">
        <f t="shared" si="1"/>
        <v>0</v>
      </c>
      <c r="C311" s="17" t="str">
        <f t="shared" si="2"/>
        <v>R$ 0.00</v>
      </c>
      <c r="G311" s="32" t="str">
        <f>B311*1000-6</f>
        <v>-6</v>
      </c>
    </row>
    <row r="312" ht="15.75" customHeight="1">
      <c r="A312" s="7" t="s">
        <v>47</v>
      </c>
      <c r="B312" s="16" t="str">
        <f t="shared" si="1"/>
        <v>0</v>
      </c>
      <c r="C312" s="17" t="str">
        <f t="shared" si="2"/>
        <v>R$ 0.00</v>
      </c>
      <c r="G312" s="32" t="str">
        <f>B312*1000-7</f>
        <v>-7</v>
      </c>
    </row>
    <row r="313" ht="15.75" customHeight="1">
      <c r="A313" s="7" t="s">
        <v>48</v>
      </c>
      <c r="B313" s="16" t="str">
        <f t="shared" si="1"/>
        <v>0</v>
      </c>
      <c r="C313" s="17" t="str">
        <f t="shared" si="2"/>
        <v>R$ 0.00</v>
      </c>
      <c r="G313" s="32" t="str">
        <f>B313*1000-8</f>
        <v>-8</v>
      </c>
    </row>
    <row r="314" ht="15.75" customHeight="1">
      <c r="A314" s="7" t="s">
        <v>49</v>
      </c>
      <c r="B314" s="16" t="str">
        <f t="shared" si="1"/>
        <v>0</v>
      </c>
      <c r="C314" s="17" t="str">
        <f t="shared" si="2"/>
        <v>R$ 0.00</v>
      </c>
      <c r="G314" s="32" t="str">
        <f>B314*1000-9</f>
        <v>-9</v>
      </c>
    </row>
    <row r="315" ht="15.75" customHeight="1">
      <c r="A315" s="7" t="s">
        <v>50</v>
      </c>
      <c r="B315" s="16" t="str">
        <f t="shared" si="1"/>
        <v>0</v>
      </c>
      <c r="C315" s="17" t="str">
        <f t="shared" si="2"/>
        <v>R$ 0.00</v>
      </c>
      <c r="G315" s="32" t="str">
        <f>B315*1000-10</f>
        <v>-10</v>
      </c>
    </row>
    <row r="316" ht="15.75" customHeight="1"/>
    <row r="317" ht="15.75" customHeight="1">
      <c r="A317" s="5" t="s">
        <v>99</v>
      </c>
    </row>
    <row r="318" ht="15.75" customHeight="1">
      <c r="A318" s="6" t="s">
        <v>100</v>
      </c>
      <c r="B318" s="6" t="s">
        <v>98</v>
      </c>
    </row>
    <row r="319" ht="15.75" customHeight="1">
      <c r="A319" s="7" t="s">
        <v>101</v>
      </c>
      <c r="B319" s="16" t="str">
        <f t="shared" ref="B319:B326" si="3">COUNTIF($F$5:$F$302,$A319)</f>
        <v>0</v>
      </c>
      <c r="G319" s="32" t="str">
        <f>B319*1000-1</f>
        <v>-1</v>
      </c>
    </row>
    <row r="320" ht="15.75" customHeight="1">
      <c r="A320" s="7" t="s">
        <v>102</v>
      </c>
      <c r="B320" s="16" t="str">
        <f t="shared" si="3"/>
        <v>0</v>
      </c>
      <c r="G320" s="32" t="str">
        <f>B320*1000-2</f>
        <v>-2</v>
      </c>
    </row>
    <row r="321" ht="15.75" customHeight="1">
      <c r="A321" s="7" t="s">
        <v>103</v>
      </c>
      <c r="B321" s="16" t="str">
        <f t="shared" si="3"/>
        <v>0</v>
      </c>
      <c r="G321" s="32" t="str">
        <f>B321*1000-3</f>
        <v>-3</v>
      </c>
    </row>
    <row r="322" ht="15.75" customHeight="1">
      <c r="A322" s="7" t="s">
        <v>104</v>
      </c>
      <c r="B322" s="16" t="str">
        <f t="shared" si="3"/>
        <v>0</v>
      </c>
      <c r="G322" s="32" t="str">
        <f>B322*1000-4</f>
        <v>-4</v>
      </c>
    </row>
    <row r="323" ht="15.75" customHeight="1">
      <c r="A323" s="7" t="s">
        <v>105</v>
      </c>
      <c r="B323" s="16" t="str">
        <f t="shared" si="3"/>
        <v>0</v>
      </c>
      <c r="G323" s="32" t="str">
        <f>B323*1000-5</f>
        <v>-5</v>
      </c>
    </row>
    <row r="324" ht="15.75" customHeight="1">
      <c r="A324" s="7" t="s">
        <v>106</v>
      </c>
      <c r="B324" s="16" t="str">
        <f t="shared" si="3"/>
        <v>0</v>
      </c>
      <c r="G324" s="32" t="str">
        <f>B324*1000-6</f>
        <v>-6</v>
      </c>
    </row>
    <row r="325" ht="15.75" customHeight="1">
      <c r="A325" s="7" t="s">
        <v>107</v>
      </c>
      <c r="B325" s="16" t="str">
        <f t="shared" si="3"/>
        <v>0</v>
      </c>
      <c r="G325" s="32" t="str">
        <f>B325*1000-7</f>
        <v>-7</v>
      </c>
    </row>
    <row r="326" ht="15.75" customHeight="1">
      <c r="A326" s="7" t="s">
        <v>50</v>
      </c>
      <c r="B326" s="16" t="str">
        <f t="shared" si="3"/>
        <v>0</v>
      </c>
      <c r="G326" s="32" t="str">
        <f>B326*1000-8</f>
        <v>-8</v>
      </c>
    </row>
    <row r="327" ht="15.75" customHeight="1"/>
    <row r="328" ht="15.75" customHeight="1">
      <c r="A328" s="5" t="s">
        <v>108</v>
      </c>
    </row>
    <row r="329" ht="15.75" customHeight="1">
      <c r="A329" s="6" t="s">
        <v>109</v>
      </c>
      <c r="B329" s="6" t="s">
        <v>98</v>
      </c>
    </row>
    <row r="330" ht="15.75" customHeight="1">
      <c r="A330" s="7" t="s">
        <v>90</v>
      </c>
      <c r="B330" s="16" t="str">
        <f t="shared" ref="B330:B336" si="4">COUNTIF($H$5:$H$302,$A330)</f>
        <v>0</v>
      </c>
    </row>
    <row r="331" ht="15.75" customHeight="1">
      <c r="A331" s="7" t="s">
        <v>110</v>
      </c>
      <c r="B331" s="16" t="str">
        <f t="shared" si="4"/>
        <v>0</v>
      </c>
    </row>
    <row r="332" ht="15.75" customHeight="1">
      <c r="A332" s="7" t="s">
        <v>111</v>
      </c>
      <c r="B332" s="16" t="str">
        <f t="shared" si="4"/>
        <v>0</v>
      </c>
    </row>
    <row r="333" ht="15.75" customHeight="1">
      <c r="A333" s="7" t="s">
        <v>112</v>
      </c>
      <c r="B333" s="16" t="str">
        <f t="shared" si="4"/>
        <v>0</v>
      </c>
    </row>
    <row r="334" ht="15.75" customHeight="1">
      <c r="A334" s="7" t="s">
        <v>113</v>
      </c>
      <c r="B334" s="16" t="str">
        <f t="shared" si="4"/>
        <v>0</v>
      </c>
    </row>
    <row r="335" ht="15.75" customHeight="1">
      <c r="A335" s="7" t="s">
        <v>114</v>
      </c>
      <c r="B335" s="16" t="str">
        <f t="shared" si="4"/>
        <v>0</v>
      </c>
    </row>
    <row r="336" ht="15.75" customHeight="1">
      <c r="A336" s="7" t="s">
        <v>115</v>
      </c>
      <c r="B336" s="16" t="str">
        <f t="shared" si="4"/>
        <v>0</v>
      </c>
    </row>
    <row r="337" ht="15.75" customHeight="1"/>
    <row r="338" ht="15.75" customHeight="1">
      <c r="A338" s="5" t="s">
        <v>116</v>
      </c>
    </row>
    <row r="339" ht="15.75" customHeight="1">
      <c r="A339" s="6" t="s">
        <v>77</v>
      </c>
      <c r="B339" s="6" t="s">
        <v>98</v>
      </c>
    </row>
    <row r="340" ht="15.75" customHeight="1">
      <c r="A340" s="7" t="s">
        <v>117</v>
      </c>
      <c r="B340" s="16" t="str">
        <f t="shared" ref="B340:B346" si="5">COUNTIF($C$5:$C$302,$A340)</f>
        <v>0</v>
      </c>
    </row>
    <row r="341" ht="15.75" customHeight="1">
      <c r="A341" s="7" t="s">
        <v>87</v>
      </c>
      <c r="B341" s="16" t="str">
        <f t="shared" si="5"/>
        <v>0</v>
      </c>
    </row>
    <row r="342" ht="15.75" customHeight="1">
      <c r="A342" s="7" t="s">
        <v>118</v>
      </c>
      <c r="B342" s="16" t="str">
        <f t="shared" si="5"/>
        <v>0</v>
      </c>
    </row>
    <row r="343" ht="15.75" customHeight="1">
      <c r="A343" s="7" t="s">
        <v>119</v>
      </c>
      <c r="B343" s="16" t="str">
        <f t="shared" si="5"/>
        <v>0</v>
      </c>
    </row>
    <row r="344" ht="15.75" customHeight="1">
      <c r="A344" s="7" t="s">
        <v>120</v>
      </c>
      <c r="B344" s="16" t="str">
        <f t="shared" si="5"/>
        <v>0</v>
      </c>
    </row>
    <row r="345" ht="15.75" customHeight="1">
      <c r="A345" s="7" t="s">
        <v>121</v>
      </c>
      <c r="B345" s="16" t="str">
        <f t="shared" si="5"/>
        <v>0</v>
      </c>
    </row>
    <row r="346" ht="15.75" customHeight="1">
      <c r="A346" s="7" t="s">
        <v>115</v>
      </c>
      <c r="B346" s="16" t="str">
        <f t="shared" si="5"/>
        <v>0</v>
      </c>
    </row>
    <row r="347" ht="15.75" customHeight="1"/>
    <row r="348" ht="15.75" customHeight="1">
      <c r="A348" s="5" t="s">
        <v>122</v>
      </c>
    </row>
    <row r="349" ht="15.75" customHeight="1">
      <c r="A349" s="6" t="s">
        <v>85</v>
      </c>
      <c r="B349" s="6" t="s">
        <v>98</v>
      </c>
    </row>
    <row r="350" ht="15.75" customHeight="1">
      <c r="A350" s="7" t="s">
        <v>123</v>
      </c>
      <c r="B350" s="16" t="str">
        <f t="shared" ref="B350:B351" si="6">COUNTIF($L$5:$L$302,$A350)</f>
        <v>0</v>
      </c>
    </row>
    <row r="351" ht="15.75" customHeight="1">
      <c r="A351" s="7" t="s">
        <v>93</v>
      </c>
      <c r="B351" s="16" t="str">
        <f t="shared" si="6"/>
        <v>0</v>
      </c>
    </row>
    <row r="352" ht="15.75" customHeight="1"/>
    <row r="353" ht="15.75" customHeight="1">
      <c r="A353" s="5" t="s">
        <v>124</v>
      </c>
    </row>
    <row r="354" ht="15.75" customHeight="1">
      <c r="A354" s="6" t="s">
        <v>53</v>
      </c>
      <c r="B354" s="6" t="s">
        <v>98</v>
      </c>
    </row>
    <row r="355" ht="15.75" customHeight="1">
      <c r="A355" s="21">
        <v>46235.0</v>
      </c>
      <c r="B355" s="16" t="str">
        <f t="shared" ref="B355:B360" si="7">COUNTIFS($A$5:$A$302,"&gt;="&amp;A355,$A$5:$A$302,"&lt;"&amp;EDATE(A355,1))</f>
        <v>0</v>
      </c>
    </row>
    <row r="356" ht="15.75" customHeight="1">
      <c r="A356" s="21">
        <v>46266.0</v>
      </c>
      <c r="B356" s="16" t="str">
        <f t="shared" si="7"/>
        <v>0</v>
      </c>
    </row>
    <row r="357" ht="15.75" customHeight="1">
      <c r="A357" s="21">
        <v>46296.0</v>
      </c>
      <c r="B357" s="16" t="str">
        <f t="shared" si="7"/>
        <v>0</v>
      </c>
    </row>
    <row r="358" ht="15.75" customHeight="1">
      <c r="A358" s="21">
        <v>46327.0</v>
      </c>
      <c r="B358" s="16" t="str">
        <f t="shared" si="7"/>
        <v>0</v>
      </c>
    </row>
    <row r="359" ht="15.75" customHeight="1">
      <c r="A359" s="21">
        <v>46357.0</v>
      </c>
      <c r="B359" s="16" t="str">
        <f t="shared" si="7"/>
        <v>0</v>
      </c>
    </row>
    <row r="360" ht="15.75" customHeight="1">
      <c r="A360" s="21">
        <v>46388.0</v>
      </c>
      <c r="B360" s="16" t="str">
        <f t="shared" si="7"/>
        <v>0</v>
      </c>
    </row>
    <row r="361" ht="15.75" customHeight="1"/>
    <row r="362" ht="15.75" customHeight="1">
      <c r="A362" s="5" t="s">
        <v>125</v>
      </c>
    </row>
    <row r="363" ht="15.75" customHeight="1">
      <c r="A363" s="6" t="s">
        <v>126</v>
      </c>
      <c r="B363" s="6" t="s">
        <v>98</v>
      </c>
      <c r="C363" s="6" t="s">
        <v>127</v>
      </c>
    </row>
    <row r="364" ht="15.75" customHeight="1">
      <c r="A364" s="7" t="str">
        <f t="array" ref="A364">INDEX($A$306:$A$315,MATCH(LARGE($G$306:$G$315,1),$G$306:$G$315,0))</f>
        <v>Acabamento</v>
      </c>
      <c r="B364" s="16" t="str">
        <f>ROUND(LARGE($G$306:$G$315,1)/1000,0)</f>
        <v>0</v>
      </c>
      <c r="C364" s="24" t="str">
        <f t="shared" ref="C364:C373" si="8">IFERROR(SUM($B$364:B364)/SUM($B$306:$B$315)*100,0)</f>
        <v>0.0</v>
      </c>
    </row>
    <row r="365" ht="15.75" customHeight="1">
      <c r="A365" s="7" t="str">
        <f t="array" ref="A365">INDEX($A$306:$A$315,MATCH(LARGE($G$306:$G$315,2),$G$306:$G$315,0))</f>
        <v>Embalagem</v>
      </c>
      <c r="B365" s="16" t="str">
        <f>ROUND(LARGE($G$306:$G$315,2)/1000,0)</f>
        <v>0</v>
      </c>
      <c r="C365" s="24" t="str">
        <f t="shared" si="8"/>
        <v>0.0</v>
      </c>
    </row>
    <row r="366" ht="15.75" customHeight="1">
      <c r="A366" s="7" t="str">
        <f t="array" ref="A366">INDEX($A$306:$A$315,MATCH(LARGE($G$306:$G$315,3),$G$306:$G$315,0))</f>
        <v>Material</v>
      </c>
      <c r="B366" s="16" t="str">
        <f>ROUND(LARGE($G$306:$G$315,3)/1000,0)</f>
        <v>0</v>
      </c>
      <c r="C366" s="24" t="str">
        <f t="shared" si="8"/>
        <v>0.0</v>
      </c>
    </row>
    <row r="367" ht="15.75" customHeight="1">
      <c r="A367" s="7" t="str">
        <f t="array" ref="A367">INDEX($A$306:$A$315,MATCH(LARGE($G$306:$G$315,4),$G$306:$G$315,0))</f>
        <v>Hidraulica</v>
      </c>
      <c r="B367" s="16" t="str">
        <f>ROUND(LARGE($G$306:$G$315,4)/1000,0)</f>
        <v>0</v>
      </c>
      <c r="C367" s="24" t="str">
        <f t="shared" si="8"/>
        <v>0.0</v>
      </c>
    </row>
    <row r="368" ht="15.75" customHeight="1">
      <c r="A368" s="7" t="str">
        <f t="array" ref="A368">INDEX($A$306:$A$315,MATCH(LARGE($G$306:$G$315,5),$G$306:$G$315,0))</f>
        <v>Costura</v>
      </c>
      <c r="B368" s="16" t="str">
        <f>ROUND(LARGE($G$306:$G$315,5)/1000,0)</f>
        <v>0</v>
      </c>
      <c r="C368" s="24" t="str">
        <f t="shared" si="8"/>
        <v>0.0</v>
      </c>
    </row>
    <row r="369" ht="15.75" customHeight="1">
      <c r="A369" s="7" t="str">
        <f t="array" ref="A369">INDEX($A$306:$A$315,MATCH(LARGE($G$306:$G$315,6),$G$306:$G$315,0))</f>
        <v>Montagem</v>
      </c>
      <c r="B369" s="16" t="str">
        <f>ROUND(LARGE($G$306:$G$315,6)/1000,0)</f>
        <v>0</v>
      </c>
      <c r="C369" s="24" t="str">
        <f t="shared" si="8"/>
        <v>0.0</v>
      </c>
    </row>
    <row r="370" ht="15.75" customHeight="1">
      <c r="A370" s="7" t="str">
        <f t="array" ref="A370">INDEX($A$306:$A$315,MATCH(LARGE($G$306:$G$315,7),$G$306:$G$315,0))</f>
        <v>Peca faltante</v>
      </c>
      <c r="B370" s="16" t="str">
        <f>ROUND(LARGE($G$306:$G$315,7)/1000,0)</f>
        <v>0</v>
      </c>
      <c r="C370" s="24" t="str">
        <f t="shared" si="8"/>
        <v>0.0</v>
      </c>
    </row>
    <row r="371" ht="15.75" customHeight="1">
      <c r="A371" s="7" t="str">
        <f t="array" ref="A371">INDEX($A$306:$A$315,MATCH(LARGE($G$306:$G$315,8),$G$306:$G$315,0))</f>
        <v>Peca quebrada</v>
      </c>
      <c r="B371" s="16" t="str">
        <f>ROUND(LARGE($G$306:$G$315,8)/1000,0)</f>
        <v>0</v>
      </c>
      <c r="C371" s="24" t="str">
        <f t="shared" si="8"/>
        <v>0.0</v>
      </c>
    </row>
    <row r="372" ht="15.75" customHeight="1">
      <c r="A372" s="7" t="str">
        <f t="array" ref="A372">INDEX($A$306:$A$315,MATCH(LARGE($G$306:$G$315,9),$G$306:$G$315,0))</f>
        <v>Dificuldade de montagem</v>
      </c>
      <c r="B372" s="16" t="str">
        <f>ROUND(LARGE($G$306:$G$315,9)/1000,0)</f>
        <v>0</v>
      </c>
      <c r="C372" s="24" t="str">
        <f t="shared" si="8"/>
        <v>0.0</v>
      </c>
    </row>
    <row r="373" ht="15.75" customHeight="1">
      <c r="A373" s="7" t="str">
        <f t="array" ref="A373">INDEX($A$306:$A$315,MATCH(LARGE($G$306:$G$315,10),$G$306:$G$315,0))</f>
        <v>Outros</v>
      </c>
      <c r="B373" s="16" t="str">
        <f>ROUND(LARGE($G$306:$G$315,10)/1000,0)</f>
        <v>0</v>
      </c>
      <c r="C373" s="24" t="str">
        <f t="shared" si="8"/>
        <v>0.0</v>
      </c>
    </row>
    <row r="374" ht="15.75" customHeight="1"/>
    <row r="375" ht="15.75" customHeight="1"/>
    <row r="376" ht="15.75" customHeight="1"/>
    <row r="377" ht="15.75" customHeight="1">
      <c r="A377" s="5" t="s">
        <v>128</v>
      </c>
    </row>
    <row r="378" ht="15.75" customHeight="1">
      <c r="A378" s="6" t="s">
        <v>126</v>
      </c>
      <c r="B378" s="6" t="s">
        <v>98</v>
      </c>
      <c r="C378" s="6" t="s">
        <v>127</v>
      </c>
    </row>
    <row r="379" ht="15.75" customHeight="1">
      <c r="A379" s="7" t="str">
        <f t="array" ref="A379">INDEX($A$319:$A$326,MATCH(LARGE($G$319:$G$326,1),$G$319:$G$326,0))</f>
        <v>Sem protecao/calco interno</v>
      </c>
      <c r="B379" s="16" t="str">
        <f>ROUND(LARGE($G$319:$G$326,1)/1000,0)</f>
        <v>0</v>
      </c>
      <c r="C379" s="24" t="str">
        <f t="shared" ref="C379:C386" si="9">IFERROR(SUM($B$379:B379)/SUM($B$319:$B$326)*100,0)</f>
        <v>0.0</v>
      </c>
    </row>
    <row r="380" ht="15.75" customHeight="1">
      <c r="A380" s="7" t="str">
        <f t="array" ref="A380">INDEX($A$319:$A$326,MATCH(LARGE($G$319:$G$326,2),$G$319:$G$326,0))</f>
        <v>Caixa amassada ou papelao fino</v>
      </c>
      <c r="B380" s="16" t="str">
        <f>ROUND(LARGE($G$319:$G$326,2)/1000,0)</f>
        <v>0</v>
      </c>
      <c r="C380" s="24" t="str">
        <f t="shared" si="9"/>
        <v>0.0</v>
      </c>
    </row>
    <row r="381" ht="15.75" customHeight="1">
      <c r="A381" s="7" t="str">
        <f t="array" ref="A381">INDEX($A$319:$A$326,MATCH(LARGE($G$319:$G$326,3),$G$319:$G$326,0))</f>
        <v>Falta fita de reforco</v>
      </c>
      <c r="B381" s="16" t="str">
        <f>ROUND(LARGE($G$319:$G$326,3)/1000,0)</f>
        <v>0</v>
      </c>
      <c r="C381" s="24" t="str">
        <f t="shared" si="9"/>
        <v>0.0</v>
      </c>
    </row>
    <row r="382" ht="15.75" customHeight="1">
      <c r="A382" s="7" t="str">
        <f t="array" ref="A382">INDEX($A$319:$A$326,MATCH(LARGE($G$319:$G$326,4),$G$319:$G$326,0))</f>
        <v>Sem plastico bolha/espuma</v>
      </c>
      <c r="B382" s="16" t="str">
        <f>ROUND(LARGE($G$319:$G$326,4)/1000,0)</f>
        <v>0</v>
      </c>
      <c r="C382" s="24" t="str">
        <f t="shared" si="9"/>
        <v>0.0</v>
      </c>
    </row>
    <row r="383" ht="15.75" customHeight="1">
      <c r="A383" s="7" t="str">
        <f t="array" ref="A383">INDEX($A$319:$A$326,MATCH(LARGE($G$319:$G$326,5),$G$319:$G$326,0))</f>
        <v>Caixa subdimensionada para o produto</v>
      </c>
      <c r="B383" s="16" t="str">
        <f>ROUND(LARGE($G$319:$G$326,5)/1000,0)</f>
        <v>0</v>
      </c>
      <c r="C383" s="24" t="str">
        <f t="shared" si="9"/>
        <v>0.0</v>
      </c>
    </row>
    <row r="384" ht="15.75" customHeight="1">
      <c r="A384" s="7" t="str">
        <f t="array" ref="A384">INDEX($A$319:$A$326,MATCH(LARGE($G$319:$G$326,6),$G$319:$G$326,0))</f>
        <v>Etiqueta de fragil ausente</v>
      </c>
      <c r="B384" s="16" t="str">
        <f>ROUND(LARGE($G$319:$G$326,6)/1000,0)</f>
        <v>0</v>
      </c>
      <c r="C384" s="24" t="str">
        <f t="shared" si="9"/>
        <v>0.0</v>
      </c>
    </row>
    <row r="385" ht="15.75" customHeight="1">
      <c r="A385" s="7" t="str">
        <f t="array" ref="A385">INDEX($A$319:$A$326,MATCH(LARGE($G$319:$G$326,7),$G$319:$G$326,0))</f>
        <v>Fixacao/paletizacao inadequada</v>
      </c>
      <c r="B385" s="16" t="str">
        <f>ROUND(LARGE($G$319:$G$326,7)/1000,0)</f>
        <v>0</v>
      </c>
      <c r="C385" s="24" t="str">
        <f t="shared" si="9"/>
        <v>0.0</v>
      </c>
    </row>
    <row r="386" ht="15.75" customHeight="1">
      <c r="A386" s="7" t="str">
        <f t="array" ref="A386">INDEX($A$319:$A$326,MATCH(LARGE($G$319:$G$326,8),$G$319:$G$326,0))</f>
        <v>Outros</v>
      </c>
      <c r="B386" s="16" t="str">
        <f>ROUND(LARGE($G$319:$G$326,8)/1000,0)</f>
        <v>0</v>
      </c>
      <c r="C386" s="24" t="str">
        <f t="shared" si="9"/>
        <v>0.0</v>
      </c>
    </row>
    <row r="387" ht="15.75" customHeight="1"/>
    <row r="388" ht="15.75" customHeight="1">
      <c r="A388" s="4" t="s">
        <v>129</v>
      </c>
    </row>
  </sheetData>
  <mergeCells count="10">
    <mergeCell ref="A362:C362"/>
    <mergeCell ref="A377:C377"/>
    <mergeCell ref="A388:F388"/>
    <mergeCell ref="A1:F1"/>
    <mergeCell ref="A304:C304"/>
    <mergeCell ref="A317:B317"/>
    <mergeCell ref="A328:B328"/>
    <mergeCell ref="A338:B338"/>
    <mergeCell ref="A348:B348"/>
    <mergeCell ref="A353:B353"/>
  </mergeCells>
  <conditionalFormatting sqref="M4:M302">
    <cfRule type="cellIs" dxfId="0" priority="1" operator="equal">
      <formula>"Resolvido"</formula>
    </cfRule>
  </conditionalFormatting>
  <conditionalFormatting sqref="M4:M302">
    <cfRule type="cellIs" dxfId="2" priority="2" operator="equal">
      <formula>"Aberto"</formula>
    </cfRule>
  </conditionalFormatting>
  <conditionalFormatting sqref="M4:M302">
    <cfRule type="expression" dxfId="1" priority="3">
      <formula>OR(M4="Em andamento",M4="Aguardando cliente")</formula>
    </cfRule>
  </conditionalFormatting>
  <conditionalFormatting sqref="L4:L302">
    <cfRule type="cellIs" dxfId="2" priority="4" operator="equal">
      <formula>"Sim"</formula>
    </cfRule>
  </conditionalFormatting>
  <dataValidations>
    <dataValidation type="list" allowBlank="1" sqref="M4:M302">
      <formula1>"Aberto,Em andamento,Aguardando cliente,Resolvido,Cancelado"</formula1>
    </dataValidation>
    <dataValidation type="list" allowBlank="1" sqref="C4:C302">
      <formula1>"Cadeira de cabelo,Lavatorio/Shampoo,Carrinho auxiliar,Espelho/Estacao,Recepcao/Sofa,Maca,Outro"</formula1>
    </dataValidation>
    <dataValidation type="list" allowBlank="1" sqref="H4:H302">
      <formula1>"Producao,Qualidade,Logistica/Expedicao,Compras/Fornecedor,Comercial/Atendimento,Design/Engenharia,Outro"</formula1>
    </dataValidation>
    <dataValidation type="list" allowBlank="1" sqref="E4:E302">
      <formula1>"Acabamento,Embalagem,Material,Hidraulica,Costura,Montagem,Peca faltante,Peca quebrada,Dificuldade de montagem,Outros"</formula1>
    </dataValidation>
    <dataValidation type="list" allowBlank="1" sqref="L4:L302">
      <formula1>"Sim,Nao"</formula1>
    </dataValidation>
    <dataValidation type="list" allowBlank="1" sqref="F4:F302">
      <formula1>"Sem protecao/calco interno,Caixa amassada ou papelao fino,Falta fita de reforco,Sem plastico bolha/espuma,Caixa subdimensionada para o produto,Etiqueta de fragil ausente,Fixacao/paletizacao inadequada,Outros"</formula1>
    </dataValidation>
    <dataValidation type="list" allowBlank="1" sqref="G4:G302">
      <formula1>"Fornecedor,Producao interna,Transporte/Transportadora,Projeto/Design,Uso inadequado pelo cliente,Erro operacional,Outro"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3.0"/>
    <col customWidth="1" min="3" max="3" width="18.0"/>
    <col customWidth="1" min="4" max="4" width="14.0"/>
    <col customWidth="1" min="5" max="5" width="12.0"/>
    <col customWidth="1" min="6" max="7" width="16.0"/>
    <col customWidth="1" min="8" max="8" width="15.0"/>
    <col customWidth="1" min="9" max="9" width="30.0"/>
    <col customWidth="1" min="10" max="10" width="14.0"/>
    <col customWidth="1" min="11" max="11" width="10.0"/>
    <col customWidth="1" min="12" max="12" width="16.0"/>
    <col customWidth="1" min="13" max="13" width="14.0"/>
    <col customWidth="1" min="14" max="14" width="13.0"/>
    <col customWidth="1" min="15" max="17" width="12.0"/>
    <col customWidth="1" min="18" max="18" width="10.0"/>
    <col customWidth="1" min="19" max="19" width="24.0"/>
    <col customWidth="1" min="20" max="38" width="8.71"/>
  </cols>
  <sheetData>
    <row r="1">
      <c r="A1" s="6" t="s">
        <v>28</v>
      </c>
      <c r="B1" s="6" t="s">
        <v>130</v>
      </c>
      <c r="C1" s="6" t="s">
        <v>29</v>
      </c>
      <c r="D1" s="6" t="s">
        <v>131</v>
      </c>
      <c r="E1" s="6" t="s">
        <v>62</v>
      </c>
      <c r="F1" s="6" t="s">
        <v>132</v>
      </c>
      <c r="G1" s="6" t="s">
        <v>133</v>
      </c>
      <c r="H1" s="6" t="s">
        <v>134</v>
      </c>
      <c r="I1" s="6" t="s">
        <v>135</v>
      </c>
      <c r="J1" s="6" t="s">
        <v>136</v>
      </c>
      <c r="K1" s="6" t="s">
        <v>31</v>
      </c>
      <c r="L1" s="6" t="s">
        <v>7</v>
      </c>
      <c r="M1" s="6" t="s">
        <v>137</v>
      </c>
      <c r="N1" s="6" t="s">
        <v>138</v>
      </c>
      <c r="O1" s="6" t="s">
        <v>139</v>
      </c>
      <c r="P1" s="6" t="s">
        <v>140</v>
      </c>
      <c r="Q1" s="6" t="s">
        <v>141</v>
      </c>
      <c r="R1" s="6" t="s">
        <v>142</v>
      </c>
      <c r="S1" s="6" t="s">
        <v>143</v>
      </c>
      <c r="U1" s="5" t="s">
        <v>144</v>
      </c>
      <c r="X1" s="5" t="s">
        <v>145</v>
      </c>
    </row>
    <row r="2">
      <c r="A2" s="29">
        <v>1.0</v>
      </c>
      <c r="B2" s="28">
        <v>46266.0</v>
      </c>
      <c r="C2" s="29" t="s">
        <v>146</v>
      </c>
      <c r="D2" s="29" t="s">
        <v>147</v>
      </c>
      <c r="E2" s="29" t="s">
        <v>148</v>
      </c>
      <c r="F2" s="29" t="s">
        <v>117</v>
      </c>
      <c r="G2" s="29" t="s">
        <v>149</v>
      </c>
      <c r="H2" s="29" t="s">
        <v>150</v>
      </c>
      <c r="I2" s="29" t="s">
        <v>151</v>
      </c>
      <c r="J2" s="29" t="s">
        <v>44</v>
      </c>
      <c r="K2" s="29" t="s">
        <v>152</v>
      </c>
      <c r="L2" s="29" t="s">
        <v>153</v>
      </c>
      <c r="M2" s="29" t="s">
        <v>154</v>
      </c>
      <c r="N2" s="28"/>
      <c r="O2" s="33" t="str">
        <f>IF(N2="","",N2-B2)</f>
        <v/>
      </c>
      <c r="P2" s="33" t="str">
        <f>IF(O2="","",O2-B2)</f>
        <v/>
      </c>
      <c r="Q2" s="30">
        <v>0.0</v>
      </c>
      <c r="R2" s="29"/>
      <c r="S2" s="29" t="s">
        <v>155</v>
      </c>
      <c r="U2" s="6" t="s">
        <v>7</v>
      </c>
      <c r="V2" s="6" t="s">
        <v>98</v>
      </c>
      <c r="X2" s="6" t="s">
        <v>79</v>
      </c>
      <c r="Y2" s="6" t="s">
        <v>98</v>
      </c>
    </row>
    <row r="3">
      <c r="A3" s="7" t="str">
        <f>IF(B3="","",1)</f>
        <v/>
      </c>
      <c r="B3" s="22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22"/>
      <c r="O3" s="7" t="str">
        <f t="shared" ref="O3:O400" si="1">IF(OR(B3="",N3=""),"",N3-B3)</f>
        <v/>
      </c>
      <c r="P3" s="7" t="str">
        <f t="shared" ref="P3:P400" si="2">IF(OR(B3="",N3=""),"",N3-B3)</f>
        <v/>
      </c>
      <c r="Q3" s="17"/>
      <c r="R3" s="7"/>
      <c r="S3" s="7"/>
      <c r="U3" s="7" t="s">
        <v>156</v>
      </c>
      <c r="V3" s="7" t="str">
        <f>COUNTIF(L3:L400,U3)</f>
        <v>0</v>
      </c>
      <c r="X3" s="7" t="s">
        <v>41</v>
      </c>
      <c r="Y3" s="7" t="str">
        <f>COUNTIF(J3:J400,X3)</f>
        <v>0</v>
      </c>
      <c r="AD3" s="32" t="str">
        <f>Y3*1000-1</f>
        <v>-1</v>
      </c>
    </row>
    <row r="4">
      <c r="A4" s="7" t="str">
        <f t="shared" ref="A4:A400" si="3">IF(B4="","",A3+1)</f>
        <v/>
      </c>
      <c r="B4" s="22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2"/>
      <c r="O4" s="7" t="str">
        <f t="shared" si="1"/>
        <v/>
      </c>
      <c r="P4" s="7" t="str">
        <f t="shared" si="2"/>
        <v/>
      </c>
      <c r="Q4" s="17"/>
      <c r="R4" s="7"/>
      <c r="S4" s="7"/>
      <c r="U4" s="7" t="s">
        <v>153</v>
      </c>
      <c r="V4" s="7" t="str">
        <f>COUNTIF(L3:L400,U4)</f>
        <v>0</v>
      </c>
      <c r="X4" s="7" t="s">
        <v>42</v>
      </c>
      <c r="Y4" s="7" t="str">
        <f>COUNTIF(J3:J400,X4)</f>
        <v>0</v>
      </c>
      <c r="AD4" s="32" t="str">
        <f>Y4*1000-2</f>
        <v>-2</v>
      </c>
    </row>
    <row r="5">
      <c r="A5" s="7" t="str">
        <f t="shared" si="3"/>
        <v/>
      </c>
      <c r="B5" s="22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2"/>
      <c r="O5" s="7" t="str">
        <f t="shared" si="1"/>
        <v/>
      </c>
      <c r="P5" s="7" t="str">
        <f t="shared" si="2"/>
        <v/>
      </c>
      <c r="Q5" s="17"/>
      <c r="R5" s="7"/>
      <c r="S5" s="7"/>
      <c r="U5" s="7" t="s">
        <v>157</v>
      </c>
      <c r="V5" s="7" t="str">
        <f>COUNTIF(L3:L400,U5)</f>
        <v>0</v>
      </c>
      <c r="X5" s="7" t="s">
        <v>43</v>
      </c>
      <c r="Y5" s="7" t="str">
        <f>COUNTIF(J3:J400,X5)</f>
        <v>0</v>
      </c>
      <c r="AD5" s="32" t="str">
        <f>Y5*1000-3</f>
        <v>-3</v>
      </c>
    </row>
    <row r="6">
      <c r="A6" s="7" t="str">
        <f t="shared" si="3"/>
        <v/>
      </c>
      <c r="B6" s="2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22"/>
      <c r="O6" s="7" t="str">
        <f t="shared" si="1"/>
        <v/>
      </c>
      <c r="P6" s="7" t="str">
        <f t="shared" si="2"/>
        <v/>
      </c>
      <c r="Q6" s="17"/>
      <c r="R6" s="7"/>
      <c r="S6" s="7"/>
      <c r="U6" s="7" t="s">
        <v>94</v>
      </c>
      <c r="V6" s="7" t="str">
        <f>COUNTIF(L3:L400,U6)</f>
        <v>0</v>
      </c>
      <c r="X6" s="7" t="s">
        <v>44</v>
      </c>
      <c r="Y6" s="7" t="str">
        <f>COUNTIF(J3:J400,X6)</f>
        <v>0</v>
      </c>
      <c r="AD6" s="32" t="str">
        <f>Y6*1000-4</f>
        <v>-4</v>
      </c>
    </row>
    <row r="7">
      <c r="A7" s="7" t="str">
        <f t="shared" si="3"/>
        <v/>
      </c>
      <c r="B7" s="2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2"/>
      <c r="O7" s="7" t="str">
        <f t="shared" si="1"/>
        <v/>
      </c>
      <c r="P7" s="7" t="str">
        <f t="shared" si="2"/>
        <v/>
      </c>
      <c r="Q7" s="17"/>
      <c r="R7" s="7"/>
      <c r="S7" s="7"/>
      <c r="U7" s="7" t="s">
        <v>158</v>
      </c>
      <c r="V7" s="7" t="str">
        <f>COUNTIF(L3:L400,U7)</f>
        <v>0</v>
      </c>
      <c r="X7" s="7" t="s">
        <v>45</v>
      </c>
      <c r="Y7" s="7" t="str">
        <f>COUNTIF(J3:J400,X7)</f>
        <v>0</v>
      </c>
      <c r="AD7" s="32" t="str">
        <f>Y7*1000-5</f>
        <v>-5</v>
      </c>
    </row>
    <row r="8">
      <c r="A8" s="7" t="str">
        <f t="shared" si="3"/>
        <v/>
      </c>
      <c r="B8" s="22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22"/>
      <c r="O8" s="7" t="str">
        <f t="shared" si="1"/>
        <v/>
      </c>
      <c r="P8" s="7" t="str">
        <f t="shared" si="2"/>
        <v/>
      </c>
      <c r="Q8" s="17"/>
      <c r="R8" s="7"/>
      <c r="S8" s="7"/>
      <c r="X8" s="7" t="s">
        <v>46</v>
      </c>
      <c r="Y8" s="7" t="str">
        <f>COUNTIF(J3:J400,X8)</f>
        <v>0</v>
      </c>
      <c r="AD8" s="32" t="str">
        <f>Y8*1000-6</f>
        <v>-6</v>
      </c>
    </row>
    <row r="9">
      <c r="A9" s="7" t="str">
        <f t="shared" si="3"/>
        <v/>
      </c>
      <c r="B9" s="22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22"/>
      <c r="O9" s="7" t="str">
        <f t="shared" si="1"/>
        <v/>
      </c>
      <c r="P9" s="7" t="str">
        <f t="shared" si="2"/>
        <v/>
      </c>
      <c r="Q9" s="17"/>
      <c r="R9" s="7"/>
      <c r="S9" s="7"/>
      <c r="X9" s="7" t="s">
        <v>47</v>
      </c>
      <c r="Y9" s="7" t="str">
        <f>COUNTIF(J3:J400,X9)</f>
        <v>0</v>
      </c>
      <c r="AD9" s="32" t="str">
        <f>Y9*1000-7</f>
        <v>-7</v>
      </c>
    </row>
    <row r="10">
      <c r="A10" s="7" t="str">
        <f t="shared" si="3"/>
        <v/>
      </c>
      <c r="B10" s="22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22"/>
      <c r="O10" s="7" t="str">
        <f t="shared" si="1"/>
        <v/>
      </c>
      <c r="P10" s="7" t="str">
        <f t="shared" si="2"/>
        <v/>
      </c>
      <c r="Q10" s="17"/>
      <c r="R10" s="7"/>
      <c r="S10" s="7"/>
      <c r="X10" s="7" t="s">
        <v>48</v>
      </c>
      <c r="Y10" s="7" t="str">
        <f>COUNTIF(J3:J400,X10)</f>
        <v>0</v>
      </c>
      <c r="AD10" s="32" t="str">
        <f>Y10*1000-8</f>
        <v>-8</v>
      </c>
    </row>
    <row r="11">
      <c r="A11" s="7" t="str">
        <f t="shared" si="3"/>
        <v/>
      </c>
      <c r="B11" s="22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22"/>
      <c r="O11" s="7" t="str">
        <f t="shared" si="1"/>
        <v/>
      </c>
      <c r="P11" s="7" t="str">
        <f t="shared" si="2"/>
        <v/>
      </c>
      <c r="Q11" s="17"/>
      <c r="R11" s="7"/>
      <c r="S11" s="7"/>
      <c r="X11" s="7" t="s">
        <v>49</v>
      </c>
      <c r="Y11" s="7" t="str">
        <f>COUNTIF(J3:J400,X11)</f>
        <v>0</v>
      </c>
      <c r="AD11" s="32" t="str">
        <f>Y11*1000-9</f>
        <v>-9</v>
      </c>
    </row>
    <row r="12">
      <c r="A12" s="7" t="str">
        <f t="shared" si="3"/>
        <v/>
      </c>
      <c r="B12" s="22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22"/>
      <c r="O12" s="7" t="str">
        <f t="shared" si="1"/>
        <v/>
      </c>
      <c r="P12" s="7" t="str">
        <f t="shared" si="2"/>
        <v/>
      </c>
      <c r="Q12" s="17"/>
      <c r="R12" s="7"/>
      <c r="S12" s="7"/>
      <c r="X12" s="7" t="s">
        <v>50</v>
      </c>
      <c r="Y12" s="7" t="str">
        <f>COUNTIF(J3:J400,X12)</f>
        <v>0</v>
      </c>
      <c r="AD12" s="32" t="str">
        <f>Y12*1000-10</f>
        <v>-10</v>
      </c>
    </row>
    <row r="13">
      <c r="A13" s="7" t="str">
        <f t="shared" si="3"/>
        <v/>
      </c>
      <c r="B13" s="22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22"/>
      <c r="O13" s="7" t="str">
        <f t="shared" si="1"/>
        <v/>
      </c>
      <c r="P13" s="7" t="str">
        <f t="shared" si="2"/>
        <v/>
      </c>
      <c r="Q13" s="17"/>
      <c r="R13" s="7"/>
      <c r="S13" s="7"/>
    </row>
    <row r="14">
      <c r="A14" s="7" t="str">
        <f t="shared" si="3"/>
        <v/>
      </c>
      <c r="B14" s="22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22"/>
      <c r="O14" s="7" t="str">
        <f t="shared" si="1"/>
        <v/>
      </c>
      <c r="P14" s="7" t="str">
        <f t="shared" si="2"/>
        <v/>
      </c>
      <c r="Q14" s="17"/>
      <c r="R14" s="7"/>
      <c r="S14" s="7"/>
    </row>
    <row r="15">
      <c r="A15" s="7" t="str">
        <f t="shared" si="3"/>
        <v/>
      </c>
      <c r="B15" s="22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22"/>
      <c r="O15" s="7" t="str">
        <f t="shared" si="1"/>
        <v/>
      </c>
      <c r="P15" s="7" t="str">
        <f t="shared" si="2"/>
        <v/>
      </c>
      <c r="Q15" s="17"/>
      <c r="R15" s="7"/>
      <c r="S15" s="7"/>
      <c r="X15" s="5" t="s">
        <v>159</v>
      </c>
    </row>
    <row r="16">
      <c r="A16" s="7" t="str">
        <f t="shared" si="3"/>
        <v/>
      </c>
      <c r="B16" s="22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22"/>
      <c r="O16" s="7" t="str">
        <f t="shared" si="1"/>
        <v/>
      </c>
      <c r="P16" s="7" t="str">
        <f t="shared" si="2"/>
        <v/>
      </c>
      <c r="Q16" s="17"/>
      <c r="R16" s="7"/>
      <c r="S16" s="7"/>
      <c r="X16" s="6" t="s">
        <v>126</v>
      </c>
      <c r="Y16" s="6" t="s">
        <v>98</v>
      </c>
      <c r="Z16" s="6" t="s">
        <v>127</v>
      </c>
    </row>
    <row r="17">
      <c r="A17" s="7" t="str">
        <f t="shared" si="3"/>
        <v/>
      </c>
      <c r="B17" s="22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2"/>
      <c r="O17" s="7" t="str">
        <f t="shared" si="1"/>
        <v/>
      </c>
      <c r="P17" s="7" t="str">
        <f t="shared" si="2"/>
        <v/>
      </c>
      <c r="Q17" s="17"/>
      <c r="R17" s="7"/>
      <c r="S17" s="7"/>
      <c r="X17" s="7" t="str">
        <f t="array" ref="X17">INDEX($X$3:$X$12,MATCH(LARGE($AD$3:$AD$12,1),$AD$3:$AD$12,0))</f>
        <v>Acabamento</v>
      </c>
      <c r="Y17" s="16" t="str">
        <f>ROUND(LARGE($AD$3:$AD$12,1)/1000,0)</f>
        <v>0</v>
      </c>
      <c r="Z17" s="24" t="str">
        <f t="shared" ref="Z17:Z26" si="4">IFERROR(SUM($Y$17:Y17)/SUM($Y$3:$Y$12)*100,0)</f>
        <v>0.0</v>
      </c>
    </row>
    <row r="18">
      <c r="A18" s="7" t="str">
        <f t="shared" si="3"/>
        <v/>
      </c>
      <c r="B18" s="2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2"/>
      <c r="O18" s="7" t="str">
        <f t="shared" si="1"/>
        <v/>
      </c>
      <c r="P18" s="7" t="str">
        <f t="shared" si="2"/>
        <v/>
      </c>
      <c r="Q18" s="17"/>
      <c r="R18" s="7"/>
      <c r="S18" s="7"/>
      <c r="X18" s="7" t="str">
        <f t="array" ref="X18">INDEX($X$3:$X$12,MATCH(LARGE($AD$3:$AD$12,2),$AD$3:$AD$12,0))</f>
        <v>Embalagem</v>
      </c>
      <c r="Y18" s="16" t="str">
        <f>ROUND(LARGE($AD$3:$AD$12,2)/1000,0)</f>
        <v>0</v>
      </c>
      <c r="Z18" s="24" t="str">
        <f t="shared" si="4"/>
        <v>0.0</v>
      </c>
    </row>
    <row r="19">
      <c r="A19" s="7" t="str">
        <f t="shared" si="3"/>
        <v/>
      </c>
      <c r="B19" s="22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22"/>
      <c r="O19" s="7" t="str">
        <f t="shared" si="1"/>
        <v/>
      </c>
      <c r="P19" s="7" t="str">
        <f t="shared" si="2"/>
        <v/>
      </c>
      <c r="Q19" s="17"/>
      <c r="R19" s="7"/>
      <c r="S19" s="7"/>
      <c r="X19" s="7" t="str">
        <f t="array" ref="X19">INDEX($X$3:$X$12,MATCH(LARGE($AD$3:$AD$12,3),$AD$3:$AD$12,0))</f>
        <v>Material</v>
      </c>
      <c r="Y19" s="16" t="str">
        <f>ROUND(LARGE($AD$3:$AD$12,3)/1000,0)</f>
        <v>0</v>
      </c>
      <c r="Z19" s="24" t="str">
        <f t="shared" si="4"/>
        <v>0.0</v>
      </c>
    </row>
    <row r="20">
      <c r="A20" s="7" t="str">
        <f t="shared" si="3"/>
        <v/>
      </c>
      <c r="B20" s="22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22"/>
      <c r="O20" s="7" t="str">
        <f t="shared" si="1"/>
        <v/>
      </c>
      <c r="P20" s="7" t="str">
        <f t="shared" si="2"/>
        <v/>
      </c>
      <c r="Q20" s="17"/>
      <c r="R20" s="7"/>
      <c r="S20" s="7"/>
      <c r="X20" s="7" t="str">
        <f t="array" ref="X20">INDEX($X$3:$X$12,MATCH(LARGE($AD$3:$AD$12,4),$AD$3:$AD$12,0))</f>
        <v>Hidraulica</v>
      </c>
      <c r="Y20" s="16" t="str">
        <f>ROUND(LARGE($AD$3:$AD$12,4)/1000,0)</f>
        <v>0</v>
      </c>
      <c r="Z20" s="24" t="str">
        <f t="shared" si="4"/>
        <v>0.0</v>
      </c>
    </row>
    <row r="21" ht="15.75" customHeight="1">
      <c r="A21" s="7" t="str">
        <f t="shared" si="3"/>
        <v/>
      </c>
      <c r="B21" s="22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22"/>
      <c r="O21" s="7" t="str">
        <f t="shared" si="1"/>
        <v/>
      </c>
      <c r="P21" s="7" t="str">
        <f t="shared" si="2"/>
        <v/>
      </c>
      <c r="Q21" s="17"/>
      <c r="R21" s="7"/>
      <c r="S21" s="7"/>
      <c r="X21" s="7" t="str">
        <f t="array" ref="X21">INDEX($X$3:$X$12,MATCH(LARGE($AD$3:$AD$12,5),$AD$3:$AD$12,0))</f>
        <v>Costura</v>
      </c>
      <c r="Y21" s="16" t="str">
        <f>ROUND(LARGE($AD$3:$AD$12,5)/1000,0)</f>
        <v>0</v>
      </c>
      <c r="Z21" s="24" t="str">
        <f t="shared" si="4"/>
        <v>0.0</v>
      </c>
    </row>
    <row r="22" ht="15.75" customHeight="1">
      <c r="A22" s="7" t="str">
        <f t="shared" si="3"/>
        <v/>
      </c>
      <c r="B22" s="22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2"/>
      <c r="O22" s="7" t="str">
        <f t="shared" si="1"/>
        <v/>
      </c>
      <c r="P22" s="7" t="str">
        <f t="shared" si="2"/>
        <v/>
      </c>
      <c r="Q22" s="17"/>
      <c r="R22" s="7"/>
      <c r="S22" s="7"/>
      <c r="X22" s="7" t="str">
        <f t="array" ref="X22">INDEX($X$3:$X$12,MATCH(LARGE($AD$3:$AD$12,6),$AD$3:$AD$12,0))</f>
        <v>Montagem</v>
      </c>
      <c r="Y22" s="16" t="str">
        <f>ROUND(LARGE($AD$3:$AD$12,6)/1000,0)</f>
        <v>0</v>
      </c>
      <c r="Z22" s="24" t="str">
        <f t="shared" si="4"/>
        <v>0.0</v>
      </c>
    </row>
    <row r="23" ht="15.75" customHeight="1">
      <c r="A23" s="7" t="str">
        <f t="shared" si="3"/>
        <v/>
      </c>
      <c r="B23" s="2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22"/>
      <c r="O23" s="7" t="str">
        <f t="shared" si="1"/>
        <v/>
      </c>
      <c r="P23" s="7" t="str">
        <f t="shared" si="2"/>
        <v/>
      </c>
      <c r="Q23" s="17"/>
      <c r="R23" s="7"/>
      <c r="S23" s="7"/>
      <c r="X23" s="7" t="str">
        <f t="array" ref="X23">INDEX($X$3:$X$12,MATCH(LARGE($AD$3:$AD$12,7),$AD$3:$AD$12,0))</f>
        <v>Peca faltante</v>
      </c>
      <c r="Y23" s="16" t="str">
        <f>ROUND(LARGE($AD$3:$AD$12,7)/1000,0)</f>
        <v>0</v>
      </c>
      <c r="Z23" s="24" t="str">
        <f t="shared" si="4"/>
        <v>0.0</v>
      </c>
    </row>
    <row r="24" ht="15.75" customHeight="1">
      <c r="A24" s="7" t="str">
        <f t="shared" si="3"/>
        <v/>
      </c>
      <c r="B24" s="22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22"/>
      <c r="O24" s="7" t="str">
        <f t="shared" si="1"/>
        <v/>
      </c>
      <c r="P24" s="7" t="str">
        <f t="shared" si="2"/>
        <v/>
      </c>
      <c r="Q24" s="17"/>
      <c r="R24" s="7"/>
      <c r="S24" s="7"/>
      <c r="X24" s="7" t="str">
        <f t="array" ref="X24">INDEX($X$3:$X$12,MATCH(LARGE($AD$3:$AD$12,8),$AD$3:$AD$12,0))</f>
        <v>Peca quebrada</v>
      </c>
      <c r="Y24" s="16" t="str">
        <f>ROUND(LARGE($AD$3:$AD$12,8)/1000,0)</f>
        <v>0</v>
      </c>
      <c r="Z24" s="24" t="str">
        <f t="shared" si="4"/>
        <v>0.0</v>
      </c>
    </row>
    <row r="25" ht="15.75" customHeight="1">
      <c r="A25" s="7" t="str">
        <f t="shared" si="3"/>
        <v/>
      </c>
      <c r="B25" s="22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22"/>
      <c r="O25" s="7" t="str">
        <f t="shared" si="1"/>
        <v/>
      </c>
      <c r="P25" s="7" t="str">
        <f t="shared" si="2"/>
        <v/>
      </c>
      <c r="Q25" s="17"/>
      <c r="R25" s="7"/>
      <c r="S25" s="7"/>
      <c r="X25" s="7" t="str">
        <f t="array" ref="X25">INDEX($X$3:$X$12,MATCH(LARGE($AD$3:$AD$12,9),$AD$3:$AD$12,0))</f>
        <v>Dificuldade de montagem</v>
      </c>
      <c r="Y25" s="16" t="str">
        <f>ROUND(LARGE($AD$3:$AD$12,9)/1000,0)</f>
        <v>0</v>
      </c>
      <c r="Z25" s="24" t="str">
        <f t="shared" si="4"/>
        <v>0.0</v>
      </c>
    </row>
    <row r="26" ht="15.75" customHeight="1">
      <c r="A26" s="7" t="str">
        <f t="shared" si="3"/>
        <v/>
      </c>
      <c r="B26" s="22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22"/>
      <c r="O26" s="7" t="str">
        <f t="shared" si="1"/>
        <v/>
      </c>
      <c r="P26" s="7" t="str">
        <f t="shared" si="2"/>
        <v/>
      </c>
      <c r="Q26" s="17"/>
      <c r="R26" s="7"/>
      <c r="S26" s="7"/>
      <c r="X26" s="7" t="str">
        <f t="array" ref="X26">INDEX($X$3:$X$12,MATCH(LARGE($AD$3:$AD$12,10),$AD$3:$AD$12,0))</f>
        <v>Outros</v>
      </c>
      <c r="Y26" s="16" t="str">
        <f>ROUND(LARGE($AD$3:$AD$12,10)/1000,0)</f>
        <v>0</v>
      </c>
      <c r="Z26" s="24" t="str">
        <f t="shared" si="4"/>
        <v>0.0</v>
      </c>
    </row>
    <row r="27" ht="15.75" customHeight="1">
      <c r="A27" s="7" t="str">
        <f t="shared" si="3"/>
        <v/>
      </c>
      <c r="B27" s="22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22"/>
      <c r="O27" s="7" t="str">
        <f t="shared" si="1"/>
        <v/>
      </c>
      <c r="P27" s="7" t="str">
        <f t="shared" si="2"/>
        <v/>
      </c>
      <c r="Q27" s="17"/>
      <c r="R27" s="7"/>
      <c r="S27" s="7"/>
    </row>
    <row r="28" ht="15.75" customHeight="1">
      <c r="A28" s="7" t="str">
        <f t="shared" si="3"/>
        <v/>
      </c>
      <c r="B28" s="22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22"/>
      <c r="O28" s="7" t="str">
        <f t="shared" si="1"/>
        <v/>
      </c>
      <c r="P28" s="7" t="str">
        <f t="shared" si="2"/>
        <v/>
      </c>
      <c r="Q28" s="17"/>
      <c r="R28" s="7"/>
      <c r="S28" s="7"/>
    </row>
    <row r="29" ht="15.75" customHeight="1">
      <c r="A29" s="7" t="str">
        <f t="shared" si="3"/>
        <v/>
      </c>
      <c r="B29" s="22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22"/>
      <c r="O29" s="7" t="str">
        <f t="shared" si="1"/>
        <v/>
      </c>
      <c r="P29" s="7" t="str">
        <f t="shared" si="2"/>
        <v/>
      </c>
      <c r="Q29" s="17"/>
      <c r="R29" s="7"/>
      <c r="S29" s="7"/>
    </row>
    <row r="30" ht="15.75" customHeight="1">
      <c r="A30" s="7" t="str">
        <f t="shared" si="3"/>
        <v/>
      </c>
      <c r="B30" s="22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22"/>
      <c r="O30" s="7" t="str">
        <f t="shared" si="1"/>
        <v/>
      </c>
      <c r="P30" s="7" t="str">
        <f t="shared" si="2"/>
        <v/>
      </c>
      <c r="Q30" s="17"/>
      <c r="R30" s="7"/>
      <c r="S30" s="7"/>
    </row>
    <row r="31" ht="15.75" customHeight="1">
      <c r="A31" s="7" t="str">
        <f t="shared" si="3"/>
        <v/>
      </c>
      <c r="B31" s="22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22"/>
      <c r="O31" s="7" t="str">
        <f t="shared" si="1"/>
        <v/>
      </c>
      <c r="P31" s="7" t="str">
        <f t="shared" si="2"/>
        <v/>
      </c>
      <c r="Q31" s="17"/>
      <c r="R31" s="7"/>
      <c r="S31" s="7"/>
    </row>
    <row r="32" ht="15.75" customHeight="1">
      <c r="A32" s="7" t="str">
        <f t="shared" si="3"/>
        <v/>
      </c>
      <c r="B32" s="2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2"/>
      <c r="O32" s="7" t="str">
        <f t="shared" si="1"/>
        <v/>
      </c>
      <c r="P32" s="7" t="str">
        <f t="shared" si="2"/>
        <v/>
      </c>
      <c r="Q32" s="17"/>
      <c r="R32" s="7"/>
      <c r="S32" s="7"/>
    </row>
    <row r="33" ht="15.75" customHeight="1">
      <c r="A33" s="7" t="str">
        <f t="shared" si="3"/>
        <v/>
      </c>
      <c r="B33" s="22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22"/>
      <c r="O33" s="7" t="str">
        <f t="shared" si="1"/>
        <v/>
      </c>
      <c r="P33" s="7" t="str">
        <f t="shared" si="2"/>
        <v/>
      </c>
      <c r="Q33" s="17"/>
      <c r="R33" s="7"/>
      <c r="S33" s="7"/>
    </row>
    <row r="34" ht="15.75" customHeight="1">
      <c r="A34" s="7" t="str">
        <f t="shared" si="3"/>
        <v/>
      </c>
      <c r="B34" s="22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22"/>
      <c r="O34" s="7" t="str">
        <f t="shared" si="1"/>
        <v/>
      </c>
      <c r="P34" s="7" t="str">
        <f t="shared" si="2"/>
        <v/>
      </c>
      <c r="Q34" s="17"/>
      <c r="R34" s="7"/>
      <c r="S34" s="7"/>
    </row>
    <row r="35" ht="15.75" customHeight="1">
      <c r="A35" s="7" t="str">
        <f t="shared" si="3"/>
        <v/>
      </c>
      <c r="B35" s="2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22"/>
      <c r="O35" s="7" t="str">
        <f t="shared" si="1"/>
        <v/>
      </c>
      <c r="P35" s="7" t="str">
        <f t="shared" si="2"/>
        <v/>
      </c>
      <c r="Q35" s="17"/>
      <c r="R35" s="7"/>
      <c r="S35" s="7"/>
    </row>
    <row r="36" ht="15.75" customHeight="1">
      <c r="A36" s="7" t="str">
        <f t="shared" si="3"/>
        <v/>
      </c>
      <c r="B36" s="22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22"/>
      <c r="O36" s="7" t="str">
        <f t="shared" si="1"/>
        <v/>
      </c>
      <c r="P36" s="7" t="str">
        <f t="shared" si="2"/>
        <v/>
      </c>
      <c r="Q36" s="17"/>
      <c r="R36" s="7"/>
      <c r="S36" s="7"/>
    </row>
    <row r="37" ht="15.75" customHeight="1">
      <c r="A37" s="7" t="str">
        <f t="shared" si="3"/>
        <v/>
      </c>
      <c r="B37" s="22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22"/>
      <c r="O37" s="7" t="str">
        <f t="shared" si="1"/>
        <v/>
      </c>
      <c r="P37" s="7" t="str">
        <f t="shared" si="2"/>
        <v/>
      </c>
      <c r="Q37" s="17"/>
      <c r="R37" s="7"/>
      <c r="S37" s="7"/>
    </row>
    <row r="38" ht="15.75" customHeight="1">
      <c r="A38" s="7" t="str">
        <f t="shared" si="3"/>
        <v/>
      </c>
      <c r="B38" s="22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22"/>
      <c r="O38" s="7" t="str">
        <f t="shared" si="1"/>
        <v/>
      </c>
      <c r="P38" s="7" t="str">
        <f t="shared" si="2"/>
        <v/>
      </c>
      <c r="Q38" s="17"/>
      <c r="R38" s="7"/>
      <c r="S38" s="7"/>
    </row>
    <row r="39" ht="15.75" customHeight="1">
      <c r="A39" s="7" t="str">
        <f t="shared" si="3"/>
        <v/>
      </c>
      <c r="B39" s="22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22"/>
      <c r="O39" s="7" t="str">
        <f t="shared" si="1"/>
        <v/>
      </c>
      <c r="P39" s="7" t="str">
        <f t="shared" si="2"/>
        <v/>
      </c>
      <c r="Q39" s="17"/>
      <c r="R39" s="7"/>
      <c r="S39" s="7"/>
    </row>
    <row r="40" ht="15.75" customHeight="1">
      <c r="A40" s="7" t="str">
        <f t="shared" si="3"/>
        <v/>
      </c>
      <c r="B40" s="22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22"/>
      <c r="O40" s="7" t="str">
        <f t="shared" si="1"/>
        <v/>
      </c>
      <c r="P40" s="7" t="str">
        <f t="shared" si="2"/>
        <v/>
      </c>
      <c r="Q40" s="17"/>
      <c r="R40" s="7"/>
      <c r="S40" s="7"/>
    </row>
    <row r="41" ht="15.75" customHeight="1">
      <c r="A41" s="7" t="str">
        <f t="shared" si="3"/>
        <v/>
      </c>
      <c r="B41" s="22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22"/>
      <c r="O41" s="7" t="str">
        <f t="shared" si="1"/>
        <v/>
      </c>
      <c r="P41" s="7" t="str">
        <f t="shared" si="2"/>
        <v/>
      </c>
      <c r="Q41" s="17"/>
      <c r="R41" s="7"/>
      <c r="S41" s="7"/>
    </row>
    <row r="42" ht="15.75" customHeight="1">
      <c r="A42" s="7" t="str">
        <f t="shared" si="3"/>
        <v/>
      </c>
      <c r="B42" s="22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22"/>
      <c r="O42" s="7" t="str">
        <f t="shared" si="1"/>
        <v/>
      </c>
      <c r="P42" s="7" t="str">
        <f t="shared" si="2"/>
        <v/>
      </c>
      <c r="Q42" s="17"/>
      <c r="R42" s="7"/>
      <c r="S42" s="7"/>
    </row>
    <row r="43" ht="15.75" customHeight="1">
      <c r="A43" s="7" t="str">
        <f t="shared" si="3"/>
        <v/>
      </c>
      <c r="B43" s="22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22"/>
      <c r="O43" s="7" t="str">
        <f t="shared" si="1"/>
        <v/>
      </c>
      <c r="P43" s="7" t="str">
        <f t="shared" si="2"/>
        <v/>
      </c>
      <c r="Q43" s="17"/>
      <c r="R43" s="7"/>
      <c r="S43" s="7"/>
    </row>
    <row r="44" ht="15.75" customHeight="1">
      <c r="A44" s="7" t="str">
        <f t="shared" si="3"/>
        <v/>
      </c>
      <c r="B44" s="22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22"/>
      <c r="O44" s="7" t="str">
        <f t="shared" si="1"/>
        <v/>
      </c>
      <c r="P44" s="7" t="str">
        <f t="shared" si="2"/>
        <v/>
      </c>
      <c r="Q44" s="17"/>
      <c r="R44" s="7"/>
      <c r="S44" s="7"/>
    </row>
    <row r="45" ht="15.75" customHeight="1">
      <c r="A45" s="7" t="str">
        <f t="shared" si="3"/>
        <v/>
      </c>
      <c r="B45" s="22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22"/>
      <c r="O45" s="7" t="str">
        <f t="shared" si="1"/>
        <v/>
      </c>
      <c r="P45" s="7" t="str">
        <f t="shared" si="2"/>
        <v/>
      </c>
      <c r="Q45" s="17"/>
      <c r="R45" s="7"/>
      <c r="S45" s="7"/>
    </row>
    <row r="46" ht="15.75" customHeight="1">
      <c r="A46" s="7" t="str">
        <f t="shared" si="3"/>
        <v/>
      </c>
      <c r="B46" s="22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22"/>
      <c r="O46" s="7" t="str">
        <f t="shared" si="1"/>
        <v/>
      </c>
      <c r="P46" s="7" t="str">
        <f t="shared" si="2"/>
        <v/>
      </c>
      <c r="Q46" s="17"/>
      <c r="R46" s="7"/>
      <c r="S46" s="7"/>
    </row>
    <row r="47" ht="15.75" customHeight="1">
      <c r="A47" s="7" t="str">
        <f t="shared" si="3"/>
        <v/>
      </c>
      <c r="B47" s="22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22"/>
      <c r="O47" s="7" t="str">
        <f t="shared" si="1"/>
        <v/>
      </c>
      <c r="P47" s="7" t="str">
        <f t="shared" si="2"/>
        <v/>
      </c>
      <c r="Q47" s="17"/>
      <c r="R47" s="7"/>
      <c r="S47" s="7"/>
    </row>
    <row r="48" ht="15.75" customHeight="1">
      <c r="A48" s="7" t="str">
        <f t="shared" si="3"/>
        <v/>
      </c>
      <c r="B48" s="22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22"/>
      <c r="O48" s="7" t="str">
        <f t="shared" si="1"/>
        <v/>
      </c>
      <c r="P48" s="7" t="str">
        <f t="shared" si="2"/>
        <v/>
      </c>
      <c r="Q48" s="17"/>
      <c r="R48" s="7"/>
      <c r="S48" s="7"/>
    </row>
    <row r="49" ht="15.75" customHeight="1">
      <c r="A49" s="7" t="str">
        <f t="shared" si="3"/>
        <v/>
      </c>
      <c r="B49" s="22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22"/>
      <c r="O49" s="7" t="str">
        <f t="shared" si="1"/>
        <v/>
      </c>
      <c r="P49" s="7" t="str">
        <f t="shared" si="2"/>
        <v/>
      </c>
      <c r="Q49" s="17"/>
      <c r="R49" s="7"/>
      <c r="S49" s="7"/>
    </row>
    <row r="50" ht="15.75" customHeight="1">
      <c r="A50" s="7" t="str">
        <f t="shared" si="3"/>
        <v/>
      </c>
      <c r="B50" s="22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22"/>
      <c r="O50" s="7" t="str">
        <f t="shared" si="1"/>
        <v/>
      </c>
      <c r="P50" s="7" t="str">
        <f t="shared" si="2"/>
        <v/>
      </c>
      <c r="Q50" s="17"/>
      <c r="R50" s="7"/>
      <c r="S50" s="7"/>
    </row>
    <row r="51" ht="15.75" customHeight="1">
      <c r="A51" s="7" t="str">
        <f t="shared" si="3"/>
        <v/>
      </c>
      <c r="B51" s="22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22"/>
      <c r="O51" s="7" t="str">
        <f t="shared" si="1"/>
        <v/>
      </c>
      <c r="P51" s="7" t="str">
        <f t="shared" si="2"/>
        <v/>
      </c>
      <c r="Q51" s="17"/>
      <c r="R51" s="7"/>
      <c r="S51" s="7"/>
    </row>
    <row r="52" ht="15.75" customHeight="1">
      <c r="A52" s="7" t="str">
        <f t="shared" si="3"/>
        <v/>
      </c>
      <c r="B52" s="22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22"/>
      <c r="O52" s="7" t="str">
        <f t="shared" si="1"/>
        <v/>
      </c>
      <c r="P52" s="7" t="str">
        <f t="shared" si="2"/>
        <v/>
      </c>
      <c r="Q52" s="17"/>
      <c r="R52" s="7"/>
      <c r="S52" s="7"/>
    </row>
    <row r="53" ht="15.75" customHeight="1">
      <c r="A53" s="7" t="str">
        <f t="shared" si="3"/>
        <v/>
      </c>
      <c r="B53" s="22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22"/>
      <c r="O53" s="7" t="str">
        <f t="shared" si="1"/>
        <v/>
      </c>
      <c r="P53" s="7" t="str">
        <f t="shared" si="2"/>
        <v/>
      </c>
      <c r="Q53" s="17"/>
      <c r="R53" s="7"/>
      <c r="S53" s="7"/>
    </row>
    <row r="54" ht="15.75" customHeight="1">
      <c r="A54" s="7" t="str">
        <f t="shared" si="3"/>
        <v/>
      </c>
      <c r="B54" s="22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2"/>
      <c r="O54" s="7" t="str">
        <f t="shared" si="1"/>
        <v/>
      </c>
      <c r="P54" s="7" t="str">
        <f t="shared" si="2"/>
        <v/>
      </c>
      <c r="Q54" s="17"/>
      <c r="R54" s="7"/>
      <c r="S54" s="7"/>
    </row>
    <row r="55" ht="15.75" customHeight="1">
      <c r="A55" s="7" t="str">
        <f t="shared" si="3"/>
        <v/>
      </c>
      <c r="B55" s="22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22"/>
      <c r="O55" s="7" t="str">
        <f t="shared" si="1"/>
        <v/>
      </c>
      <c r="P55" s="7" t="str">
        <f t="shared" si="2"/>
        <v/>
      </c>
      <c r="Q55" s="17"/>
      <c r="R55" s="7"/>
      <c r="S55" s="7"/>
    </row>
    <row r="56" ht="15.75" customHeight="1">
      <c r="A56" s="7" t="str">
        <f t="shared" si="3"/>
        <v/>
      </c>
      <c r="B56" s="22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22"/>
      <c r="O56" s="7" t="str">
        <f t="shared" si="1"/>
        <v/>
      </c>
      <c r="P56" s="7" t="str">
        <f t="shared" si="2"/>
        <v/>
      </c>
      <c r="Q56" s="17"/>
      <c r="R56" s="7"/>
      <c r="S56" s="7"/>
    </row>
    <row r="57" ht="15.75" customHeight="1">
      <c r="A57" s="7" t="str">
        <f t="shared" si="3"/>
        <v/>
      </c>
      <c r="B57" s="22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22"/>
      <c r="O57" s="7" t="str">
        <f t="shared" si="1"/>
        <v/>
      </c>
      <c r="P57" s="7" t="str">
        <f t="shared" si="2"/>
        <v/>
      </c>
      <c r="Q57" s="17"/>
      <c r="R57" s="7"/>
      <c r="S57" s="7"/>
    </row>
    <row r="58" ht="15.75" customHeight="1">
      <c r="A58" s="7" t="str">
        <f t="shared" si="3"/>
        <v/>
      </c>
      <c r="B58" s="22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22"/>
      <c r="O58" s="7" t="str">
        <f t="shared" si="1"/>
        <v/>
      </c>
      <c r="P58" s="7" t="str">
        <f t="shared" si="2"/>
        <v/>
      </c>
      <c r="Q58" s="17"/>
      <c r="R58" s="7"/>
      <c r="S58" s="7"/>
    </row>
    <row r="59" ht="15.75" customHeight="1">
      <c r="A59" s="7" t="str">
        <f t="shared" si="3"/>
        <v/>
      </c>
      <c r="B59" s="22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22"/>
      <c r="O59" s="7" t="str">
        <f t="shared" si="1"/>
        <v/>
      </c>
      <c r="P59" s="7" t="str">
        <f t="shared" si="2"/>
        <v/>
      </c>
      <c r="Q59" s="17"/>
      <c r="R59" s="7"/>
      <c r="S59" s="7"/>
    </row>
    <row r="60" ht="15.75" customHeight="1">
      <c r="A60" s="7" t="str">
        <f t="shared" si="3"/>
        <v/>
      </c>
      <c r="B60" s="22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22"/>
      <c r="O60" s="7" t="str">
        <f t="shared" si="1"/>
        <v/>
      </c>
      <c r="P60" s="7" t="str">
        <f t="shared" si="2"/>
        <v/>
      </c>
      <c r="Q60" s="17"/>
      <c r="R60" s="7"/>
      <c r="S60" s="7"/>
    </row>
    <row r="61" ht="15.75" customHeight="1">
      <c r="A61" s="7" t="str">
        <f t="shared" si="3"/>
        <v/>
      </c>
      <c r="B61" s="22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22"/>
      <c r="O61" s="7" t="str">
        <f t="shared" si="1"/>
        <v/>
      </c>
      <c r="P61" s="7" t="str">
        <f t="shared" si="2"/>
        <v/>
      </c>
      <c r="Q61" s="17"/>
      <c r="R61" s="7"/>
      <c r="S61" s="7"/>
    </row>
    <row r="62" ht="15.75" customHeight="1">
      <c r="A62" s="7" t="str">
        <f t="shared" si="3"/>
        <v/>
      </c>
      <c r="B62" s="22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22"/>
      <c r="O62" s="7" t="str">
        <f t="shared" si="1"/>
        <v/>
      </c>
      <c r="P62" s="7" t="str">
        <f t="shared" si="2"/>
        <v/>
      </c>
      <c r="Q62" s="17"/>
      <c r="R62" s="7"/>
      <c r="S62" s="7"/>
    </row>
    <row r="63" ht="15.75" customHeight="1">
      <c r="A63" s="7" t="str">
        <f t="shared" si="3"/>
        <v/>
      </c>
      <c r="B63" s="22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22"/>
      <c r="O63" s="7" t="str">
        <f t="shared" si="1"/>
        <v/>
      </c>
      <c r="P63" s="7" t="str">
        <f t="shared" si="2"/>
        <v/>
      </c>
      <c r="Q63" s="17"/>
      <c r="R63" s="7"/>
      <c r="S63" s="7"/>
    </row>
    <row r="64" ht="15.75" customHeight="1">
      <c r="A64" s="7" t="str">
        <f t="shared" si="3"/>
        <v/>
      </c>
      <c r="B64" s="22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22"/>
      <c r="O64" s="7" t="str">
        <f t="shared" si="1"/>
        <v/>
      </c>
      <c r="P64" s="7" t="str">
        <f t="shared" si="2"/>
        <v/>
      </c>
      <c r="Q64" s="17"/>
      <c r="R64" s="7"/>
      <c r="S64" s="7"/>
    </row>
    <row r="65" ht="15.75" customHeight="1">
      <c r="A65" s="7" t="str">
        <f t="shared" si="3"/>
        <v/>
      </c>
      <c r="B65" s="22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22"/>
      <c r="O65" s="7" t="str">
        <f t="shared" si="1"/>
        <v/>
      </c>
      <c r="P65" s="7" t="str">
        <f t="shared" si="2"/>
        <v/>
      </c>
      <c r="Q65" s="17"/>
      <c r="R65" s="7"/>
      <c r="S65" s="7"/>
    </row>
    <row r="66" ht="15.75" customHeight="1">
      <c r="A66" s="7" t="str">
        <f t="shared" si="3"/>
        <v/>
      </c>
      <c r="B66" s="22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22"/>
      <c r="O66" s="7" t="str">
        <f t="shared" si="1"/>
        <v/>
      </c>
      <c r="P66" s="7" t="str">
        <f t="shared" si="2"/>
        <v/>
      </c>
      <c r="Q66" s="17"/>
      <c r="R66" s="7"/>
      <c r="S66" s="7"/>
    </row>
    <row r="67" ht="15.75" customHeight="1">
      <c r="A67" s="7" t="str">
        <f t="shared" si="3"/>
        <v/>
      </c>
      <c r="B67" s="22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22"/>
      <c r="O67" s="7" t="str">
        <f t="shared" si="1"/>
        <v/>
      </c>
      <c r="P67" s="7" t="str">
        <f t="shared" si="2"/>
        <v/>
      </c>
      <c r="Q67" s="17"/>
      <c r="R67" s="7"/>
      <c r="S67" s="7"/>
    </row>
    <row r="68" ht="15.75" customHeight="1">
      <c r="A68" s="7" t="str">
        <f t="shared" si="3"/>
        <v/>
      </c>
      <c r="B68" s="22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22"/>
      <c r="O68" s="7" t="str">
        <f t="shared" si="1"/>
        <v/>
      </c>
      <c r="P68" s="7" t="str">
        <f t="shared" si="2"/>
        <v/>
      </c>
      <c r="Q68" s="17"/>
      <c r="R68" s="7"/>
      <c r="S68" s="7"/>
    </row>
    <row r="69" ht="15.75" customHeight="1">
      <c r="A69" s="7" t="str">
        <f t="shared" si="3"/>
        <v/>
      </c>
      <c r="B69" s="22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22"/>
      <c r="O69" s="7" t="str">
        <f t="shared" si="1"/>
        <v/>
      </c>
      <c r="P69" s="7" t="str">
        <f t="shared" si="2"/>
        <v/>
      </c>
      <c r="Q69" s="17"/>
      <c r="R69" s="7"/>
      <c r="S69" s="7"/>
    </row>
    <row r="70" ht="15.75" customHeight="1">
      <c r="A70" s="7" t="str">
        <f t="shared" si="3"/>
        <v/>
      </c>
      <c r="B70" s="22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22"/>
      <c r="O70" s="7" t="str">
        <f t="shared" si="1"/>
        <v/>
      </c>
      <c r="P70" s="7" t="str">
        <f t="shared" si="2"/>
        <v/>
      </c>
      <c r="Q70" s="17"/>
      <c r="R70" s="7"/>
      <c r="S70" s="7"/>
    </row>
    <row r="71" ht="15.75" customHeight="1">
      <c r="A71" s="7" t="str">
        <f t="shared" si="3"/>
        <v/>
      </c>
      <c r="B71" s="22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22"/>
      <c r="O71" s="7" t="str">
        <f t="shared" si="1"/>
        <v/>
      </c>
      <c r="P71" s="7" t="str">
        <f t="shared" si="2"/>
        <v/>
      </c>
      <c r="Q71" s="17"/>
      <c r="R71" s="7"/>
      <c r="S71" s="7"/>
    </row>
    <row r="72" ht="15.75" customHeight="1">
      <c r="A72" s="7" t="str">
        <f t="shared" si="3"/>
        <v/>
      </c>
      <c r="B72" s="22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22"/>
      <c r="O72" s="7" t="str">
        <f t="shared" si="1"/>
        <v/>
      </c>
      <c r="P72" s="7" t="str">
        <f t="shared" si="2"/>
        <v/>
      </c>
      <c r="Q72" s="17"/>
      <c r="R72" s="7"/>
      <c r="S72" s="7"/>
    </row>
    <row r="73" ht="15.75" customHeight="1">
      <c r="A73" s="7" t="str">
        <f t="shared" si="3"/>
        <v/>
      </c>
      <c r="B73" s="22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22"/>
      <c r="O73" s="7" t="str">
        <f t="shared" si="1"/>
        <v/>
      </c>
      <c r="P73" s="7" t="str">
        <f t="shared" si="2"/>
        <v/>
      </c>
      <c r="Q73" s="17"/>
      <c r="R73" s="7"/>
      <c r="S73" s="7"/>
    </row>
    <row r="74" ht="15.75" customHeight="1">
      <c r="A74" s="7" t="str">
        <f t="shared" si="3"/>
        <v/>
      </c>
      <c r="B74" s="22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22"/>
      <c r="O74" s="7" t="str">
        <f t="shared" si="1"/>
        <v/>
      </c>
      <c r="P74" s="7" t="str">
        <f t="shared" si="2"/>
        <v/>
      </c>
      <c r="Q74" s="17"/>
      <c r="R74" s="7"/>
      <c r="S74" s="7"/>
    </row>
    <row r="75" ht="15.75" customHeight="1">
      <c r="A75" s="7" t="str">
        <f t="shared" si="3"/>
        <v/>
      </c>
      <c r="B75" s="22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22"/>
      <c r="O75" s="7" t="str">
        <f t="shared" si="1"/>
        <v/>
      </c>
      <c r="P75" s="7" t="str">
        <f t="shared" si="2"/>
        <v/>
      </c>
      <c r="Q75" s="17"/>
      <c r="R75" s="7"/>
      <c r="S75" s="7"/>
    </row>
    <row r="76" ht="15.75" customHeight="1">
      <c r="A76" s="7" t="str">
        <f t="shared" si="3"/>
        <v/>
      </c>
      <c r="B76" s="22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22"/>
      <c r="O76" s="7" t="str">
        <f t="shared" si="1"/>
        <v/>
      </c>
      <c r="P76" s="7" t="str">
        <f t="shared" si="2"/>
        <v/>
      </c>
      <c r="Q76" s="17"/>
      <c r="R76" s="7"/>
      <c r="S76" s="7"/>
    </row>
    <row r="77" ht="15.75" customHeight="1">
      <c r="A77" s="7" t="str">
        <f t="shared" si="3"/>
        <v/>
      </c>
      <c r="B77" s="22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22"/>
      <c r="O77" s="7" t="str">
        <f t="shared" si="1"/>
        <v/>
      </c>
      <c r="P77" s="7" t="str">
        <f t="shared" si="2"/>
        <v/>
      </c>
      <c r="Q77" s="17"/>
      <c r="R77" s="7"/>
      <c r="S77" s="7"/>
    </row>
    <row r="78" ht="15.75" customHeight="1">
      <c r="A78" s="7" t="str">
        <f t="shared" si="3"/>
        <v/>
      </c>
      <c r="B78" s="22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22"/>
      <c r="O78" s="7" t="str">
        <f t="shared" si="1"/>
        <v/>
      </c>
      <c r="P78" s="7" t="str">
        <f t="shared" si="2"/>
        <v/>
      </c>
      <c r="Q78" s="17"/>
      <c r="R78" s="7"/>
      <c r="S78" s="7"/>
    </row>
    <row r="79" ht="15.75" customHeight="1">
      <c r="A79" s="7" t="str">
        <f t="shared" si="3"/>
        <v/>
      </c>
      <c r="B79" s="22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22"/>
      <c r="O79" s="7" t="str">
        <f t="shared" si="1"/>
        <v/>
      </c>
      <c r="P79" s="7" t="str">
        <f t="shared" si="2"/>
        <v/>
      </c>
      <c r="Q79" s="17"/>
      <c r="R79" s="7"/>
      <c r="S79" s="7"/>
    </row>
    <row r="80" ht="15.75" customHeight="1">
      <c r="A80" s="7" t="str">
        <f t="shared" si="3"/>
        <v/>
      </c>
      <c r="B80" s="22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22"/>
      <c r="O80" s="7" t="str">
        <f t="shared" si="1"/>
        <v/>
      </c>
      <c r="P80" s="7" t="str">
        <f t="shared" si="2"/>
        <v/>
      </c>
      <c r="Q80" s="17"/>
      <c r="R80" s="7"/>
      <c r="S80" s="7"/>
    </row>
    <row r="81" ht="15.75" customHeight="1">
      <c r="A81" s="7" t="str">
        <f t="shared" si="3"/>
        <v/>
      </c>
      <c r="B81" s="22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22"/>
      <c r="O81" s="7" t="str">
        <f t="shared" si="1"/>
        <v/>
      </c>
      <c r="P81" s="7" t="str">
        <f t="shared" si="2"/>
        <v/>
      </c>
      <c r="Q81" s="17"/>
      <c r="R81" s="7"/>
      <c r="S81" s="7"/>
    </row>
    <row r="82" ht="15.75" customHeight="1">
      <c r="A82" s="7" t="str">
        <f t="shared" si="3"/>
        <v/>
      </c>
      <c r="B82" s="22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22"/>
      <c r="O82" s="7" t="str">
        <f t="shared" si="1"/>
        <v/>
      </c>
      <c r="P82" s="7" t="str">
        <f t="shared" si="2"/>
        <v/>
      </c>
      <c r="Q82" s="17"/>
      <c r="R82" s="7"/>
      <c r="S82" s="7"/>
    </row>
    <row r="83" ht="15.75" customHeight="1">
      <c r="A83" s="7" t="str">
        <f t="shared" si="3"/>
        <v/>
      </c>
      <c r="B83" s="22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22"/>
      <c r="O83" s="7" t="str">
        <f t="shared" si="1"/>
        <v/>
      </c>
      <c r="P83" s="7" t="str">
        <f t="shared" si="2"/>
        <v/>
      </c>
      <c r="Q83" s="17"/>
      <c r="R83" s="7"/>
      <c r="S83" s="7"/>
    </row>
    <row r="84" ht="15.75" customHeight="1">
      <c r="A84" s="7" t="str">
        <f t="shared" si="3"/>
        <v/>
      </c>
      <c r="B84" s="22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22"/>
      <c r="O84" s="7" t="str">
        <f t="shared" si="1"/>
        <v/>
      </c>
      <c r="P84" s="7" t="str">
        <f t="shared" si="2"/>
        <v/>
      </c>
      <c r="Q84" s="17"/>
      <c r="R84" s="7"/>
      <c r="S84" s="7"/>
    </row>
    <row r="85" ht="15.75" customHeight="1">
      <c r="A85" s="7" t="str">
        <f t="shared" si="3"/>
        <v/>
      </c>
      <c r="B85" s="22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22"/>
      <c r="O85" s="7" t="str">
        <f t="shared" si="1"/>
        <v/>
      </c>
      <c r="P85" s="7" t="str">
        <f t="shared" si="2"/>
        <v/>
      </c>
      <c r="Q85" s="17"/>
      <c r="R85" s="7"/>
      <c r="S85" s="7"/>
    </row>
    <row r="86" ht="15.75" customHeight="1">
      <c r="A86" s="7" t="str">
        <f t="shared" si="3"/>
        <v/>
      </c>
      <c r="B86" s="22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22"/>
      <c r="O86" s="7" t="str">
        <f t="shared" si="1"/>
        <v/>
      </c>
      <c r="P86" s="7" t="str">
        <f t="shared" si="2"/>
        <v/>
      </c>
      <c r="Q86" s="17"/>
      <c r="R86" s="7"/>
      <c r="S86" s="7"/>
    </row>
    <row r="87" ht="15.75" customHeight="1">
      <c r="A87" s="7" t="str">
        <f t="shared" si="3"/>
        <v/>
      </c>
      <c r="B87" s="22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22"/>
      <c r="O87" s="7" t="str">
        <f t="shared" si="1"/>
        <v/>
      </c>
      <c r="P87" s="7" t="str">
        <f t="shared" si="2"/>
        <v/>
      </c>
      <c r="Q87" s="17"/>
      <c r="R87" s="7"/>
      <c r="S87" s="7"/>
    </row>
    <row r="88" ht="15.75" customHeight="1">
      <c r="A88" s="7" t="str">
        <f t="shared" si="3"/>
        <v/>
      </c>
      <c r="B88" s="22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22"/>
      <c r="O88" s="7" t="str">
        <f t="shared" si="1"/>
        <v/>
      </c>
      <c r="P88" s="7" t="str">
        <f t="shared" si="2"/>
        <v/>
      </c>
      <c r="Q88" s="17"/>
      <c r="R88" s="7"/>
      <c r="S88" s="7"/>
    </row>
    <row r="89" ht="15.75" customHeight="1">
      <c r="A89" s="7" t="str">
        <f t="shared" si="3"/>
        <v/>
      </c>
      <c r="B89" s="22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22"/>
      <c r="O89" s="7" t="str">
        <f t="shared" si="1"/>
        <v/>
      </c>
      <c r="P89" s="7" t="str">
        <f t="shared" si="2"/>
        <v/>
      </c>
      <c r="Q89" s="17"/>
      <c r="R89" s="7"/>
      <c r="S89" s="7"/>
    </row>
    <row r="90" ht="15.75" customHeight="1">
      <c r="A90" s="7" t="str">
        <f t="shared" si="3"/>
        <v/>
      </c>
      <c r="B90" s="22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22"/>
      <c r="O90" s="7" t="str">
        <f t="shared" si="1"/>
        <v/>
      </c>
      <c r="P90" s="7" t="str">
        <f t="shared" si="2"/>
        <v/>
      </c>
      <c r="Q90" s="17"/>
      <c r="R90" s="7"/>
      <c r="S90" s="7"/>
    </row>
    <row r="91" ht="15.75" customHeight="1">
      <c r="A91" s="7" t="str">
        <f t="shared" si="3"/>
        <v/>
      </c>
      <c r="B91" s="22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22"/>
      <c r="O91" s="7" t="str">
        <f t="shared" si="1"/>
        <v/>
      </c>
      <c r="P91" s="7" t="str">
        <f t="shared" si="2"/>
        <v/>
      </c>
      <c r="Q91" s="17"/>
      <c r="R91" s="7"/>
      <c r="S91" s="7"/>
    </row>
    <row r="92" ht="15.75" customHeight="1">
      <c r="A92" s="7" t="str">
        <f t="shared" si="3"/>
        <v/>
      </c>
      <c r="B92" s="22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22"/>
      <c r="O92" s="7" t="str">
        <f t="shared" si="1"/>
        <v/>
      </c>
      <c r="P92" s="7" t="str">
        <f t="shared" si="2"/>
        <v/>
      </c>
      <c r="Q92" s="17"/>
      <c r="R92" s="7"/>
      <c r="S92" s="7"/>
    </row>
    <row r="93" ht="15.75" customHeight="1">
      <c r="A93" s="7" t="str">
        <f t="shared" si="3"/>
        <v/>
      </c>
      <c r="B93" s="22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22"/>
      <c r="O93" s="7" t="str">
        <f t="shared" si="1"/>
        <v/>
      </c>
      <c r="P93" s="7" t="str">
        <f t="shared" si="2"/>
        <v/>
      </c>
      <c r="Q93" s="17"/>
      <c r="R93" s="7"/>
      <c r="S93" s="7"/>
    </row>
    <row r="94" ht="15.75" customHeight="1">
      <c r="A94" s="7" t="str">
        <f t="shared" si="3"/>
        <v/>
      </c>
      <c r="B94" s="22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22"/>
      <c r="O94" s="7" t="str">
        <f t="shared" si="1"/>
        <v/>
      </c>
      <c r="P94" s="7" t="str">
        <f t="shared" si="2"/>
        <v/>
      </c>
      <c r="Q94" s="17"/>
      <c r="R94" s="7"/>
      <c r="S94" s="7"/>
    </row>
    <row r="95" ht="15.75" customHeight="1">
      <c r="A95" s="7" t="str">
        <f t="shared" si="3"/>
        <v/>
      </c>
      <c r="B95" s="22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22"/>
      <c r="O95" s="7" t="str">
        <f t="shared" si="1"/>
        <v/>
      </c>
      <c r="P95" s="7" t="str">
        <f t="shared" si="2"/>
        <v/>
      </c>
      <c r="Q95" s="17"/>
      <c r="R95" s="7"/>
      <c r="S95" s="7"/>
    </row>
    <row r="96" ht="15.75" customHeight="1">
      <c r="A96" s="7" t="str">
        <f t="shared" si="3"/>
        <v/>
      </c>
      <c r="B96" s="22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22"/>
      <c r="O96" s="7" t="str">
        <f t="shared" si="1"/>
        <v/>
      </c>
      <c r="P96" s="7" t="str">
        <f t="shared" si="2"/>
        <v/>
      </c>
      <c r="Q96" s="17"/>
      <c r="R96" s="7"/>
      <c r="S96" s="7"/>
    </row>
    <row r="97" ht="15.75" customHeight="1">
      <c r="A97" s="7" t="str">
        <f t="shared" si="3"/>
        <v/>
      </c>
      <c r="B97" s="22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22"/>
      <c r="O97" s="7" t="str">
        <f t="shared" si="1"/>
        <v/>
      </c>
      <c r="P97" s="7" t="str">
        <f t="shared" si="2"/>
        <v/>
      </c>
      <c r="Q97" s="17"/>
      <c r="R97" s="7"/>
      <c r="S97" s="7"/>
    </row>
    <row r="98" ht="15.75" customHeight="1">
      <c r="A98" s="7" t="str">
        <f t="shared" si="3"/>
        <v/>
      </c>
      <c r="B98" s="22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22"/>
      <c r="O98" s="7" t="str">
        <f t="shared" si="1"/>
        <v/>
      </c>
      <c r="P98" s="7" t="str">
        <f t="shared" si="2"/>
        <v/>
      </c>
      <c r="Q98" s="17"/>
      <c r="R98" s="7"/>
      <c r="S98" s="7"/>
    </row>
    <row r="99" ht="15.75" customHeight="1">
      <c r="A99" s="7" t="str">
        <f t="shared" si="3"/>
        <v/>
      </c>
      <c r="B99" s="22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22"/>
      <c r="O99" s="7" t="str">
        <f t="shared" si="1"/>
        <v/>
      </c>
      <c r="P99" s="7" t="str">
        <f t="shared" si="2"/>
        <v/>
      </c>
      <c r="Q99" s="17"/>
      <c r="R99" s="7"/>
      <c r="S99" s="7"/>
    </row>
    <row r="100" ht="15.75" customHeight="1">
      <c r="A100" s="7" t="str">
        <f t="shared" si="3"/>
        <v/>
      </c>
      <c r="B100" s="22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22"/>
      <c r="O100" s="7" t="str">
        <f t="shared" si="1"/>
        <v/>
      </c>
      <c r="P100" s="7" t="str">
        <f t="shared" si="2"/>
        <v/>
      </c>
      <c r="Q100" s="17"/>
      <c r="R100" s="7"/>
      <c r="S100" s="7"/>
    </row>
    <row r="101" ht="15.75" customHeight="1">
      <c r="A101" s="7" t="str">
        <f t="shared" si="3"/>
        <v/>
      </c>
      <c r="B101" s="22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22"/>
      <c r="O101" s="7" t="str">
        <f t="shared" si="1"/>
        <v/>
      </c>
      <c r="P101" s="7" t="str">
        <f t="shared" si="2"/>
        <v/>
      </c>
      <c r="Q101" s="17"/>
      <c r="R101" s="7"/>
      <c r="S101" s="7"/>
    </row>
    <row r="102" ht="15.75" customHeight="1">
      <c r="A102" s="7" t="str">
        <f t="shared" si="3"/>
        <v/>
      </c>
      <c r="B102" s="22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22"/>
      <c r="O102" s="7" t="str">
        <f t="shared" si="1"/>
        <v/>
      </c>
      <c r="P102" s="7" t="str">
        <f t="shared" si="2"/>
        <v/>
      </c>
      <c r="Q102" s="17"/>
      <c r="R102" s="7"/>
      <c r="S102" s="7"/>
    </row>
    <row r="103" ht="15.75" customHeight="1">
      <c r="A103" s="7" t="str">
        <f t="shared" si="3"/>
        <v/>
      </c>
      <c r="B103" s="22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22"/>
      <c r="O103" s="7" t="str">
        <f t="shared" si="1"/>
        <v/>
      </c>
      <c r="P103" s="7" t="str">
        <f t="shared" si="2"/>
        <v/>
      </c>
      <c r="Q103" s="17"/>
      <c r="R103" s="7"/>
      <c r="S103" s="7"/>
    </row>
    <row r="104" ht="15.75" customHeight="1">
      <c r="A104" s="7" t="str">
        <f t="shared" si="3"/>
        <v/>
      </c>
      <c r="B104" s="22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22"/>
      <c r="O104" s="7" t="str">
        <f t="shared" si="1"/>
        <v/>
      </c>
      <c r="P104" s="7" t="str">
        <f t="shared" si="2"/>
        <v/>
      </c>
      <c r="Q104" s="17"/>
      <c r="R104" s="7"/>
      <c r="S104" s="7"/>
    </row>
    <row r="105" ht="15.75" customHeight="1">
      <c r="A105" s="7" t="str">
        <f t="shared" si="3"/>
        <v/>
      </c>
      <c r="B105" s="22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22"/>
      <c r="O105" s="7" t="str">
        <f t="shared" si="1"/>
        <v/>
      </c>
      <c r="P105" s="7" t="str">
        <f t="shared" si="2"/>
        <v/>
      </c>
      <c r="Q105" s="17"/>
      <c r="R105" s="7"/>
      <c r="S105" s="7"/>
    </row>
    <row r="106" ht="15.75" customHeight="1">
      <c r="A106" s="7" t="str">
        <f t="shared" si="3"/>
        <v/>
      </c>
      <c r="B106" s="22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22"/>
      <c r="O106" s="7" t="str">
        <f t="shared" si="1"/>
        <v/>
      </c>
      <c r="P106" s="7" t="str">
        <f t="shared" si="2"/>
        <v/>
      </c>
      <c r="Q106" s="17"/>
      <c r="R106" s="7"/>
      <c r="S106" s="7"/>
    </row>
    <row r="107" ht="15.75" customHeight="1">
      <c r="A107" s="7" t="str">
        <f t="shared" si="3"/>
        <v/>
      </c>
      <c r="B107" s="22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22"/>
      <c r="O107" s="7" t="str">
        <f t="shared" si="1"/>
        <v/>
      </c>
      <c r="P107" s="7" t="str">
        <f t="shared" si="2"/>
        <v/>
      </c>
      <c r="Q107" s="17"/>
      <c r="R107" s="7"/>
      <c r="S107" s="7"/>
    </row>
    <row r="108" ht="15.75" customHeight="1">
      <c r="A108" s="7" t="str">
        <f t="shared" si="3"/>
        <v/>
      </c>
      <c r="B108" s="22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22"/>
      <c r="O108" s="7" t="str">
        <f t="shared" si="1"/>
        <v/>
      </c>
      <c r="P108" s="7" t="str">
        <f t="shared" si="2"/>
        <v/>
      </c>
      <c r="Q108" s="17"/>
      <c r="R108" s="7"/>
      <c r="S108" s="7"/>
    </row>
    <row r="109" ht="15.75" customHeight="1">
      <c r="A109" s="7" t="str">
        <f t="shared" si="3"/>
        <v/>
      </c>
      <c r="B109" s="22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22"/>
      <c r="O109" s="7" t="str">
        <f t="shared" si="1"/>
        <v/>
      </c>
      <c r="P109" s="7" t="str">
        <f t="shared" si="2"/>
        <v/>
      </c>
      <c r="Q109" s="17"/>
      <c r="R109" s="7"/>
      <c r="S109" s="7"/>
    </row>
    <row r="110" ht="15.75" customHeight="1">
      <c r="A110" s="7" t="str">
        <f t="shared" si="3"/>
        <v/>
      </c>
      <c r="B110" s="22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22"/>
      <c r="O110" s="7" t="str">
        <f t="shared" si="1"/>
        <v/>
      </c>
      <c r="P110" s="7" t="str">
        <f t="shared" si="2"/>
        <v/>
      </c>
      <c r="Q110" s="17"/>
      <c r="R110" s="7"/>
      <c r="S110" s="7"/>
    </row>
    <row r="111" ht="15.75" customHeight="1">
      <c r="A111" s="7" t="str">
        <f t="shared" si="3"/>
        <v/>
      </c>
      <c r="B111" s="22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22"/>
      <c r="O111" s="7" t="str">
        <f t="shared" si="1"/>
        <v/>
      </c>
      <c r="P111" s="7" t="str">
        <f t="shared" si="2"/>
        <v/>
      </c>
      <c r="Q111" s="17"/>
      <c r="R111" s="7"/>
      <c r="S111" s="7"/>
    </row>
    <row r="112" ht="15.75" customHeight="1">
      <c r="A112" s="7" t="str">
        <f t="shared" si="3"/>
        <v/>
      </c>
      <c r="B112" s="22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22"/>
      <c r="O112" s="7" t="str">
        <f t="shared" si="1"/>
        <v/>
      </c>
      <c r="P112" s="7" t="str">
        <f t="shared" si="2"/>
        <v/>
      </c>
      <c r="Q112" s="17"/>
      <c r="R112" s="7"/>
      <c r="S112" s="7"/>
    </row>
    <row r="113" ht="15.75" customHeight="1">
      <c r="A113" s="7" t="str">
        <f t="shared" si="3"/>
        <v/>
      </c>
      <c r="B113" s="22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22"/>
      <c r="O113" s="7" t="str">
        <f t="shared" si="1"/>
        <v/>
      </c>
      <c r="P113" s="7" t="str">
        <f t="shared" si="2"/>
        <v/>
      </c>
      <c r="Q113" s="17"/>
      <c r="R113" s="7"/>
      <c r="S113" s="7"/>
    </row>
    <row r="114" ht="15.75" customHeight="1">
      <c r="A114" s="7" t="str">
        <f t="shared" si="3"/>
        <v/>
      </c>
      <c r="B114" s="22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22"/>
      <c r="O114" s="7" t="str">
        <f t="shared" si="1"/>
        <v/>
      </c>
      <c r="P114" s="7" t="str">
        <f t="shared" si="2"/>
        <v/>
      </c>
      <c r="Q114" s="17"/>
      <c r="R114" s="7"/>
      <c r="S114" s="7"/>
    </row>
    <row r="115" ht="15.75" customHeight="1">
      <c r="A115" s="7" t="str">
        <f t="shared" si="3"/>
        <v/>
      </c>
      <c r="B115" s="22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22"/>
      <c r="O115" s="7" t="str">
        <f t="shared" si="1"/>
        <v/>
      </c>
      <c r="P115" s="7" t="str">
        <f t="shared" si="2"/>
        <v/>
      </c>
      <c r="Q115" s="17"/>
      <c r="R115" s="7"/>
      <c r="S115" s="7"/>
    </row>
    <row r="116" ht="15.75" customHeight="1">
      <c r="A116" s="7" t="str">
        <f t="shared" si="3"/>
        <v/>
      </c>
      <c r="B116" s="22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22"/>
      <c r="O116" s="7" t="str">
        <f t="shared" si="1"/>
        <v/>
      </c>
      <c r="P116" s="7" t="str">
        <f t="shared" si="2"/>
        <v/>
      </c>
      <c r="Q116" s="17"/>
      <c r="R116" s="7"/>
      <c r="S116" s="7"/>
    </row>
    <row r="117" ht="15.75" customHeight="1">
      <c r="A117" s="7" t="str">
        <f t="shared" si="3"/>
        <v/>
      </c>
      <c r="B117" s="22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22"/>
      <c r="O117" s="7" t="str">
        <f t="shared" si="1"/>
        <v/>
      </c>
      <c r="P117" s="7" t="str">
        <f t="shared" si="2"/>
        <v/>
      </c>
      <c r="Q117" s="17"/>
      <c r="R117" s="7"/>
      <c r="S117" s="7"/>
    </row>
    <row r="118" ht="15.75" customHeight="1">
      <c r="A118" s="7" t="str">
        <f t="shared" si="3"/>
        <v/>
      </c>
      <c r="B118" s="22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22"/>
      <c r="O118" s="7" t="str">
        <f t="shared" si="1"/>
        <v/>
      </c>
      <c r="P118" s="7" t="str">
        <f t="shared" si="2"/>
        <v/>
      </c>
      <c r="Q118" s="17"/>
      <c r="R118" s="7"/>
      <c r="S118" s="7"/>
    </row>
    <row r="119" ht="15.75" customHeight="1">
      <c r="A119" s="7" t="str">
        <f t="shared" si="3"/>
        <v/>
      </c>
      <c r="B119" s="22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22"/>
      <c r="O119" s="7" t="str">
        <f t="shared" si="1"/>
        <v/>
      </c>
      <c r="P119" s="7" t="str">
        <f t="shared" si="2"/>
        <v/>
      </c>
      <c r="Q119" s="17"/>
      <c r="R119" s="7"/>
      <c r="S119" s="7"/>
    </row>
    <row r="120" ht="15.75" customHeight="1">
      <c r="A120" s="7" t="str">
        <f t="shared" si="3"/>
        <v/>
      </c>
      <c r="B120" s="22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22"/>
      <c r="O120" s="7" t="str">
        <f t="shared" si="1"/>
        <v/>
      </c>
      <c r="P120" s="7" t="str">
        <f t="shared" si="2"/>
        <v/>
      </c>
      <c r="Q120" s="17"/>
      <c r="R120" s="7"/>
      <c r="S120" s="7"/>
    </row>
    <row r="121" ht="15.75" customHeight="1">
      <c r="A121" s="7" t="str">
        <f t="shared" si="3"/>
        <v/>
      </c>
      <c r="B121" s="22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22"/>
      <c r="O121" s="7" t="str">
        <f t="shared" si="1"/>
        <v/>
      </c>
      <c r="P121" s="7" t="str">
        <f t="shared" si="2"/>
        <v/>
      </c>
      <c r="Q121" s="17"/>
      <c r="R121" s="7"/>
      <c r="S121" s="7"/>
    </row>
    <row r="122" ht="15.75" customHeight="1">
      <c r="A122" s="7" t="str">
        <f t="shared" si="3"/>
        <v/>
      </c>
      <c r="B122" s="22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22"/>
      <c r="O122" s="7" t="str">
        <f t="shared" si="1"/>
        <v/>
      </c>
      <c r="P122" s="7" t="str">
        <f t="shared" si="2"/>
        <v/>
      </c>
      <c r="Q122" s="17"/>
      <c r="R122" s="7"/>
      <c r="S122" s="7"/>
    </row>
    <row r="123" ht="15.75" customHeight="1">
      <c r="A123" s="7" t="str">
        <f t="shared" si="3"/>
        <v/>
      </c>
      <c r="B123" s="22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22"/>
      <c r="O123" s="7" t="str">
        <f t="shared" si="1"/>
        <v/>
      </c>
      <c r="P123" s="7" t="str">
        <f t="shared" si="2"/>
        <v/>
      </c>
      <c r="Q123" s="17"/>
      <c r="R123" s="7"/>
      <c r="S123" s="7"/>
    </row>
    <row r="124" ht="15.75" customHeight="1">
      <c r="A124" s="7" t="str">
        <f t="shared" si="3"/>
        <v/>
      </c>
      <c r="B124" s="22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22"/>
      <c r="O124" s="7" t="str">
        <f t="shared" si="1"/>
        <v/>
      </c>
      <c r="P124" s="7" t="str">
        <f t="shared" si="2"/>
        <v/>
      </c>
      <c r="Q124" s="17"/>
      <c r="R124" s="7"/>
      <c r="S124" s="7"/>
    </row>
    <row r="125" ht="15.75" customHeight="1">
      <c r="A125" s="7" t="str">
        <f t="shared" si="3"/>
        <v/>
      </c>
      <c r="B125" s="22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22"/>
      <c r="O125" s="7" t="str">
        <f t="shared" si="1"/>
        <v/>
      </c>
      <c r="P125" s="7" t="str">
        <f t="shared" si="2"/>
        <v/>
      </c>
      <c r="Q125" s="17"/>
      <c r="R125" s="7"/>
      <c r="S125" s="7"/>
    </row>
    <row r="126" ht="15.75" customHeight="1">
      <c r="A126" s="7" t="str">
        <f t="shared" si="3"/>
        <v/>
      </c>
      <c r="B126" s="22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22"/>
      <c r="O126" s="7" t="str">
        <f t="shared" si="1"/>
        <v/>
      </c>
      <c r="P126" s="7" t="str">
        <f t="shared" si="2"/>
        <v/>
      </c>
      <c r="Q126" s="17"/>
      <c r="R126" s="7"/>
      <c r="S126" s="7"/>
    </row>
    <row r="127" ht="15.75" customHeight="1">
      <c r="A127" s="7" t="str">
        <f t="shared" si="3"/>
        <v/>
      </c>
      <c r="B127" s="22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22"/>
      <c r="O127" s="7" t="str">
        <f t="shared" si="1"/>
        <v/>
      </c>
      <c r="P127" s="7" t="str">
        <f t="shared" si="2"/>
        <v/>
      </c>
      <c r="Q127" s="17"/>
      <c r="R127" s="7"/>
      <c r="S127" s="7"/>
    </row>
    <row r="128" ht="15.75" customHeight="1">
      <c r="A128" s="7" t="str">
        <f t="shared" si="3"/>
        <v/>
      </c>
      <c r="B128" s="22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22"/>
      <c r="O128" s="7" t="str">
        <f t="shared" si="1"/>
        <v/>
      </c>
      <c r="P128" s="7" t="str">
        <f t="shared" si="2"/>
        <v/>
      </c>
      <c r="Q128" s="17"/>
      <c r="R128" s="7"/>
      <c r="S128" s="7"/>
    </row>
    <row r="129" ht="15.75" customHeight="1">
      <c r="A129" s="7" t="str">
        <f t="shared" si="3"/>
        <v/>
      </c>
      <c r="B129" s="22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22"/>
      <c r="O129" s="7" t="str">
        <f t="shared" si="1"/>
        <v/>
      </c>
      <c r="P129" s="7" t="str">
        <f t="shared" si="2"/>
        <v/>
      </c>
      <c r="Q129" s="17"/>
      <c r="R129" s="7"/>
      <c r="S129" s="7"/>
    </row>
    <row r="130" ht="15.75" customHeight="1">
      <c r="A130" s="7" t="str">
        <f t="shared" si="3"/>
        <v/>
      </c>
      <c r="B130" s="22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22"/>
      <c r="O130" s="7" t="str">
        <f t="shared" si="1"/>
        <v/>
      </c>
      <c r="P130" s="7" t="str">
        <f t="shared" si="2"/>
        <v/>
      </c>
      <c r="Q130" s="17"/>
      <c r="R130" s="7"/>
      <c r="S130" s="7"/>
    </row>
    <row r="131" ht="15.75" customHeight="1">
      <c r="A131" s="7" t="str">
        <f t="shared" si="3"/>
        <v/>
      </c>
      <c r="B131" s="22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22"/>
      <c r="O131" s="7" t="str">
        <f t="shared" si="1"/>
        <v/>
      </c>
      <c r="P131" s="7" t="str">
        <f t="shared" si="2"/>
        <v/>
      </c>
      <c r="Q131" s="17"/>
      <c r="R131" s="7"/>
      <c r="S131" s="7"/>
    </row>
    <row r="132" ht="15.75" customHeight="1">
      <c r="A132" s="7" t="str">
        <f t="shared" si="3"/>
        <v/>
      </c>
      <c r="B132" s="22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22"/>
      <c r="O132" s="7" t="str">
        <f t="shared" si="1"/>
        <v/>
      </c>
      <c r="P132" s="7" t="str">
        <f t="shared" si="2"/>
        <v/>
      </c>
      <c r="Q132" s="17"/>
      <c r="R132" s="7"/>
      <c r="S132" s="7"/>
    </row>
    <row r="133" ht="15.75" customHeight="1">
      <c r="A133" s="7" t="str">
        <f t="shared" si="3"/>
        <v/>
      </c>
      <c r="B133" s="22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22"/>
      <c r="O133" s="7" t="str">
        <f t="shared" si="1"/>
        <v/>
      </c>
      <c r="P133" s="7" t="str">
        <f t="shared" si="2"/>
        <v/>
      </c>
      <c r="Q133" s="17"/>
      <c r="R133" s="7"/>
      <c r="S133" s="7"/>
    </row>
    <row r="134" ht="15.75" customHeight="1">
      <c r="A134" s="7" t="str">
        <f t="shared" si="3"/>
        <v/>
      </c>
      <c r="B134" s="22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22"/>
      <c r="O134" s="7" t="str">
        <f t="shared" si="1"/>
        <v/>
      </c>
      <c r="P134" s="7" t="str">
        <f t="shared" si="2"/>
        <v/>
      </c>
      <c r="Q134" s="17"/>
      <c r="R134" s="7"/>
      <c r="S134" s="7"/>
    </row>
    <row r="135" ht="15.75" customHeight="1">
      <c r="A135" s="7" t="str">
        <f t="shared" si="3"/>
        <v/>
      </c>
      <c r="B135" s="22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22"/>
      <c r="O135" s="7" t="str">
        <f t="shared" si="1"/>
        <v/>
      </c>
      <c r="P135" s="7" t="str">
        <f t="shared" si="2"/>
        <v/>
      </c>
      <c r="Q135" s="17"/>
      <c r="R135" s="7"/>
      <c r="S135" s="7"/>
    </row>
    <row r="136" ht="15.75" customHeight="1">
      <c r="A136" s="7" t="str">
        <f t="shared" si="3"/>
        <v/>
      </c>
      <c r="B136" s="22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22"/>
      <c r="O136" s="7" t="str">
        <f t="shared" si="1"/>
        <v/>
      </c>
      <c r="P136" s="7" t="str">
        <f t="shared" si="2"/>
        <v/>
      </c>
      <c r="Q136" s="17"/>
      <c r="R136" s="7"/>
      <c r="S136" s="7"/>
    </row>
    <row r="137" ht="15.75" customHeight="1">
      <c r="A137" s="7" t="str">
        <f t="shared" si="3"/>
        <v/>
      </c>
      <c r="B137" s="22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22"/>
      <c r="O137" s="7" t="str">
        <f t="shared" si="1"/>
        <v/>
      </c>
      <c r="P137" s="7" t="str">
        <f t="shared" si="2"/>
        <v/>
      </c>
      <c r="Q137" s="17"/>
      <c r="R137" s="7"/>
      <c r="S137" s="7"/>
    </row>
    <row r="138" ht="15.75" customHeight="1">
      <c r="A138" s="7" t="str">
        <f t="shared" si="3"/>
        <v/>
      </c>
      <c r="B138" s="22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22"/>
      <c r="O138" s="7" t="str">
        <f t="shared" si="1"/>
        <v/>
      </c>
      <c r="P138" s="7" t="str">
        <f t="shared" si="2"/>
        <v/>
      </c>
      <c r="Q138" s="17"/>
      <c r="R138" s="7"/>
      <c r="S138" s="7"/>
    </row>
    <row r="139" ht="15.75" customHeight="1">
      <c r="A139" s="7" t="str">
        <f t="shared" si="3"/>
        <v/>
      </c>
      <c r="B139" s="22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22"/>
      <c r="O139" s="7" t="str">
        <f t="shared" si="1"/>
        <v/>
      </c>
      <c r="P139" s="7" t="str">
        <f t="shared" si="2"/>
        <v/>
      </c>
      <c r="Q139" s="17"/>
      <c r="R139" s="7"/>
      <c r="S139" s="7"/>
    </row>
    <row r="140" ht="15.75" customHeight="1">
      <c r="A140" s="7" t="str">
        <f t="shared" si="3"/>
        <v/>
      </c>
      <c r="B140" s="22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22"/>
      <c r="O140" s="7" t="str">
        <f t="shared" si="1"/>
        <v/>
      </c>
      <c r="P140" s="7" t="str">
        <f t="shared" si="2"/>
        <v/>
      </c>
      <c r="Q140" s="17"/>
      <c r="R140" s="7"/>
      <c r="S140" s="7"/>
    </row>
    <row r="141" ht="15.75" customHeight="1">
      <c r="A141" s="7" t="str">
        <f t="shared" si="3"/>
        <v/>
      </c>
      <c r="B141" s="22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22"/>
      <c r="O141" s="7" t="str">
        <f t="shared" si="1"/>
        <v/>
      </c>
      <c r="P141" s="7" t="str">
        <f t="shared" si="2"/>
        <v/>
      </c>
      <c r="Q141" s="17"/>
      <c r="R141" s="7"/>
      <c r="S141" s="7"/>
    </row>
    <row r="142" ht="15.75" customHeight="1">
      <c r="A142" s="7" t="str">
        <f t="shared" si="3"/>
        <v/>
      </c>
      <c r="B142" s="22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22"/>
      <c r="O142" s="7" t="str">
        <f t="shared" si="1"/>
        <v/>
      </c>
      <c r="P142" s="7" t="str">
        <f t="shared" si="2"/>
        <v/>
      </c>
      <c r="Q142" s="17"/>
      <c r="R142" s="7"/>
      <c r="S142" s="7"/>
    </row>
    <row r="143" ht="15.75" customHeight="1">
      <c r="A143" s="7" t="str">
        <f t="shared" si="3"/>
        <v/>
      </c>
      <c r="B143" s="22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22"/>
      <c r="O143" s="7" t="str">
        <f t="shared" si="1"/>
        <v/>
      </c>
      <c r="P143" s="7" t="str">
        <f t="shared" si="2"/>
        <v/>
      </c>
      <c r="Q143" s="17"/>
      <c r="R143" s="7"/>
      <c r="S143" s="7"/>
    </row>
    <row r="144" ht="15.75" customHeight="1">
      <c r="A144" s="7" t="str">
        <f t="shared" si="3"/>
        <v/>
      </c>
      <c r="B144" s="22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22"/>
      <c r="O144" s="7" t="str">
        <f t="shared" si="1"/>
        <v/>
      </c>
      <c r="P144" s="7" t="str">
        <f t="shared" si="2"/>
        <v/>
      </c>
      <c r="Q144" s="17"/>
      <c r="R144" s="7"/>
      <c r="S144" s="7"/>
    </row>
    <row r="145" ht="15.75" customHeight="1">
      <c r="A145" s="7" t="str">
        <f t="shared" si="3"/>
        <v/>
      </c>
      <c r="B145" s="22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22"/>
      <c r="O145" s="7" t="str">
        <f t="shared" si="1"/>
        <v/>
      </c>
      <c r="P145" s="7" t="str">
        <f t="shared" si="2"/>
        <v/>
      </c>
      <c r="Q145" s="17"/>
      <c r="R145" s="7"/>
      <c r="S145" s="7"/>
    </row>
    <row r="146" ht="15.75" customHeight="1">
      <c r="A146" s="7" t="str">
        <f t="shared" si="3"/>
        <v/>
      </c>
      <c r="B146" s="22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22"/>
      <c r="O146" s="7" t="str">
        <f t="shared" si="1"/>
        <v/>
      </c>
      <c r="P146" s="7" t="str">
        <f t="shared" si="2"/>
        <v/>
      </c>
      <c r="Q146" s="17"/>
      <c r="R146" s="7"/>
      <c r="S146" s="7"/>
    </row>
    <row r="147" ht="15.75" customHeight="1">
      <c r="A147" s="7" t="str">
        <f t="shared" si="3"/>
        <v/>
      </c>
      <c r="B147" s="22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22"/>
      <c r="O147" s="7" t="str">
        <f t="shared" si="1"/>
        <v/>
      </c>
      <c r="P147" s="7" t="str">
        <f t="shared" si="2"/>
        <v/>
      </c>
      <c r="Q147" s="17"/>
      <c r="R147" s="7"/>
      <c r="S147" s="7"/>
    </row>
    <row r="148" ht="15.75" customHeight="1">
      <c r="A148" s="7" t="str">
        <f t="shared" si="3"/>
        <v/>
      </c>
      <c r="B148" s="22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22"/>
      <c r="O148" s="7" t="str">
        <f t="shared" si="1"/>
        <v/>
      </c>
      <c r="P148" s="7" t="str">
        <f t="shared" si="2"/>
        <v/>
      </c>
      <c r="Q148" s="17"/>
      <c r="R148" s="7"/>
      <c r="S148" s="7"/>
    </row>
    <row r="149" ht="15.75" customHeight="1">
      <c r="A149" s="7" t="str">
        <f t="shared" si="3"/>
        <v/>
      </c>
      <c r="B149" s="22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22"/>
      <c r="O149" s="7" t="str">
        <f t="shared" si="1"/>
        <v/>
      </c>
      <c r="P149" s="7" t="str">
        <f t="shared" si="2"/>
        <v/>
      </c>
      <c r="Q149" s="17"/>
      <c r="R149" s="7"/>
      <c r="S149" s="7"/>
    </row>
    <row r="150" ht="15.75" customHeight="1">
      <c r="A150" s="7" t="str">
        <f t="shared" si="3"/>
        <v/>
      </c>
      <c r="B150" s="22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22"/>
      <c r="O150" s="7" t="str">
        <f t="shared" si="1"/>
        <v/>
      </c>
      <c r="P150" s="7" t="str">
        <f t="shared" si="2"/>
        <v/>
      </c>
      <c r="Q150" s="17"/>
      <c r="R150" s="7"/>
      <c r="S150" s="7"/>
    </row>
    <row r="151" ht="15.75" customHeight="1">
      <c r="A151" s="7" t="str">
        <f t="shared" si="3"/>
        <v/>
      </c>
      <c r="B151" s="22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22"/>
      <c r="O151" s="7" t="str">
        <f t="shared" si="1"/>
        <v/>
      </c>
      <c r="P151" s="7" t="str">
        <f t="shared" si="2"/>
        <v/>
      </c>
      <c r="Q151" s="17"/>
      <c r="R151" s="7"/>
      <c r="S151" s="7"/>
    </row>
    <row r="152" ht="15.75" customHeight="1">
      <c r="A152" s="7" t="str">
        <f t="shared" si="3"/>
        <v/>
      </c>
      <c r="B152" s="22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22"/>
      <c r="O152" s="7" t="str">
        <f t="shared" si="1"/>
        <v/>
      </c>
      <c r="P152" s="7" t="str">
        <f t="shared" si="2"/>
        <v/>
      </c>
      <c r="Q152" s="17"/>
      <c r="R152" s="7"/>
      <c r="S152" s="7"/>
    </row>
    <row r="153" ht="15.75" customHeight="1">
      <c r="A153" s="7" t="str">
        <f t="shared" si="3"/>
        <v/>
      </c>
      <c r="B153" s="22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22"/>
      <c r="O153" s="7" t="str">
        <f t="shared" si="1"/>
        <v/>
      </c>
      <c r="P153" s="7" t="str">
        <f t="shared" si="2"/>
        <v/>
      </c>
      <c r="Q153" s="17"/>
      <c r="R153" s="7"/>
      <c r="S153" s="7"/>
    </row>
    <row r="154" ht="15.75" customHeight="1">
      <c r="A154" s="7" t="str">
        <f t="shared" si="3"/>
        <v/>
      </c>
      <c r="B154" s="22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22"/>
      <c r="O154" s="7" t="str">
        <f t="shared" si="1"/>
        <v/>
      </c>
      <c r="P154" s="7" t="str">
        <f t="shared" si="2"/>
        <v/>
      </c>
      <c r="Q154" s="17"/>
      <c r="R154" s="7"/>
      <c r="S154" s="7"/>
    </row>
    <row r="155" ht="15.75" customHeight="1">
      <c r="A155" s="7" t="str">
        <f t="shared" si="3"/>
        <v/>
      </c>
      <c r="B155" s="22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22"/>
      <c r="O155" s="7" t="str">
        <f t="shared" si="1"/>
        <v/>
      </c>
      <c r="P155" s="7" t="str">
        <f t="shared" si="2"/>
        <v/>
      </c>
      <c r="Q155" s="17"/>
      <c r="R155" s="7"/>
      <c r="S155" s="7"/>
    </row>
    <row r="156" ht="15.75" customHeight="1">
      <c r="A156" s="7" t="str">
        <f t="shared" si="3"/>
        <v/>
      </c>
      <c r="B156" s="22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22"/>
      <c r="O156" s="7" t="str">
        <f t="shared" si="1"/>
        <v/>
      </c>
      <c r="P156" s="7" t="str">
        <f t="shared" si="2"/>
        <v/>
      </c>
      <c r="Q156" s="17"/>
      <c r="R156" s="7"/>
      <c r="S156" s="7"/>
    </row>
    <row r="157" ht="15.75" customHeight="1">
      <c r="A157" s="7" t="str">
        <f t="shared" si="3"/>
        <v/>
      </c>
      <c r="B157" s="22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22"/>
      <c r="O157" s="7" t="str">
        <f t="shared" si="1"/>
        <v/>
      </c>
      <c r="P157" s="7" t="str">
        <f t="shared" si="2"/>
        <v/>
      </c>
      <c r="Q157" s="17"/>
      <c r="R157" s="7"/>
      <c r="S157" s="7"/>
    </row>
    <row r="158" ht="15.75" customHeight="1">
      <c r="A158" s="7" t="str">
        <f t="shared" si="3"/>
        <v/>
      </c>
      <c r="B158" s="22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22"/>
      <c r="O158" s="7" t="str">
        <f t="shared" si="1"/>
        <v/>
      </c>
      <c r="P158" s="7" t="str">
        <f t="shared" si="2"/>
        <v/>
      </c>
      <c r="Q158" s="17"/>
      <c r="R158" s="7"/>
      <c r="S158" s="7"/>
    </row>
    <row r="159" ht="15.75" customHeight="1">
      <c r="A159" s="7" t="str">
        <f t="shared" si="3"/>
        <v/>
      </c>
      <c r="B159" s="22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22"/>
      <c r="O159" s="7" t="str">
        <f t="shared" si="1"/>
        <v/>
      </c>
      <c r="P159" s="7" t="str">
        <f t="shared" si="2"/>
        <v/>
      </c>
      <c r="Q159" s="17"/>
      <c r="R159" s="7"/>
      <c r="S159" s="7"/>
    </row>
    <row r="160" ht="15.75" customHeight="1">
      <c r="A160" s="7" t="str">
        <f t="shared" si="3"/>
        <v/>
      </c>
      <c r="B160" s="22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22"/>
      <c r="O160" s="7" t="str">
        <f t="shared" si="1"/>
        <v/>
      </c>
      <c r="P160" s="7" t="str">
        <f t="shared" si="2"/>
        <v/>
      </c>
      <c r="Q160" s="17"/>
      <c r="R160" s="7"/>
      <c r="S160" s="7"/>
    </row>
    <row r="161" ht="15.75" customHeight="1">
      <c r="A161" s="7" t="str">
        <f t="shared" si="3"/>
        <v/>
      </c>
      <c r="B161" s="22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22"/>
      <c r="O161" s="7" t="str">
        <f t="shared" si="1"/>
        <v/>
      </c>
      <c r="P161" s="7" t="str">
        <f t="shared" si="2"/>
        <v/>
      </c>
      <c r="Q161" s="17"/>
      <c r="R161" s="7"/>
      <c r="S161" s="7"/>
    </row>
    <row r="162" ht="15.75" customHeight="1">
      <c r="A162" s="7" t="str">
        <f t="shared" si="3"/>
        <v/>
      </c>
      <c r="B162" s="22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22"/>
      <c r="O162" s="7" t="str">
        <f t="shared" si="1"/>
        <v/>
      </c>
      <c r="P162" s="7" t="str">
        <f t="shared" si="2"/>
        <v/>
      </c>
      <c r="Q162" s="17"/>
      <c r="R162" s="7"/>
      <c r="S162" s="7"/>
    </row>
    <row r="163" ht="15.75" customHeight="1">
      <c r="A163" s="7" t="str">
        <f t="shared" si="3"/>
        <v/>
      </c>
      <c r="B163" s="22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22"/>
      <c r="O163" s="7" t="str">
        <f t="shared" si="1"/>
        <v/>
      </c>
      <c r="P163" s="7" t="str">
        <f t="shared" si="2"/>
        <v/>
      </c>
      <c r="Q163" s="17"/>
      <c r="R163" s="7"/>
      <c r="S163" s="7"/>
    </row>
    <row r="164" ht="15.75" customHeight="1">
      <c r="A164" s="7" t="str">
        <f t="shared" si="3"/>
        <v/>
      </c>
      <c r="B164" s="22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22"/>
      <c r="O164" s="7" t="str">
        <f t="shared" si="1"/>
        <v/>
      </c>
      <c r="P164" s="7" t="str">
        <f t="shared" si="2"/>
        <v/>
      </c>
      <c r="Q164" s="17"/>
      <c r="R164" s="7"/>
      <c r="S164" s="7"/>
    </row>
    <row r="165" ht="15.75" customHeight="1">
      <c r="A165" s="7" t="str">
        <f t="shared" si="3"/>
        <v/>
      </c>
      <c r="B165" s="22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22"/>
      <c r="O165" s="7" t="str">
        <f t="shared" si="1"/>
        <v/>
      </c>
      <c r="P165" s="7" t="str">
        <f t="shared" si="2"/>
        <v/>
      </c>
      <c r="Q165" s="17"/>
      <c r="R165" s="7"/>
      <c r="S165" s="7"/>
    </row>
    <row r="166" ht="15.75" customHeight="1">
      <c r="A166" s="7" t="str">
        <f t="shared" si="3"/>
        <v/>
      </c>
      <c r="B166" s="22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22"/>
      <c r="O166" s="7" t="str">
        <f t="shared" si="1"/>
        <v/>
      </c>
      <c r="P166" s="7" t="str">
        <f t="shared" si="2"/>
        <v/>
      </c>
      <c r="Q166" s="17"/>
      <c r="R166" s="7"/>
      <c r="S166" s="7"/>
    </row>
    <row r="167" ht="15.75" customHeight="1">
      <c r="A167" s="7" t="str">
        <f t="shared" si="3"/>
        <v/>
      </c>
      <c r="B167" s="22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22"/>
      <c r="O167" s="7" t="str">
        <f t="shared" si="1"/>
        <v/>
      </c>
      <c r="P167" s="7" t="str">
        <f t="shared" si="2"/>
        <v/>
      </c>
      <c r="Q167" s="17"/>
      <c r="R167" s="7"/>
      <c r="S167" s="7"/>
    </row>
    <row r="168" ht="15.75" customHeight="1">
      <c r="A168" s="7" t="str">
        <f t="shared" si="3"/>
        <v/>
      </c>
      <c r="B168" s="22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22"/>
      <c r="O168" s="7" t="str">
        <f t="shared" si="1"/>
        <v/>
      </c>
      <c r="P168" s="7" t="str">
        <f t="shared" si="2"/>
        <v/>
      </c>
      <c r="Q168" s="17"/>
      <c r="R168" s="7"/>
      <c r="S168" s="7"/>
    </row>
    <row r="169" ht="15.75" customHeight="1">
      <c r="A169" s="7" t="str">
        <f t="shared" si="3"/>
        <v/>
      </c>
      <c r="B169" s="22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22"/>
      <c r="O169" s="7" t="str">
        <f t="shared" si="1"/>
        <v/>
      </c>
      <c r="P169" s="7" t="str">
        <f t="shared" si="2"/>
        <v/>
      </c>
      <c r="Q169" s="17"/>
      <c r="R169" s="7"/>
      <c r="S169" s="7"/>
    </row>
    <row r="170" ht="15.75" customHeight="1">
      <c r="A170" s="7" t="str">
        <f t="shared" si="3"/>
        <v/>
      </c>
      <c r="B170" s="22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22"/>
      <c r="O170" s="7" t="str">
        <f t="shared" si="1"/>
        <v/>
      </c>
      <c r="P170" s="7" t="str">
        <f t="shared" si="2"/>
        <v/>
      </c>
      <c r="Q170" s="17"/>
      <c r="R170" s="7"/>
      <c r="S170" s="7"/>
    </row>
    <row r="171" ht="15.75" customHeight="1">
      <c r="A171" s="7" t="str">
        <f t="shared" si="3"/>
        <v/>
      </c>
      <c r="B171" s="22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22"/>
      <c r="O171" s="7" t="str">
        <f t="shared" si="1"/>
        <v/>
      </c>
      <c r="P171" s="7" t="str">
        <f t="shared" si="2"/>
        <v/>
      </c>
      <c r="Q171" s="17"/>
      <c r="R171" s="7"/>
      <c r="S171" s="7"/>
    </row>
    <row r="172" ht="15.75" customHeight="1">
      <c r="A172" s="7" t="str">
        <f t="shared" si="3"/>
        <v/>
      </c>
      <c r="B172" s="22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22"/>
      <c r="O172" s="7" t="str">
        <f t="shared" si="1"/>
        <v/>
      </c>
      <c r="P172" s="7" t="str">
        <f t="shared" si="2"/>
        <v/>
      </c>
      <c r="Q172" s="17"/>
      <c r="R172" s="7"/>
      <c r="S172" s="7"/>
    </row>
    <row r="173" ht="15.75" customHeight="1">
      <c r="A173" s="7" t="str">
        <f t="shared" si="3"/>
        <v/>
      </c>
      <c r="B173" s="22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22"/>
      <c r="O173" s="7" t="str">
        <f t="shared" si="1"/>
        <v/>
      </c>
      <c r="P173" s="7" t="str">
        <f t="shared" si="2"/>
        <v/>
      </c>
      <c r="Q173" s="17"/>
      <c r="R173" s="7"/>
      <c r="S173" s="7"/>
    </row>
    <row r="174" ht="15.75" customHeight="1">
      <c r="A174" s="7" t="str">
        <f t="shared" si="3"/>
        <v/>
      </c>
      <c r="B174" s="22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22"/>
      <c r="O174" s="7" t="str">
        <f t="shared" si="1"/>
        <v/>
      </c>
      <c r="P174" s="7" t="str">
        <f t="shared" si="2"/>
        <v/>
      </c>
      <c r="Q174" s="17"/>
      <c r="R174" s="7"/>
      <c r="S174" s="7"/>
    </row>
    <row r="175" ht="15.75" customHeight="1">
      <c r="A175" s="7" t="str">
        <f t="shared" si="3"/>
        <v/>
      </c>
      <c r="B175" s="22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22"/>
      <c r="O175" s="7" t="str">
        <f t="shared" si="1"/>
        <v/>
      </c>
      <c r="P175" s="7" t="str">
        <f t="shared" si="2"/>
        <v/>
      </c>
      <c r="Q175" s="17"/>
      <c r="R175" s="7"/>
      <c r="S175" s="7"/>
    </row>
    <row r="176" ht="15.75" customHeight="1">
      <c r="A176" s="7" t="str">
        <f t="shared" si="3"/>
        <v/>
      </c>
      <c r="B176" s="22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22"/>
      <c r="O176" s="7" t="str">
        <f t="shared" si="1"/>
        <v/>
      </c>
      <c r="P176" s="7" t="str">
        <f t="shared" si="2"/>
        <v/>
      </c>
      <c r="Q176" s="17"/>
      <c r="R176" s="7"/>
      <c r="S176" s="7"/>
    </row>
    <row r="177" ht="15.75" customHeight="1">
      <c r="A177" s="7" t="str">
        <f t="shared" si="3"/>
        <v/>
      </c>
      <c r="B177" s="22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22"/>
      <c r="O177" s="7" t="str">
        <f t="shared" si="1"/>
        <v/>
      </c>
      <c r="P177" s="7" t="str">
        <f t="shared" si="2"/>
        <v/>
      </c>
      <c r="Q177" s="17"/>
      <c r="R177" s="7"/>
      <c r="S177" s="7"/>
    </row>
    <row r="178" ht="15.75" customHeight="1">
      <c r="A178" s="7" t="str">
        <f t="shared" si="3"/>
        <v/>
      </c>
      <c r="B178" s="22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22"/>
      <c r="O178" s="7" t="str">
        <f t="shared" si="1"/>
        <v/>
      </c>
      <c r="P178" s="7" t="str">
        <f t="shared" si="2"/>
        <v/>
      </c>
      <c r="Q178" s="17"/>
      <c r="R178" s="7"/>
      <c r="S178" s="7"/>
    </row>
    <row r="179" ht="15.75" customHeight="1">
      <c r="A179" s="7" t="str">
        <f t="shared" si="3"/>
        <v/>
      </c>
      <c r="B179" s="22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22"/>
      <c r="O179" s="7" t="str">
        <f t="shared" si="1"/>
        <v/>
      </c>
      <c r="P179" s="7" t="str">
        <f t="shared" si="2"/>
        <v/>
      </c>
      <c r="Q179" s="17"/>
      <c r="R179" s="7"/>
      <c r="S179" s="7"/>
    </row>
    <row r="180" ht="15.75" customHeight="1">
      <c r="A180" s="7" t="str">
        <f t="shared" si="3"/>
        <v/>
      </c>
      <c r="B180" s="22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22"/>
      <c r="O180" s="7" t="str">
        <f t="shared" si="1"/>
        <v/>
      </c>
      <c r="P180" s="7" t="str">
        <f t="shared" si="2"/>
        <v/>
      </c>
      <c r="Q180" s="17"/>
      <c r="R180" s="7"/>
      <c r="S180" s="7"/>
    </row>
    <row r="181" ht="15.75" customHeight="1">
      <c r="A181" s="7" t="str">
        <f t="shared" si="3"/>
        <v/>
      </c>
      <c r="B181" s="22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22"/>
      <c r="O181" s="7" t="str">
        <f t="shared" si="1"/>
        <v/>
      </c>
      <c r="P181" s="7" t="str">
        <f t="shared" si="2"/>
        <v/>
      </c>
      <c r="Q181" s="17"/>
      <c r="R181" s="7"/>
      <c r="S181" s="7"/>
    </row>
    <row r="182" ht="15.75" customHeight="1">
      <c r="A182" s="7" t="str">
        <f t="shared" si="3"/>
        <v/>
      </c>
      <c r="B182" s="22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22"/>
      <c r="O182" s="7" t="str">
        <f t="shared" si="1"/>
        <v/>
      </c>
      <c r="P182" s="7" t="str">
        <f t="shared" si="2"/>
        <v/>
      </c>
      <c r="Q182" s="17"/>
      <c r="R182" s="7"/>
      <c r="S182" s="7"/>
    </row>
    <row r="183" ht="15.75" customHeight="1">
      <c r="A183" s="7" t="str">
        <f t="shared" si="3"/>
        <v/>
      </c>
      <c r="B183" s="22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22"/>
      <c r="O183" s="7" t="str">
        <f t="shared" si="1"/>
        <v/>
      </c>
      <c r="P183" s="7" t="str">
        <f t="shared" si="2"/>
        <v/>
      </c>
      <c r="Q183" s="17"/>
      <c r="R183" s="7"/>
      <c r="S183" s="7"/>
    </row>
    <row r="184" ht="15.75" customHeight="1">
      <c r="A184" s="7" t="str">
        <f t="shared" si="3"/>
        <v/>
      </c>
      <c r="B184" s="22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22"/>
      <c r="O184" s="7" t="str">
        <f t="shared" si="1"/>
        <v/>
      </c>
      <c r="P184" s="7" t="str">
        <f t="shared" si="2"/>
        <v/>
      </c>
      <c r="Q184" s="17"/>
      <c r="R184" s="7"/>
      <c r="S184" s="7"/>
    </row>
    <row r="185" ht="15.75" customHeight="1">
      <c r="A185" s="7" t="str">
        <f t="shared" si="3"/>
        <v/>
      </c>
      <c r="B185" s="22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22"/>
      <c r="O185" s="7" t="str">
        <f t="shared" si="1"/>
        <v/>
      </c>
      <c r="P185" s="7" t="str">
        <f t="shared" si="2"/>
        <v/>
      </c>
      <c r="Q185" s="17"/>
      <c r="R185" s="7"/>
      <c r="S185" s="7"/>
    </row>
    <row r="186" ht="15.75" customHeight="1">
      <c r="A186" s="7" t="str">
        <f t="shared" si="3"/>
        <v/>
      </c>
      <c r="B186" s="22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22"/>
      <c r="O186" s="7" t="str">
        <f t="shared" si="1"/>
        <v/>
      </c>
      <c r="P186" s="7" t="str">
        <f t="shared" si="2"/>
        <v/>
      </c>
      <c r="Q186" s="17"/>
      <c r="R186" s="7"/>
      <c r="S186" s="7"/>
    </row>
    <row r="187" ht="15.75" customHeight="1">
      <c r="A187" s="7" t="str">
        <f t="shared" si="3"/>
        <v/>
      </c>
      <c r="B187" s="22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22"/>
      <c r="O187" s="7" t="str">
        <f t="shared" si="1"/>
        <v/>
      </c>
      <c r="P187" s="7" t="str">
        <f t="shared" si="2"/>
        <v/>
      </c>
      <c r="Q187" s="17"/>
      <c r="R187" s="7"/>
      <c r="S187" s="7"/>
    </row>
    <row r="188" ht="15.75" customHeight="1">
      <c r="A188" s="7" t="str">
        <f t="shared" si="3"/>
        <v/>
      </c>
      <c r="B188" s="22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22"/>
      <c r="O188" s="7" t="str">
        <f t="shared" si="1"/>
        <v/>
      </c>
      <c r="P188" s="7" t="str">
        <f t="shared" si="2"/>
        <v/>
      </c>
      <c r="Q188" s="17"/>
      <c r="R188" s="7"/>
      <c r="S188" s="7"/>
    </row>
    <row r="189" ht="15.75" customHeight="1">
      <c r="A189" s="7" t="str">
        <f t="shared" si="3"/>
        <v/>
      </c>
      <c r="B189" s="22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22"/>
      <c r="O189" s="7" t="str">
        <f t="shared" si="1"/>
        <v/>
      </c>
      <c r="P189" s="7" t="str">
        <f t="shared" si="2"/>
        <v/>
      </c>
      <c r="Q189" s="17"/>
      <c r="R189" s="7"/>
      <c r="S189" s="7"/>
    </row>
    <row r="190" ht="15.75" customHeight="1">
      <c r="A190" s="7" t="str">
        <f t="shared" si="3"/>
        <v/>
      </c>
      <c r="B190" s="22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22"/>
      <c r="O190" s="7" t="str">
        <f t="shared" si="1"/>
        <v/>
      </c>
      <c r="P190" s="7" t="str">
        <f t="shared" si="2"/>
        <v/>
      </c>
      <c r="Q190" s="17"/>
      <c r="R190" s="7"/>
      <c r="S190" s="7"/>
    </row>
    <row r="191" ht="15.75" customHeight="1">
      <c r="A191" s="7" t="str">
        <f t="shared" si="3"/>
        <v/>
      </c>
      <c r="B191" s="22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22"/>
      <c r="O191" s="7" t="str">
        <f t="shared" si="1"/>
        <v/>
      </c>
      <c r="P191" s="7" t="str">
        <f t="shared" si="2"/>
        <v/>
      </c>
      <c r="Q191" s="17"/>
      <c r="R191" s="7"/>
      <c r="S191" s="7"/>
    </row>
    <row r="192" ht="15.75" customHeight="1">
      <c r="A192" s="7" t="str">
        <f t="shared" si="3"/>
        <v/>
      </c>
      <c r="B192" s="22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22"/>
      <c r="O192" s="7" t="str">
        <f t="shared" si="1"/>
        <v/>
      </c>
      <c r="P192" s="7" t="str">
        <f t="shared" si="2"/>
        <v/>
      </c>
      <c r="Q192" s="17"/>
      <c r="R192" s="7"/>
      <c r="S192" s="7"/>
    </row>
    <row r="193" ht="15.75" customHeight="1">
      <c r="A193" s="7" t="str">
        <f t="shared" si="3"/>
        <v/>
      </c>
      <c r="B193" s="22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22"/>
      <c r="O193" s="7" t="str">
        <f t="shared" si="1"/>
        <v/>
      </c>
      <c r="P193" s="7" t="str">
        <f t="shared" si="2"/>
        <v/>
      </c>
      <c r="Q193" s="17"/>
      <c r="R193" s="7"/>
      <c r="S193" s="7"/>
    </row>
    <row r="194" ht="15.75" customHeight="1">
      <c r="A194" s="7" t="str">
        <f t="shared" si="3"/>
        <v/>
      </c>
      <c r="B194" s="22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22"/>
      <c r="O194" s="7" t="str">
        <f t="shared" si="1"/>
        <v/>
      </c>
      <c r="P194" s="7" t="str">
        <f t="shared" si="2"/>
        <v/>
      </c>
      <c r="Q194" s="17"/>
      <c r="R194" s="7"/>
      <c r="S194" s="7"/>
    </row>
    <row r="195" ht="15.75" customHeight="1">
      <c r="A195" s="7" t="str">
        <f t="shared" si="3"/>
        <v/>
      </c>
      <c r="B195" s="22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22"/>
      <c r="O195" s="7" t="str">
        <f t="shared" si="1"/>
        <v/>
      </c>
      <c r="P195" s="7" t="str">
        <f t="shared" si="2"/>
        <v/>
      </c>
      <c r="Q195" s="17"/>
      <c r="R195" s="7"/>
      <c r="S195" s="7"/>
    </row>
    <row r="196" ht="15.75" customHeight="1">
      <c r="A196" s="7" t="str">
        <f t="shared" si="3"/>
        <v/>
      </c>
      <c r="B196" s="22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22"/>
      <c r="O196" s="7" t="str">
        <f t="shared" si="1"/>
        <v/>
      </c>
      <c r="P196" s="7" t="str">
        <f t="shared" si="2"/>
        <v/>
      </c>
      <c r="Q196" s="17"/>
      <c r="R196" s="7"/>
      <c r="S196" s="7"/>
    </row>
    <row r="197" ht="15.75" customHeight="1">
      <c r="A197" s="7" t="str">
        <f t="shared" si="3"/>
        <v/>
      </c>
      <c r="B197" s="22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22"/>
      <c r="O197" s="7" t="str">
        <f t="shared" si="1"/>
        <v/>
      </c>
      <c r="P197" s="7" t="str">
        <f t="shared" si="2"/>
        <v/>
      </c>
      <c r="Q197" s="17"/>
      <c r="R197" s="7"/>
      <c r="S197" s="7"/>
    </row>
    <row r="198" ht="15.75" customHeight="1">
      <c r="A198" s="7" t="str">
        <f t="shared" si="3"/>
        <v/>
      </c>
      <c r="B198" s="22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22"/>
      <c r="O198" s="7" t="str">
        <f t="shared" si="1"/>
        <v/>
      </c>
      <c r="P198" s="7" t="str">
        <f t="shared" si="2"/>
        <v/>
      </c>
      <c r="Q198" s="17"/>
      <c r="R198" s="7"/>
      <c r="S198" s="7"/>
    </row>
    <row r="199" ht="15.75" customHeight="1">
      <c r="A199" s="7" t="str">
        <f t="shared" si="3"/>
        <v/>
      </c>
      <c r="B199" s="22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22"/>
      <c r="O199" s="7" t="str">
        <f t="shared" si="1"/>
        <v/>
      </c>
      <c r="P199" s="7" t="str">
        <f t="shared" si="2"/>
        <v/>
      </c>
      <c r="Q199" s="17"/>
      <c r="R199" s="7"/>
      <c r="S199" s="7"/>
    </row>
    <row r="200" ht="15.75" customHeight="1">
      <c r="A200" s="7" t="str">
        <f t="shared" si="3"/>
        <v/>
      </c>
      <c r="B200" s="22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22"/>
      <c r="O200" s="7" t="str">
        <f t="shared" si="1"/>
        <v/>
      </c>
      <c r="P200" s="7" t="str">
        <f t="shared" si="2"/>
        <v/>
      </c>
      <c r="Q200" s="17"/>
      <c r="R200" s="7"/>
      <c r="S200" s="7"/>
    </row>
    <row r="201" ht="15.75" customHeight="1">
      <c r="A201" s="7" t="str">
        <f t="shared" si="3"/>
        <v/>
      </c>
      <c r="B201" s="22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22"/>
      <c r="O201" s="7" t="str">
        <f t="shared" si="1"/>
        <v/>
      </c>
      <c r="P201" s="7" t="str">
        <f t="shared" si="2"/>
        <v/>
      </c>
      <c r="Q201" s="17"/>
      <c r="R201" s="7"/>
      <c r="S201" s="7"/>
    </row>
    <row r="202" ht="15.75" customHeight="1">
      <c r="A202" s="7" t="str">
        <f t="shared" si="3"/>
        <v/>
      </c>
      <c r="B202" s="22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22"/>
      <c r="O202" s="7" t="str">
        <f t="shared" si="1"/>
        <v/>
      </c>
      <c r="P202" s="7" t="str">
        <f t="shared" si="2"/>
        <v/>
      </c>
      <c r="Q202" s="17"/>
      <c r="R202" s="7"/>
      <c r="S202" s="7"/>
    </row>
    <row r="203" ht="15.75" customHeight="1">
      <c r="A203" s="7" t="str">
        <f t="shared" si="3"/>
        <v/>
      </c>
      <c r="B203" s="22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22"/>
      <c r="O203" s="7" t="str">
        <f t="shared" si="1"/>
        <v/>
      </c>
      <c r="P203" s="7" t="str">
        <f t="shared" si="2"/>
        <v/>
      </c>
      <c r="Q203" s="17"/>
      <c r="R203" s="7"/>
      <c r="S203" s="7"/>
    </row>
    <row r="204" ht="15.75" customHeight="1">
      <c r="A204" s="7" t="str">
        <f t="shared" si="3"/>
        <v/>
      </c>
      <c r="B204" s="22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22"/>
      <c r="O204" s="7" t="str">
        <f t="shared" si="1"/>
        <v/>
      </c>
      <c r="P204" s="7" t="str">
        <f t="shared" si="2"/>
        <v/>
      </c>
      <c r="Q204" s="17"/>
      <c r="R204" s="7"/>
      <c r="S204" s="7"/>
    </row>
    <row r="205" ht="15.75" customHeight="1">
      <c r="A205" s="7" t="str">
        <f t="shared" si="3"/>
        <v/>
      </c>
      <c r="B205" s="22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22"/>
      <c r="O205" s="7" t="str">
        <f t="shared" si="1"/>
        <v/>
      </c>
      <c r="P205" s="7" t="str">
        <f t="shared" si="2"/>
        <v/>
      </c>
      <c r="Q205" s="17"/>
      <c r="R205" s="7"/>
      <c r="S205" s="7"/>
    </row>
    <row r="206" ht="15.75" customHeight="1">
      <c r="A206" s="7" t="str">
        <f t="shared" si="3"/>
        <v/>
      </c>
      <c r="B206" s="22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22"/>
      <c r="O206" s="7" t="str">
        <f t="shared" si="1"/>
        <v/>
      </c>
      <c r="P206" s="7" t="str">
        <f t="shared" si="2"/>
        <v/>
      </c>
      <c r="Q206" s="17"/>
      <c r="R206" s="7"/>
      <c r="S206" s="7"/>
    </row>
    <row r="207" ht="15.75" customHeight="1">
      <c r="A207" s="7" t="str">
        <f t="shared" si="3"/>
        <v/>
      </c>
      <c r="B207" s="22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22"/>
      <c r="O207" s="7" t="str">
        <f t="shared" si="1"/>
        <v/>
      </c>
      <c r="P207" s="7" t="str">
        <f t="shared" si="2"/>
        <v/>
      </c>
      <c r="Q207" s="17"/>
      <c r="R207" s="7"/>
      <c r="S207" s="7"/>
    </row>
    <row r="208" ht="15.75" customHeight="1">
      <c r="A208" s="7" t="str">
        <f t="shared" si="3"/>
        <v/>
      </c>
      <c r="B208" s="22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22"/>
      <c r="O208" s="7" t="str">
        <f t="shared" si="1"/>
        <v/>
      </c>
      <c r="P208" s="7" t="str">
        <f t="shared" si="2"/>
        <v/>
      </c>
      <c r="Q208" s="17"/>
      <c r="R208" s="7"/>
      <c r="S208" s="7"/>
    </row>
    <row r="209" ht="15.75" customHeight="1">
      <c r="A209" s="7" t="str">
        <f t="shared" si="3"/>
        <v/>
      </c>
      <c r="B209" s="22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22"/>
      <c r="O209" s="7" t="str">
        <f t="shared" si="1"/>
        <v/>
      </c>
      <c r="P209" s="7" t="str">
        <f t="shared" si="2"/>
        <v/>
      </c>
      <c r="Q209" s="17"/>
      <c r="R209" s="7"/>
      <c r="S209" s="7"/>
    </row>
    <row r="210" ht="15.75" customHeight="1">
      <c r="A210" s="7" t="str">
        <f t="shared" si="3"/>
        <v/>
      </c>
      <c r="B210" s="22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22"/>
      <c r="O210" s="7" t="str">
        <f t="shared" si="1"/>
        <v/>
      </c>
      <c r="P210" s="7" t="str">
        <f t="shared" si="2"/>
        <v/>
      </c>
      <c r="Q210" s="17"/>
      <c r="R210" s="7"/>
      <c r="S210" s="7"/>
    </row>
    <row r="211" ht="15.75" customHeight="1">
      <c r="A211" s="7" t="str">
        <f t="shared" si="3"/>
        <v/>
      </c>
      <c r="B211" s="22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22"/>
      <c r="O211" s="7" t="str">
        <f t="shared" si="1"/>
        <v/>
      </c>
      <c r="P211" s="7" t="str">
        <f t="shared" si="2"/>
        <v/>
      </c>
      <c r="Q211" s="17"/>
      <c r="R211" s="7"/>
      <c r="S211" s="7"/>
    </row>
    <row r="212" ht="15.75" customHeight="1">
      <c r="A212" s="7" t="str">
        <f t="shared" si="3"/>
        <v/>
      </c>
      <c r="B212" s="22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22"/>
      <c r="O212" s="7" t="str">
        <f t="shared" si="1"/>
        <v/>
      </c>
      <c r="P212" s="7" t="str">
        <f t="shared" si="2"/>
        <v/>
      </c>
      <c r="Q212" s="17"/>
      <c r="R212" s="7"/>
      <c r="S212" s="7"/>
    </row>
    <row r="213" ht="15.75" customHeight="1">
      <c r="A213" s="7" t="str">
        <f t="shared" si="3"/>
        <v/>
      </c>
      <c r="B213" s="22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22"/>
      <c r="O213" s="7" t="str">
        <f t="shared" si="1"/>
        <v/>
      </c>
      <c r="P213" s="7" t="str">
        <f t="shared" si="2"/>
        <v/>
      </c>
      <c r="Q213" s="17"/>
      <c r="R213" s="7"/>
      <c r="S213" s="7"/>
    </row>
    <row r="214" ht="15.75" customHeight="1">
      <c r="A214" s="7" t="str">
        <f t="shared" si="3"/>
        <v/>
      </c>
      <c r="B214" s="22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22"/>
      <c r="O214" s="7" t="str">
        <f t="shared" si="1"/>
        <v/>
      </c>
      <c r="P214" s="7" t="str">
        <f t="shared" si="2"/>
        <v/>
      </c>
      <c r="Q214" s="17"/>
      <c r="R214" s="7"/>
      <c r="S214" s="7"/>
    </row>
    <row r="215" ht="15.75" customHeight="1">
      <c r="A215" s="7" t="str">
        <f t="shared" si="3"/>
        <v/>
      </c>
      <c r="B215" s="22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22"/>
      <c r="O215" s="7" t="str">
        <f t="shared" si="1"/>
        <v/>
      </c>
      <c r="P215" s="7" t="str">
        <f t="shared" si="2"/>
        <v/>
      </c>
      <c r="Q215" s="17"/>
      <c r="R215" s="7"/>
      <c r="S215" s="7"/>
    </row>
    <row r="216" ht="15.75" customHeight="1">
      <c r="A216" s="7" t="str">
        <f t="shared" si="3"/>
        <v/>
      </c>
      <c r="B216" s="22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22"/>
      <c r="O216" s="7" t="str">
        <f t="shared" si="1"/>
        <v/>
      </c>
      <c r="P216" s="7" t="str">
        <f t="shared" si="2"/>
        <v/>
      </c>
      <c r="Q216" s="17"/>
      <c r="R216" s="7"/>
      <c r="S216" s="7"/>
    </row>
    <row r="217" ht="15.75" customHeight="1">
      <c r="A217" s="7" t="str">
        <f t="shared" si="3"/>
        <v/>
      </c>
      <c r="B217" s="22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22"/>
      <c r="O217" s="7" t="str">
        <f t="shared" si="1"/>
        <v/>
      </c>
      <c r="P217" s="7" t="str">
        <f t="shared" si="2"/>
        <v/>
      </c>
      <c r="Q217" s="17"/>
      <c r="R217" s="7"/>
      <c r="S217" s="7"/>
    </row>
    <row r="218" ht="15.75" customHeight="1">
      <c r="A218" s="7" t="str">
        <f t="shared" si="3"/>
        <v/>
      </c>
      <c r="B218" s="22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22"/>
      <c r="O218" s="7" t="str">
        <f t="shared" si="1"/>
        <v/>
      </c>
      <c r="P218" s="7" t="str">
        <f t="shared" si="2"/>
        <v/>
      </c>
      <c r="Q218" s="17"/>
      <c r="R218" s="7"/>
      <c r="S218" s="7"/>
    </row>
    <row r="219" ht="15.75" customHeight="1">
      <c r="A219" s="7" t="str">
        <f t="shared" si="3"/>
        <v/>
      </c>
      <c r="B219" s="22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22"/>
      <c r="O219" s="7" t="str">
        <f t="shared" si="1"/>
        <v/>
      </c>
      <c r="P219" s="7" t="str">
        <f t="shared" si="2"/>
        <v/>
      </c>
      <c r="Q219" s="17"/>
      <c r="R219" s="7"/>
      <c r="S219" s="7"/>
    </row>
    <row r="220" ht="15.75" customHeight="1">
      <c r="A220" s="7" t="str">
        <f t="shared" si="3"/>
        <v/>
      </c>
      <c r="B220" s="22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22"/>
      <c r="O220" s="7" t="str">
        <f t="shared" si="1"/>
        <v/>
      </c>
      <c r="P220" s="7" t="str">
        <f t="shared" si="2"/>
        <v/>
      </c>
      <c r="Q220" s="17"/>
      <c r="R220" s="7"/>
      <c r="S220" s="7"/>
    </row>
    <row r="221" ht="15.75" customHeight="1">
      <c r="A221" s="7" t="str">
        <f t="shared" si="3"/>
        <v/>
      </c>
      <c r="B221" s="22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22"/>
      <c r="O221" s="7" t="str">
        <f t="shared" si="1"/>
        <v/>
      </c>
      <c r="P221" s="7" t="str">
        <f t="shared" si="2"/>
        <v/>
      </c>
      <c r="Q221" s="17"/>
      <c r="R221" s="7"/>
      <c r="S221" s="7"/>
    </row>
    <row r="222" ht="15.75" customHeight="1">
      <c r="A222" s="7" t="str">
        <f t="shared" si="3"/>
        <v/>
      </c>
      <c r="B222" s="22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22"/>
      <c r="O222" s="7" t="str">
        <f t="shared" si="1"/>
        <v/>
      </c>
      <c r="P222" s="7" t="str">
        <f t="shared" si="2"/>
        <v/>
      </c>
      <c r="Q222" s="17"/>
      <c r="R222" s="7"/>
      <c r="S222" s="7"/>
    </row>
    <row r="223" ht="15.75" customHeight="1">
      <c r="A223" s="7" t="str">
        <f t="shared" si="3"/>
        <v/>
      </c>
      <c r="B223" s="22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22"/>
      <c r="O223" s="7" t="str">
        <f t="shared" si="1"/>
        <v/>
      </c>
      <c r="P223" s="7" t="str">
        <f t="shared" si="2"/>
        <v/>
      </c>
      <c r="Q223" s="17"/>
      <c r="R223" s="7"/>
      <c r="S223" s="7"/>
    </row>
    <row r="224" ht="15.75" customHeight="1">
      <c r="A224" s="7" t="str">
        <f t="shared" si="3"/>
        <v/>
      </c>
      <c r="B224" s="22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22"/>
      <c r="O224" s="7" t="str">
        <f t="shared" si="1"/>
        <v/>
      </c>
      <c r="P224" s="7" t="str">
        <f t="shared" si="2"/>
        <v/>
      </c>
      <c r="Q224" s="17"/>
      <c r="R224" s="7"/>
      <c r="S224" s="7"/>
    </row>
    <row r="225" ht="15.75" customHeight="1">
      <c r="A225" s="7" t="str">
        <f t="shared" si="3"/>
        <v/>
      </c>
      <c r="B225" s="22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22"/>
      <c r="O225" s="7" t="str">
        <f t="shared" si="1"/>
        <v/>
      </c>
      <c r="P225" s="7" t="str">
        <f t="shared" si="2"/>
        <v/>
      </c>
      <c r="Q225" s="17"/>
      <c r="R225" s="7"/>
      <c r="S225" s="7"/>
    </row>
    <row r="226" ht="15.75" customHeight="1">
      <c r="A226" s="7" t="str">
        <f t="shared" si="3"/>
        <v/>
      </c>
      <c r="B226" s="22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22"/>
      <c r="O226" s="7" t="str">
        <f t="shared" si="1"/>
        <v/>
      </c>
      <c r="P226" s="7" t="str">
        <f t="shared" si="2"/>
        <v/>
      </c>
      <c r="Q226" s="17"/>
      <c r="R226" s="7"/>
      <c r="S226" s="7"/>
    </row>
    <row r="227" ht="15.75" customHeight="1">
      <c r="A227" s="7" t="str">
        <f t="shared" si="3"/>
        <v/>
      </c>
      <c r="B227" s="22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22"/>
      <c r="O227" s="7" t="str">
        <f t="shared" si="1"/>
        <v/>
      </c>
      <c r="P227" s="7" t="str">
        <f t="shared" si="2"/>
        <v/>
      </c>
      <c r="Q227" s="17"/>
      <c r="R227" s="7"/>
      <c r="S227" s="7"/>
    </row>
    <row r="228" ht="15.75" customHeight="1">
      <c r="A228" s="7" t="str">
        <f t="shared" si="3"/>
        <v/>
      </c>
      <c r="B228" s="22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22"/>
      <c r="O228" s="7" t="str">
        <f t="shared" si="1"/>
        <v/>
      </c>
      <c r="P228" s="7" t="str">
        <f t="shared" si="2"/>
        <v/>
      </c>
      <c r="Q228" s="17"/>
      <c r="R228" s="7"/>
      <c r="S228" s="7"/>
    </row>
    <row r="229" ht="15.75" customHeight="1">
      <c r="A229" s="7" t="str">
        <f t="shared" si="3"/>
        <v/>
      </c>
      <c r="B229" s="22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22"/>
      <c r="O229" s="7" t="str">
        <f t="shared" si="1"/>
        <v/>
      </c>
      <c r="P229" s="7" t="str">
        <f t="shared" si="2"/>
        <v/>
      </c>
      <c r="Q229" s="17"/>
      <c r="R229" s="7"/>
      <c r="S229" s="7"/>
    </row>
    <row r="230" ht="15.75" customHeight="1">
      <c r="A230" s="7" t="str">
        <f t="shared" si="3"/>
        <v/>
      </c>
      <c r="B230" s="22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22"/>
      <c r="O230" s="7" t="str">
        <f t="shared" si="1"/>
        <v/>
      </c>
      <c r="P230" s="7" t="str">
        <f t="shared" si="2"/>
        <v/>
      </c>
      <c r="Q230" s="17"/>
      <c r="R230" s="7"/>
      <c r="S230" s="7"/>
    </row>
    <row r="231" ht="15.75" customHeight="1">
      <c r="A231" s="7" t="str">
        <f t="shared" si="3"/>
        <v/>
      </c>
      <c r="B231" s="22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22"/>
      <c r="O231" s="7" t="str">
        <f t="shared" si="1"/>
        <v/>
      </c>
      <c r="P231" s="7" t="str">
        <f t="shared" si="2"/>
        <v/>
      </c>
      <c r="Q231" s="17"/>
      <c r="R231" s="7"/>
      <c r="S231" s="7"/>
    </row>
    <row r="232" ht="15.75" customHeight="1">
      <c r="A232" s="7" t="str">
        <f t="shared" si="3"/>
        <v/>
      </c>
      <c r="B232" s="22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22"/>
      <c r="O232" s="7" t="str">
        <f t="shared" si="1"/>
        <v/>
      </c>
      <c r="P232" s="7" t="str">
        <f t="shared" si="2"/>
        <v/>
      </c>
      <c r="Q232" s="17"/>
      <c r="R232" s="7"/>
      <c r="S232" s="7"/>
    </row>
    <row r="233" ht="15.75" customHeight="1">
      <c r="A233" s="7" t="str">
        <f t="shared" si="3"/>
        <v/>
      </c>
      <c r="B233" s="22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22"/>
      <c r="O233" s="7" t="str">
        <f t="shared" si="1"/>
        <v/>
      </c>
      <c r="P233" s="7" t="str">
        <f t="shared" si="2"/>
        <v/>
      </c>
      <c r="Q233" s="17"/>
      <c r="R233" s="7"/>
      <c r="S233" s="7"/>
    </row>
    <row r="234" ht="15.75" customHeight="1">
      <c r="A234" s="7" t="str">
        <f t="shared" si="3"/>
        <v/>
      </c>
      <c r="B234" s="22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22"/>
      <c r="O234" s="7" t="str">
        <f t="shared" si="1"/>
        <v/>
      </c>
      <c r="P234" s="7" t="str">
        <f t="shared" si="2"/>
        <v/>
      </c>
      <c r="Q234" s="17"/>
      <c r="R234" s="7"/>
      <c r="S234" s="7"/>
    </row>
    <row r="235" ht="15.75" customHeight="1">
      <c r="A235" s="7" t="str">
        <f t="shared" si="3"/>
        <v/>
      </c>
      <c r="B235" s="22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22"/>
      <c r="O235" s="7" t="str">
        <f t="shared" si="1"/>
        <v/>
      </c>
      <c r="P235" s="7" t="str">
        <f t="shared" si="2"/>
        <v/>
      </c>
      <c r="Q235" s="17"/>
      <c r="R235" s="7"/>
      <c r="S235" s="7"/>
    </row>
    <row r="236" ht="15.75" customHeight="1">
      <c r="A236" s="7" t="str">
        <f t="shared" si="3"/>
        <v/>
      </c>
      <c r="B236" s="22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22"/>
      <c r="O236" s="7" t="str">
        <f t="shared" si="1"/>
        <v/>
      </c>
      <c r="P236" s="7" t="str">
        <f t="shared" si="2"/>
        <v/>
      </c>
      <c r="Q236" s="17"/>
      <c r="R236" s="7"/>
      <c r="S236" s="7"/>
    </row>
    <row r="237" ht="15.75" customHeight="1">
      <c r="A237" s="7" t="str">
        <f t="shared" si="3"/>
        <v/>
      </c>
      <c r="B237" s="22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22"/>
      <c r="O237" s="7" t="str">
        <f t="shared" si="1"/>
        <v/>
      </c>
      <c r="P237" s="7" t="str">
        <f t="shared" si="2"/>
        <v/>
      </c>
      <c r="Q237" s="17"/>
      <c r="R237" s="7"/>
      <c r="S237" s="7"/>
    </row>
    <row r="238" ht="15.75" customHeight="1">
      <c r="A238" s="7" t="str">
        <f t="shared" si="3"/>
        <v/>
      </c>
      <c r="B238" s="22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22"/>
      <c r="O238" s="7" t="str">
        <f t="shared" si="1"/>
        <v/>
      </c>
      <c r="P238" s="7" t="str">
        <f t="shared" si="2"/>
        <v/>
      </c>
      <c r="Q238" s="17"/>
      <c r="R238" s="7"/>
      <c r="S238" s="7"/>
    </row>
    <row r="239" ht="15.75" customHeight="1">
      <c r="A239" s="7" t="str">
        <f t="shared" si="3"/>
        <v/>
      </c>
      <c r="B239" s="22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22"/>
      <c r="O239" s="7" t="str">
        <f t="shared" si="1"/>
        <v/>
      </c>
      <c r="P239" s="7" t="str">
        <f t="shared" si="2"/>
        <v/>
      </c>
      <c r="Q239" s="17"/>
      <c r="R239" s="7"/>
      <c r="S239" s="7"/>
    </row>
    <row r="240" ht="15.75" customHeight="1">
      <c r="A240" s="7" t="str">
        <f t="shared" si="3"/>
        <v/>
      </c>
      <c r="B240" s="22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22"/>
      <c r="O240" s="7" t="str">
        <f t="shared" si="1"/>
        <v/>
      </c>
      <c r="P240" s="7" t="str">
        <f t="shared" si="2"/>
        <v/>
      </c>
      <c r="Q240" s="17"/>
      <c r="R240" s="7"/>
      <c r="S240" s="7"/>
    </row>
    <row r="241" ht="15.75" customHeight="1">
      <c r="A241" s="7" t="str">
        <f t="shared" si="3"/>
        <v/>
      </c>
      <c r="B241" s="22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22"/>
      <c r="O241" s="7" t="str">
        <f t="shared" si="1"/>
        <v/>
      </c>
      <c r="P241" s="7" t="str">
        <f t="shared" si="2"/>
        <v/>
      </c>
      <c r="Q241" s="17"/>
      <c r="R241" s="7"/>
      <c r="S241" s="7"/>
    </row>
    <row r="242" ht="15.75" customHeight="1">
      <c r="A242" s="7" t="str">
        <f t="shared" si="3"/>
        <v/>
      </c>
      <c r="B242" s="22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22"/>
      <c r="O242" s="7" t="str">
        <f t="shared" si="1"/>
        <v/>
      </c>
      <c r="P242" s="7" t="str">
        <f t="shared" si="2"/>
        <v/>
      </c>
      <c r="Q242" s="17"/>
      <c r="R242" s="7"/>
      <c r="S242" s="7"/>
    </row>
    <row r="243" ht="15.75" customHeight="1">
      <c r="A243" s="7" t="str">
        <f t="shared" si="3"/>
        <v/>
      </c>
      <c r="B243" s="22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22"/>
      <c r="O243" s="7" t="str">
        <f t="shared" si="1"/>
        <v/>
      </c>
      <c r="P243" s="7" t="str">
        <f t="shared" si="2"/>
        <v/>
      </c>
      <c r="Q243" s="17"/>
      <c r="R243" s="7"/>
      <c r="S243" s="7"/>
    </row>
    <row r="244" ht="15.75" customHeight="1">
      <c r="A244" s="7" t="str">
        <f t="shared" si="3"/>
        <v/>
      </c>
      <c r="B244" s="22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22"/>
      <c r="O244" s="7" t="str">
        <f t="shared" si="1"/>
        <v/>
      </c>
      <c r="P244" s="7" t="str">
        <f t="shared" si="2"/>
        <v/>
      </c>
      <c r="Q244" s="17"/>
      <c r="R244" s="7"/>
      <c r="S244" s="7"/>
    </row>
    <row r="245" ht="15.75" customHeight="1">
      <c r="A245" s="7" t="str">
        <f t="shared" si="3"/>
        <v/>
      </c>
      <c r="B245" s="22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22"/>
      <c r="O245" s="7" t="str">
        <f t="shared" si="1"/>
        <v/>
      </c>
      <c r="P245" s="7" t="str">
        <f t="shared" si="2"/>
        <v/>
      </c>
      <c r="Q245" s="17"/>
      <c r="R245" s="7"/>
      <c r="S245" s="7"/>
    </row>
    <row r="246" ht="15.75" customHeight="1">
      <c r="A246" s="7" t="str">
        <f t="shared" si="3"/>
        <v/>
      </c>
      <c r="B246" s="22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22"/>
      <c r="O246" s="7" t="str">
        <f t="shared" si="1"/>
        <v/>
      </c>
      <c r="P246" s="7" t="str">
        <f t="shared" si="2"/>
        <v/>
      </c>
      <c r="Q246" s="17"/>
      <c r="R246" s="7"/>
      <c r="S246" s="7"/>
    </row>
    <row r="247" ht="15.75" customHeight="1">
      <c r="A247" s="7" t="str">
        <f t="shared" si="3"/>
        <v/>
      </c>
      <c r="B247" s="22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22"/>
      <c r="O247" s="7" t="str">
        <f t="shared" si="1"/>
        <v/>
      </c>
      <c r="P247" s="7" t="str">
        <f t="shared" si="2"/>
        <v/>
      </c>
      <c r="Q247" s="17"/>
      <c r="R247" s="7"/>
      <c r="S247" s="7"/>
    </row>
    <row r="248" ht="15.75" customHeight="1">
      <c r="A248" s="7" t="str">
        <f t="shared" si="3"/>
        <v/>
      </c>
      <c r="B248" s="22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22"/>
      <c r="O248" s="7" t="str">
        <f t="shared" si="1"/>
        <v/>
      </c>
      <c r="P248" s="7" t="str">
        <f t="shared" si="2"/>
        <v/>
      </c>
      <c r="Q248" s="17"/>
      <c r="R248" s="7"/>
      <c r="S248" s="7"/>
    </row>
    <row r="249" ht="15.75" customHeight="1">
      <c r="A249" s="7" t="str">
        <f t="shared" si="3"/>
        <v/>
      </c>
      <c r="B249" s="22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22"/>
      <c r="O249" s="7" t="str">
        <f t="shared" si="1"/>
        <v/>
      </c>
      <c r="P249" s="7" t="str">
        <f t="shared" si="2"/>
        <v/>
      </c>
      <c r="Q249" s="17"/>
      <c r="R249" s="7"/>
      <c r="S249" s="7"/>
    </row>
    <row r="250" ht="15.75" customHeight="1">
      <c r="A250" s="7" t="str">
        <f t="shared" si="3"/>
        <v/>
      </c>
      <c r="B250" s="22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22"/>
      <c r="O250" s="7" t="str">
        <f t="shared" si="1"/>
        <v/>
      </c>
      <c r="P250" s="7" t="str">
        <f t="shared" si="2"/>
        <v/>
      </c>
      <c r="Q250" s="17"/>
      <c r="R250" s="7"/>
      <c r="S250" s="7"/>
    </row>
    <row r="251" ht="15.75" customHeight="1">
      <c r="A251" s="7" t="str">
        <f t="shared" si="3"/>
        <v/>
      </c>
      <c r="B251" s="22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22"/>
      <c r="O251" s="7" t="str">
        <f t="shared" si="1"/>
        <v/>
      </c>
      <c r="P251" s="7" t="str">
        <f t="shared" si="2"/>
        <v/>
      </c>
      <c r="Q251" s="17"/>
      <c r="R251" s="7"/>
      <c r="S251" s="7"/>
    </row>
    <row r="252" ht="15.75" customHeight="1">
      <c r="A252" s="7" t="str">
        <f t="shared" si="3"/>
        <v/>
      </c>
      <c r="B252" s="22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22"/>
      <c r="O252" s="7" t="str">
        <f t="shared" si="1"/>
        <v/>
      </c>
      <c r="P252" s="7" t="str">
        <f t="shared" si="2"/>
        <v/>
      </c>
      <c r="Q252" s="17"/>
      <c r="R252" s="7"/>
      <c r="S252" s="7"/>
    </row>
    <row r="253" ht="15.75" customHeight="1">
      <c r="A253" s="7" t="str">
        <f t="shared" si="3"/>
        <v/>
      </c>
      <c r="B253" s="22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22"/>
      <c r="O253" s="7" t="str">
        <f t="shared" si="1"/>
        <v/>
      </c>
      <c r="P253" s="7" t="str">
        <f t="shared" si="2"/>
        <v/>
      </c>
      <c r="Q253" s="17"/>
      <c r="R253" s="7"/>
      <c r="S253" s="7"/>
    </row>
    <row r="254" ht="15.75" customHeight="1">
      <c r="A254" s="7" t="str">
        <f t="shared" si="3"/>
        <v/>
      </c>
      <c r="B254" s="22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22"/>
      <c r="O254" s="7" t="str">
        <f t="shared" si="1"/>
        <v/>
      </c>
      <c r="P254" s="7" t="str">
        <f t="shared" si="2"/>
        <v/>
      </c>
      <c r="Q254" s="17"/>
      <c r="R254" s="7"/>
      <c r="S254" s="7"/>
    </row>
    <row r="255" ht="15.75" customHeight="1">
      <c r="A255" s="7" t="str">
        <f t="shared" si="3"/>
        <v/>
      </c>
      <c r="B255" s="22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22"/>
      <c r="O255" s="7" t="str">
        <f t="shared" si="1"/>
        <v/>
      </c>
      <c r="P255" s="7" t="str">
        <f t="shared" si="2"/>
        <v/>
      </c>
      <c r="Q255" s="17"/>
      <c r="R255" s="7"/>
      <c r="S255" s="7"/>
    </row>
    <row r="256" ht="15.75" customHeight="1">
      <c r="A256" s="7" t="str">
        <f t="shared" si="3"/>
        <v/>
      </c>
      <c r="B256" s="22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22"/>
      <c r="O256" s="7" t="str">
        <f t="shared" si="1"/>
        <v/>
      </c>
      <c r="P256" s="7" t="str">
        <f t="shared" si="2"/>
        <v/>
      </c>
      <c r="Q256" s="17"/>
      <c r="R256" s="7"/>
      <c r="S256" s="7"/>
    </row>
    <row r="257" ht="15.75" customHeight="1">
      <c r="A257" s="7" t="str">
        <f t="shared" si="3"/>
        <v/>
      </c>
      <c r="B257" s="22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22"/>
      <c r="O257" s="7" t="str">
        <f t="shared" si="1"/>
        <v/>
      </c>
      <c r="P257" s="7" t="str">
        <f t="shared" si="2"/>
        <v/>
      </c>
      <c r="Q257" s="17"/>
      <c r="R257" s="7"/>
      <c r="S257" s="7"/>
    </row>
    <row r="258" ht="15.75" customHeight="1">
      <c r="A258" s="7" t="str">
        <f t="shared" si="3"/>
        <v/>
      </c>
      <c r="B258" s="22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22"/>
      <c r="O258" s="7" t="str">
        <f t="shared" si="1"/>
        <v/>
      </c>
      <c r="P258" s="7" t="str">
        <f t="shared" si="2"/>
        <v/>
      </c>
      <c r="Q258" s="17"/>
      <c r="R258" s="7"/>
      <c r="S258" s="7"/>
    </row>
    <row r="259" ht="15.75" customHeight="1">
      <c r="A259" s="7" t="str">
        <f t="shared" si="3"/>
        <v/>
      </c>
      <c r="B259" s="22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22"/>
      <c r="O259" s="7" t="str">
        <f t="shared" si="1"/>
        <v/>
      </c>
      <c r="P259" s="7" t="str">
        <f t="shared" si="2"/>
        <v/>
      </c>
      <c r="Q259" s="17"/>
      <c r="R259" s="7"/>
      <c r="S259" s="7"/>
    </row>
    <row r="260" ht="15.75" customHeight="1">
      <c r="A260" s="7" t="str">
        <f t="shared" si="3"/>
        <v/>
      </c>
      <c r="B260" s="22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22"/>
      <c r="O260" s="7" t="str">
        <f t="shared" si="1"/>
        <v/>
      </c>
      <c r="P260" s="7" t="str">
        <f t="shared" si="2"/>
        <v/>
      </c>
      <c r="Q260" s="17"/>
      <c r="R260" s="7"/>
      <c r="S260" s="7"/>
    </row>
    <row r="261" ht="15.75" customHeight="1">
      <c r="A261" s="7" t="str">
        <f t="shared" si="3"/>
        <v/>
      </c>
      <c r="B261" s="22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22"/>
      <c r="O261" s="7" t="str">
        <f t="shared" si="1"/>
        <v/>
      </c>
      <c r="P261" s="7" t="str">
        <f t="shared" si="2"/>
        <v/>
      </c>
      <c r="Q261" s="17"/>
      <c r="R261" s="7"/>
      <c r="S261" s="7"/>
    </row>
    <row r="262" ht="15.75" customHeight="1">
      <c r="A262" s="7" t="str">
        <f t="shared" si="3"/>
        <v/>
      </c>
      <c r="B262" s="22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22"/>
      <c r="O262" s="7" t="str">
        <f t="shared" si="1"/>
        <v/>
      </c>
      <c r="P262" s="7" t="str">
        <f t="shared" si="2"/>
        <v/>
      </c>
      <c r="Q262" s="17"/>
      <c r="R262" s="7"/>
      <c r="S262" s="7"/>
    </row>
    <row r="263" ht="15.75" customHeight="1">
      <c r="A263" s="7" t="str">
        <f t="shared" si="3"/>
        <v/>
      </c>
      <c r="B263" s="22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22"/>
      <c r="O263" s="7" t="str">
        <f t="shared" si="1"/>
        <v/>
      </c>
      <c r="P263" s="7" t="str">
        <f t="shared" si="2"/>
        <v/>
      </c>
      <c r="Q263" s="17"/>
      <c r="R263" s="7"/>
      <c r="S263" s="7"/>
    </row>
    <row r="264" ht="15.75" customHeight="1">
      <c r="A264" s="7" t="str">
        <f t="shared" si="3"/>
        <v/>
      </c>
      <c r="B264" s="22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22"/>
      <c r="O264" s="7" t="str">
        <f t="shared" si="1"/>
        <v/>
      </c>
      <c r="P264" s="7" t="str">
        <f t="shared" si="2"/>
        <v/>
      </c>
      <c r="Q264" s="17"/>
      <c r="R264" s="7"/>
      <c r="S264" s="7"/>
    </row>
    <row r="265" ht="15.75" customHeight="1">
      <c r="A265" s="7" t="str">
        <f t="shared" si="3"/>
        <v/>
      </c>
      <c r="B265" s="22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22"/>
      <c r="O265" s="7" t="str">
        <f t="shared" si="1"/>
        <v/>
      </c>
      <c r="P265" s="7" t="str">
        <f t="shared" si="2"/>
        <v/>
      </c>
      <c r="Q265" s="17"/>
      <c r="R265" s="7"/>
      <c r="S265" s="7"/>
    </row>
    <row r="266" ht="15.75" customHeight="1">
      <c r="A266" s="7" t="str">
        <f t="shared" si="3"/>
        <v/>
      </c>
      <c r="B266" s="22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22"/>
      <c r="O266" s="7" t="str">
        <f t="shared" si="1"/>
        <v/>
      </c>
      <c r="P266" s="7" t="str">
        <f t="shared" si="2"/>
        <v/>
      </c>
      <c r="Q266" s="17"/>
      <c r="R266" s="7"/>
      <c r="S266" s="7"/>
    </row>
    <row r="267" ht="15.75" customHeight="1">
      <c r="A267" s="7" t="str">
        <f t="shared" si="3"/>
        <v/>
      </c>
      <c r="B267" s="22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22"/>
      <c r="O267" s="7" t="str">
        <f t="shared" si="1"/>
        <v/>
      </c>
      <c r="P267" s="7" t="str">
        <f t="shared" si="2"/>
        <v/>
      </c>
      <c r="Q267" s="17"/>
      <c r="R267" s="7"/>
      <c r="S267" s="7"/>
    </row>
    <row r="268" ht="15.75" customHeight="1">
      <c r="A268" s="7" t="str">
        <f t="shared" si="3"/>
        <v/>
      </c>
      <c r="B268" s="22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22"/>
      <c r="O268" s="7" t="str">
        <f t="shared" si="1"/>
        <v/>
      </c>
      <c r="P268" s="7" t="str">
        <f t="shared" si="2"/>
        <v/>
      </c>
      <c r="Q268" s="17"/>
      <c r="R268" s="7"/>
      <c r="S268" s="7"/>
    </row>
    <row r="269" ht="15.75" customHeight="1">
      <c r="A269" s="7" t="str">
        <f t="shared" si="3"/>
        <v/>
      </c>
      <c r="B269" s="22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22"/>
      <c r="O269" s="7" t="str">
        <f t="shared" si="1"/>
        <v/>
      </c>
      <c r="P269" s="7" t="str">
        <f t="shared" si="2"/>
        <v/>
      </c>
      <c r="Q269" s="17"/>
      <c r="R269" s="7"/>
      <c r="S269" s="7"/>
    </row>
    <row r="270" ht="15.75" customHeight="1">
      <c r="A270" s="7" t="str">
        <f t="shared" si="3"/>
        <v/>
      </c>
      <c r="B270" s="22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22"/>
      <c r="O270" s="7" t="str">
        <f t="shared" si="1"/>
        <v/>
      </c>
      <c r="P270" s="7" t="str">
        <f t="shared" si="2"/>
        <v/>
      </c>
      <c r="Q270" s="17"/>
      <c r="R270" s="7"/>
      <c r="S270" s="7"/>
    </row>
    <row r="271" ht="15.75" customHeight="1">
      <c r="A271" s="7" t="str">
        <f t="shared" si="3"/>
        <v/>
      </c>
      <c r="B271" s="22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22"/>
      <c r="O271" s="7" t="str">
        <f t="shared" si="1"/>
        <v/>
      </c>
      <c r="P271" s="7" t="str">
        <f t="shared" si="2"/>
        <v/>
      </c>
      <c r="Q271" s="17"/>
      <c r="R271" s="7"/>
      <c r="S271" s="7"/>
    </row>
    <row r="272" ht="15.75" customHeight="1">
      <c r="A272" s="7" t="str">
        <f t="shared" si="3"/>
        <v/>
      </c>
      <c r="B272" s="22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22"/>
      <c r="O272" s="7" t="str">
        <f t="shared" si="1"/>
        <v/>
      </c>
      <c r="P272" s="7" t="str">
        <f t="shared" si="2"/>
        <v/>
      </c>
      <c r="Q272" s="17"/>
      <c r="R272" s="7"/>
      <c r="S272" s="7"/>
    </row>
    <row r="273" ht="15.75" customHeight="1">
      <c r="A273" s="7" t="str">
        <f t="shared" si="3"/>
        <v/>
      </c>
      <c r="B273" s="22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22"/>
      <c r="O273" s="7" t="str">
        <f t="shared" si="1"/>
        <v/>
      </c>
      <c r="P273" s="7" t="str">
        <f t="shared" si="2"/>
        <v/>
      </c>
      <c r="Q273" s="17"/>
      <c r="R273" s="7"/>
      <c r="S273" s="7"/>
    </row>
    <row r="274" ht="15.75" customHeight="1">
      <c r="A274" s="7" t="str">
        <f t="shared" si="3"/>
        <v/>
      </c>
      <c r="B274" s="22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22"/>
      <c r="O274" s="7" t="str">
        <f t="shared" si="1"/>
        <v/>
      </c>
      <c r="P274" s="7" t="str">
        <f t="shared" si="2"/>
        <v/>
      </c>
      <c r="Q274" s="17"/>
      <c r="R274" s="7"/>
      <c r="S274" s="7"/>
    </row>
    <row r="275" ht="15.75" customHeight="1">
      <c r="A275" s="7" t="str">
        <f t="shared" si="3"/>
        <v/>
      </c>
      <c r="B275" s="22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22"/>
      <c r="O275" s="7" t="str">
        <f t="shared" si="1"/>
        <v/>
      </c>
      <c r="P275" s="7" t="str">
        <f t="shared" si="2"/>
        <v/>
      </c>
      <c r="Q275" s="17"/>
      <c r="R275" s="7"/>
      <c r="S275" s="7"/>
    </row>
    <row r="276" ht="15.75" customHeight="1">
      <c r="A276" s="7" t="str">
        <f t="shared" si="3"/>
        <v/>
      </c>
      <c r="B276" s="22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22"/>
      <c r="O276" s="7" t="str">
        <f t="shared" si="1"/>
        <v/>
      </c>
      <c r="P276" s="7" t="str">
        <f t="shared" si="2"/>
        <v/>
      </c>
      <c r="Q276" s="17"/>
      <c r="R276" s="7"/>
      <c r="S276" s="7"/>
    </row>
    <row r="277" ht="15.75" customHeight="1">
      <c r="A277" s="7" t="str">
        <f t="shared" si="3"/>
        <v/>
      </c>
      <c r="B277" s="22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22"/>
      <c r="O277" s="7" t="str">
        <f t="shared" si="1"/>
        <v/>
      </c>
      <c r="P277" s="7" t="str">
        <f t="shared" si="2"/>
        <v/>
      </c>
      <c r="Q277" s="17"/>
      <c r="R277" s="7"/>
      <c r="S277" s="7"/>
    </row>
    <row r="278" ht="15.75" customHeight="1">
      <c r="A278" s="7" t="str">
        <f t="shared" si="3"/>
        <v/>
      </c>
      <c r="B278" s="22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22"/>
      <c r="O278" s="7" t="str">
        <f t="shared" si="1"/>
        <v/>
      </c>
      <c r="P278" s="7" t="str">
        <f t="shared" si="2"/>
        <v/>
      </c>
      <c r="Q278" s="17"/>
      <c r="R278" s="7"/>
      <c r="S278" s="7"/>
    </row>
    <row r="279" ht="15.75" customHeight="1">
      <c r="A279" s="7" t="str">
        <f t="shared" si="3"/>
        <v/>
      </c>
      <c r="B279" s="22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22"/>
      <c r="O279" s="7" t="str">
        <f t="shared" si="1"/>
        <v/>
      </c>
      <c r="P279" s="7" t="str">
        <f t="shared" si="2"/>
        <v/>
      </c>
      <c r="Q279" s="17"/>
      <c r="R279" s="7"/>
      <c r="S279" s="7"/>
    </row>
    <row r="280" ht="15.75" customHeight="1">
      <c r="A280" s="7" t="str">
        <f t="shared" si="3"/>
        <v/>
      </c>
      <c r="B280" s="22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22"/>
      <c r="O280" s="7" t="str">
        <f t="shared" si="1"/>
        <v/>
      </c>
      <c r="P280" s="7" t="str">
        <f t="shared" si="2"/>
        <v/>
      </c>
      <c r="Q280" s="17"/>
      <c r="R280" s="7"/>
      <c r="S280" s="7"/>
    </row>
    <row r="281" ht="15.75" customHeight="1">
      <c r="A281" s="7" t="str">
        <f t="shared" si="3"/>
        <v/>
      </c>
      <c r="B281" s="22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22"/>
      <c r="O281" s="7" t="str">
        <f t="shared" si="1"/>
        <v/>
      </c>
      <c r="P281" s="7" t="str">
        <f t="shared" si="2"/>
        <v/>
      </c>
      <c r="Q281" s="17"/>
      <c r="R281" s="7"/>
      <c r="S281" s="7"/>
    </row>
    <row r="282" ht="15.75" customHeight="1">
      <c r="A282" s="7" t="str">
        <f t="shared" si="3"/>
        <v/>
      </c>
      <c r="B282" s="22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22"/>
      <c r="O282" s="7" t="str">
        <f t="shared" si="1"/>
        <v/>
      </c>
      <c r="P282" s="7" t="str">
        <f t="shared" si="2"/>
        <v/>
      </c>
      <c r="Q282" s="17"/>
      <c r="R282" s="7"/>
      <c r="S282" s="7"/>
    </row>
    <row r="283" ht="15.75" customHeight="1">
      <c r="A283" s="7" t="str">
        <f t="shared" si="3"/>
        <v/>
      </c>
      <c r="B283" s="22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22"/>
      <c r="O283" s="7" t="str">
        <f t="shared" si="1"/>
        <v/>
      </c>
      <c r="P283" s="7" t="str">
        <f t="shared" si="2"/>
        <v/>
      </c>
      <c r="Q283" s="17"/>
      <c r="R283" s="7"/>
      <c r="S283" s="7"/>
    </row>
    <row r="284" ht="15.75" customHeight="1">
      <c r="A284" s="7" t="str">
        <f t="shared" si="3"/>
        <v/>
      </c>
      <c r="B284" s="22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22"/>
      <c r="O284" s="7" t="str">
        <f t="shared" si="1"/>
        <v/>
      </c>
      <c r="P284" s="7" t="str">
        <f t="shared" si="2"/>
        <v/>
      </c>
      <c r="Q284" s="17"/>
      <c r="R284" s="7"/>
      <c r="S284" s="7"/>
    </row>
    <row r="285" ht="15.75" customHeight="1">
      <c r="A285" s="7" t="str">
        <f t="shared" si="3"/>
        <v/>
      </c>
      <c r="B285" s="22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22"/>
      <c r="O285" s="7" t="str">
        <f t="shared" si="1"/>
        <v/>
      </c>
      <c r="P285" s="7" t="str">
        <f t="shared" si="2"/>
        <v/>
      </c>
      <c r="Q285" s="17"/>
      <c r="R285" s="7"/>
      <c r="S285" s="7"/>
    </row>
    <row r="286" ht="15.75" customHeight="1">
      <c r="A286" s="7" t="str">
        <f t="shared" si="3"/>
        <v/>
      </c>
      <c r="B286" s="22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22"/>
      <c r="O286" s="7" t="str">
        <f t="shared" si="1"/>
        <v/>
      </c>
      <c r="P286" s="7" t="str">
        <f t="shared" si="2"/>
        <v/>
      </c>
      <c r="Q286" s="17"/>
      <c r="R286" s="7"/>
      <c r="S286" s="7"/>
    </row>
    <row r="287" ht="15.75" customHeight="1">
      <c r="A287" s="7" t="str">
        <f t="shared" si="3"/>
        <v/>
      </c>
      <c r="B287" s="22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22"/>
      <c r="O287" s="7" t="str">
        <f t="shared" si="1"/>
        <v/>
      </c>
      <c r="P287" s="7" t="str">
        <f t="shared" si="2"/>
        <v/>
      </c>
      <c r="Q287" s="17"/>
      <c r="R287" s="7"/>
      <c r="S287" s="7"/>
    </row>
    <row r="288" ht="15.75" customHeight="1">
      <c r="A288" s="7" t="str">
        <f t="shared" si="3"/>
        <v/>
      </c>
      <c r="B288" s="22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22"/>
      <c r="O288" s="7" t="str">
        <f t="shared" si="1"/>
        <v/>
      </c>
      <c r="P288" s="7" t="str">
        <f t="shared" si="2"/>
        <v/>
      </c>
      <c r="Q288" s="17"/>
      <c r="R288" s="7"/>
      <c r="S288" s="7"/>
    </row>
    <row r="289" ht="15.75" customHeight="1">
      <c r="A289" s="7" t="str">
        <f t="shared" si="3"/>
        <v/>
      </c>
      <c r="B289" s="22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22"/>
      <c r="O289" s="7" t="str">
        <f t="shared" si="1"/>
        <v/>
      </c>
      <c r="P289" s="7" t="str">
        <f t="shared" si="2"/>
        <v/>
      </c>
      <c r="Q289" s="17"/>
      <c r="R289" s="7"/>
      <c r="S289" s="7"/>
    </row>
    <row r="290" ht="15.75" customHeight="1">
      <c r="A290" s="7" t="str">
        <f t="shared" si="3"/>
        <v/>
      </c>
      <c r="B290" s="22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22"/>
      <c r="O290" s="7" t="str">
        <f t="shared" si="1"/>
        <v/>
      </c>
      <c r="P290" s="7" t="str">
        <f t="shared" si="2"/>
        <v/>
      </c>
      <c r="Q290" s="17"/>
      <c r="R290" s="7"/>
      <c r="S290" s="7"/>
    </row>
    <row r="291" ht="15.75" customHeight="1">
      <c r="A291" s="7" t="str">
        <f t="shared" si="3"/>
        <v/>
      </c>
      <c r="B291" s="22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22"/>
      <c r="O291" s="7" t="str">
        <f t="shared" si="1"/>
        <v/>
      </c>
      <c r="P291" s="7" t="str">
        <f t="shared" si="2"/>
        <v/>
      </c>
      <c r="Q291" s="17"/>
      <c r="R291" s="7"/>
      <c r="S291" s="7"/>
    </row>
    <row r="292" ht="15.75" customHeight="1">
      <c r="A292" s="7" t="str">
        <f t="shared" si="3"/>
        <v/>
      </c>
      <c r="B292" s="22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22"/>
      <c r="O292" s="7" t="str">
        <f t="shared" si="1"/>
        <v/>
      </c>
      <c r="P292" s="7" t="str">
        <f t="shared" si="2"/>
        <v/>
      </c>
      <c r="Q292" s="17"/>
      <c r="R292" s="7"/>
      <c r="S292" s="7"/>
    </row>
    <row r="293" ht="15.75" customHeight="1">
      <c r="A293" s="7" t="str">
        <f t="shared" si="3"/>
        <v/>
      </c>
      <c r="B293" s="22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22"/>
      <c r="O293" s="7" t="str">
        <f t="shared" si="1"/>
        <v/>
      </c>
      <c r="P293" s="7" t="str">
        <f t="shared" si="2"/>
        <v/>
      </c>
      <c r="Q293" s="17"/>
      <c r="R293" s="7"/>
      <c r="S293" s="7"/>
    </row>
    <row r="294" ht="15.75" customHeight="1">
      <c r="A294" s="7" t="str">
        <f t="shared" si="3"/>
        <v/>
      </c>
      <c r="B294" s="22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22"/>
      <c r="O294" s="7" t="str">
        <f t="shared" si="1"/>
        <v/>
      </c>
      <c r="P294" s="7" t="str">
        <f t="shared" si="2"/>
        <v/>
      </c>
      <c r="Q294" s="17"/>
      <c r="R294" s="7"/>
      <c r="S294" s="7"/>
    </row>
    <row r="295" ht="15.75" customHeight="1">
      <c r="A295" s="7" t="str">
        <f t="shared" si="3"/>
        <v/>
      </c>
      <c r="B295" s="22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22"/>
      <c r="O295" s="7" t="str">
        <f t="shared" si="1"/>
        <v/>
      </c>
      <c r="P295" s="7" t="str">
        <f t="shared" si="2"/>
        <v/>
      </c>
      <c r="Q295" s="17"/>
      <c r="R295" s="7"/>
      <c r="S295" s="7"/>
    </row>
    <row r="296" ht="15.75" customHeight="1">
      <c r="A296" s="7" t="str">
        <f t="shared" si="3"/>
        <v/>
      </c>
      <c r="B296" s="22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22"/>
      <c r="O296" s="7" t="str">
        <f t="shared" si="1"/>
        <v/>
      </c>
      <c r="P296" s="7" t="str">
        <f t="shared" si="2"/>
        <v/>
      </c>
      <c r="Q296" s="17"/>
      <c r="R296" s="7"/>
      <c r="S296" s="7"/>
    </row>
    <row r="297" ht="15.75" customHeight="1">
      <c r="A297" s="7" t="str">
        <f t="shared" si="3"/>
        <v/>
      </c>
      <c r="B297" s="22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22"/>
      <c r="O297" s="7" t="str">
        <f t="shared" si="1"/>
        <v/>
      </c>
      <c r="P297" s="7" t="str">
        <f t="shared" si="2"/>
        <v/>
      </c>
      <c r="Q297" s="17"/>
      <c r="R297" s="7"/>
      <c r="S297" s="7"/>
    </row>
    <row r="298" ht="15.75" customHeight="1">
      <c r="A298" s="7" t="str">
        <f t="shared" si="3"/>
        <v/>
      </c>
      <c r="B298" s="22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22"/>
      <c r="O298" s="7" t="str">
        <f t="shared" si="1"/>
        <v/>
      </c>
      <c r="P298" s="7" t="str">
        <f t="shared" si="2"/>
        <v/>
      </c>
      <c r="Q298" s="17"/>
      <c r="R298" s="7"/>
      <c r="S298" s="7"/>
    </row>
    <row r="299" ht="15.75" customHeight="1">
      <c r="A299" s="7" t="str">
        <f t="shared" si="3"/>
        <v/>
      </c>
      <c r="B299" s="22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22"/>
      <c r="O299" s="7" t="str">
        <f t="shared" si="1"/>
        <v/>
      </c>
      <c r="P299" s="7" t="str">
        <f t="shared" si="2"/>
        <v/>
      </c>
      <c r="Q299" s="17"/>
      <c r="R299" s="7"/>
      <c r="S299" s="7"/>
    </row>
    <row r="300" ht="15.75" customHeight="1">
      <c r="A300" s="7" t="str">
        <f t="shared" si="3"/>
        <v/>
      </c>
      <c r="B300" s="22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22"/>
      <c r="O300" s="7" t="str">
        <f t="shared" si="1"/>
        <v/>
      </c>
      <c r="P300" s="7" t="str">
        <f t="shared" si="2"/>
        <v/>
      </c>
      <c r="Q300" s="17"/>
      <c r="R300" s="7"/>
      <c r="S300" s="7"/>
    </row>
    <row r="301" ht="15.75" customHeight="1">
      <c r="A301" s="7" t="str">
        <f t="shared" si="3"/>
        <v/>
      </c>
      <c r="B301" s="22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22"/>
      <c r="O301" s="7" t="str">
        <f t="shared" si="1"/>
        <v/>
      </c>
      <c r="P301" s="7" t="str">
        <f t="shared" si="2"/>
        <v/>
      </c>
      <c r="Q301" s="17"/>
      <c r="R301" s="7"/>
      <c r="S301" s="7"/>
    </row>
    <row r="302" ht="15.75" customHeight="1">
      <c r="A302" s="7" t="str">
        <f t="shared" si="3"/>
        <v/>
      </c>
      <c r="B302" s="22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22"/>
      <c r="O302" s="7" t="str">
        <f t="shared" si="1"/>
        <v/>
      </c>
      <c r="P302" s="7" t="str">
        <f t="shared" si="2"/>
        <v/>
      </c>
      <c r="Q302" s="17"/>
      <c r="R302" s="7"/>
      <c r="S302" s="7"/>
    </row>
    <row r="303" ht="15.75" customHeight="1">
      <c r="A303" s="7" t="str">
        <f t="shared" si="3"/>
        <v/>
      </c>
      <c r="B303" s="22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22"/>
      <c r="O303" s="7" t="str">
        <f t="shared" si="1"/>
        <v/>
      </c>
      <c r="P303" s="7" t="str">
        <f t="shared" si="2"/>
        <v/>
      </c>
      <c r="Q303" s="17"/>
      <c r="R303" s="7"/>
      <c r="S303" s="7"/>
    </row>
    <row r="304" ht="15.75" customHeight="1">
      <c r="A304" s="7" t="str">
        <f t="shared" si="3"/>
        <v/>
      </c>
      <c r="B304" s="22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22"/>
      <c r="O304" s="7" t="str">
        <f t="shared" si="1"/>
        <v/>
      </c>
      <c r="P304" s="7" t="str">
        <f t="shared" si="2"/>
        <v/>
      </c>
      <c r="Q304" s="17"/>
      <c r="R304" s="7"/>
      <c r="S304" s="7"/>
    </row>
    <row r="305" ht="15.75" customHeight="1">
      <c r="A305" s="7" t="str">
        <f t="shared" si="3"/>
        <v/>
      </c>
      <c r="B305" s="22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22"/>
      <c r="O305" s="7" t="str">
        <f t="shared" si="1"/>
        <v/>
      </c>
      <c r="P305" s="7" t="str">
        <f t="shared" si="2"/>
        <v/>
      </c>
      <c r="Q305" s="17"/>
      <c r="R305" s="7"/>
      <c r="S305" s="7"/>
    </row>
    <row r="306" ht="15.75" customHeight="1">
      <c r="A306" s="7" t="str">
        <f t="shared" si="3"/>
        <v/>
      </c>
      <c r="B306" s="22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22"/>
      <c r="O306" s="7" t="str">
        <f t="shared" si="1"/>
        <v/>
      </c>
      <c r="P306" s="7" t="str">
        <f t="shared" si="2"/>
        <v/>
      </c>
      <c r="Q306" s="17"/>
      <c r="R306" s="7"/>
      <c r="S306" s="7"/>
    </row>
    <row r="307" ht="15.75" customHeight="1">
      <c r="A307" s="7" t="str">
        <f t="shared" si="3"/>
        <v/>
      </c>
      <c r="B307" s="22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22"/>
      <c r="O307" s="7" t="str">
        <f t="shared" si="1"/>
        <v/>
      </c>
      <c r="P307" s="7" t="str">
        <f t="shared" si="2"/>
        <v/>
      </c>
      <c r="Q307" s="17"/>
      <c r="R307" s="7"/>
      <c r="S307" s="7"/>
    </row>
    <row r="308" ht="15.75" customHeight="1">
      <c r="A308" s="7" t="str">
        <f t="shared" si="3"/>
        <v/>
      </c>
      <c r="B308" s="22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22"/>
      <c r="O308" s="7" t="str">
        <f t="shared" si="1"/>
        <v/>
      </c>
      <c r="P308" s="7" t="str">
        <f t="shared" si="2"/>
        <v/>
      </c>
      <c r="Q308" s="17"/>
      <c r="R308" s="7"/>
      <c r="S308" s="7"/>
    </row>
    <row r="309" ht="15.75" customHeight="1">
      <c r="A309" s="7" t="str">
        <f t="shared" si="3"/>
        <v/>
      </c>
      <c r="B309" s="22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22"/>
      <c r="O309" s="7" t="str">
        <f t="shared" si="1"/>
        <v/>
      </c>
      <c r="P309" s="7" t="str">
        <f t="shared" si="2"/>
        <v/>
      </c>
      <c r="Q309" s="17"/>
      <c r="R309" s="7"/>
      <c r="S309" s="7"/>
    </row>
    <row r="310" ht="15.75" customHeight="1">
      <c r="A310" s="7" t="str">
        <f t="shared" si="3"/>
        <v/>
      </c>
      <c r="B310" s="22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22"/>
      <c r="O310" s="7" t="str">
        <f t="shared" si="1"/>
        <v/>
      </c>
      <c r="P310" s="7" t="str">
        <f t="shared" si="2"/>
        <v/>
      </c>
      <c r="Q310" s="17"/>
      <c r="R310" s="7"/>
      <c r="S310" s="7"/>
    </row>
    <row r="311" ht="15.75" customHeight="1">
      <c r="A311" s="7" t="str">
        <f t="shared" si="3"/>
        <v/>
      </c>
      <c r="B311" s="22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22"/>
      <c r="O311" s="7" t="str">
        <f t="shared" si="1"/>
        <v/>
      </c>
      <c r="P311" s="7" t="str">
        <f t="shared" si="2"/>
        <v/>
      </c>
      <c r="Q311" s="17"/>
      <c r="R311" s="7"/>
      <c r="S311" s="7"/>
    </row>
    <row r="312" ht="15.75" customHeight="1">
      <c r="A312" s="7" t="str">
        <f t="shared" si="3"/>
        <v/>
      </c>
      <c r="B312" s="22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22"/>
      <c r="O312" s="7" t="str">
        <f t="shared" si="1"/>
        <v/>
      </c>
      <c r="P312" s="7" t="str">
        <f t="shared" si="2"/>
        <v/>
      </c>
      <c r="Q312" s="17"/>
      <c r="R312" s="7"/>
      <c r="S312" s="7"/>
    </row>
    <row r="313" ht="15.75" customHeight="1">
      <c r="A313" s="7" t="str">
        <f t="shared" si="3"/>
        <v/>
      </c>
      <c r="B313" s="22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22"/>
      <c r="O313" s="7" t="str">
        <f t="shared" si="1"/>
        <v/>
      </c>
      <c r="P313" s="7" t="str">
        <f t="shared" si="2"/>
        <v/>
      </c>
      <c r="Q313" s="17"/>
      <c r="R313" s="7"/>
      <c r="S313" s="7"/>
    </row>
    <row r="314" ht="15.75" customHeight="1">
      <c r="A314" s="7" t="str">
        <f t="shared" si="3"/>
        <v/>
      </c>
      <c r="B314" s="22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22"/>
      <c r="O314" s="7" t="str">
        <f t="shared" si="1"/>
        <v/>
      </c>
      <c r="P314" s="7" t="str">
        <f t="shared" si="2"/>
        <v/>
      </c>
      <c r="Q314" s="17"/>
      <c r="R314" s="7"/>
      <c r="S314" s="7"/>
    </row>
    <row r="315" ht="15.75" customHeight="1">
      <c r="A315" s="7" t="str">
        <f t="shared" si="3"/>
        <v/>
      </c>
      <c r="B315" s="22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22"/>
      <c r="O315" s="7" t="str">
        <f t="shared" si="1"/>
        <v/>
      </c>
      <c r="P315" s="7" t="str">
        <f t="shared" si="2"/>
        <v/>
      </c>
      <c r="Q315" s="17"/>
      <c r="R315" s="7"/>
      <c r="S315" s="7"/>
    </row>
    <row r="316" ht="15.75" customHeight="1">
      <c r="A316" s="7" t="str">
        <f t="shared" si="3"/>
        <v/>
      </c>
      <c r="B316" s="22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22"/>
      <c r="O316" s="7" t="str">
        <f t="shared" si="1"/>
        <v/>
      </c>
      <c r="P316" s="7" t="str">
        <f t="shared" si="2"/>
        <v/>
      </c>
      <c r="Q316" s="17"/>
      <c r="R316" s="7"/>
      <c r="S316" s="7"/>
    </row>
    <row r="317" ht="15.75" customHeight="1">
      <c r="A317" s="7" t="str">
        <f t="shared" si="3"/>
        <v/>
      </c>
      <c r="B317" s="22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22"/>
      <c r="O317" s="7" t="str">
        <f t="shared" si="1"/>
        <v/>
      </c>
      <c r="P317" s="7" t="str">
        <f t="shared" si="2"/>
        <v/>
      </c>
      <c r="Q317" s="17"/>
      <c r="R317" s="7"/>
      <c r="S317" s="7"/>
    </row>
    <row r="318" ht="15.75" customHeight="1">
      <c r="A318" s="7" t="str">
        <f t="shared" si="3"/>
        <v/>
      </c>
      <c r="B318" s="22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22"/>
      <c r="O318" s="7" t="str">
        <f t="shared" si="1"/>
        <v/>
      </c>
      <c r="P318" s="7" t="str">
        <f t="shared" si="2"/>
        <v/>
      </c>
      <c r="Q318" s="17"/>
      <c r="R318" s="7"/>
      <c r="S318" s="7"/>
    </row>
    <row r="319" ht="15.75" customHeight="1">
      <c r="A319" s="7" t="str">
        <f t="shared" si="3"/>
        <v/>
      </c>
      <c r="B319" s="22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22"/>
      <c r="O319" s="7" t="str">
        <f t="shared" si="1"/>
        <v/>
      </c>
      <c r="P319" s="7" t="str">
        <f t="shared" si="2"/>
        <v/>
      </c>
      <c r="Q319" s="17"/>
      <c r="R319" s="7"/>
      <c r="S319" s="7"/>
    </row>
    <row r="320" ht="15.75" customHeight="1">
      <c r="A320" s="7" t="str">
        <f t="shared" si="3"/>
        <v/>
      </c>
      <c r="B320" s="22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22"/>
      <c r="O320" s="7" t="str">
        <f t="shared" si="1"/>
        <v/>
      </c>
      <c r="P320" s="7" t="str">
        <f t="shared" si="2"/>
        <v/>
      </c>
      <c r="Q320" s="17"/>
      <c r="R320" s="7"/>
      <c r="S320" s="7"/>
    </row>
    <row r="321" ht="15.75" customHeight="1">
      <c r="A321" s="7" t="str">
        <f t="shared" si="3"/>
        <v/>
      </c>
      <c r="B321" s="22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22"/>
      <c r="O321" s="7" t="str">
        <f t="shared" si="1"/>
        <v/>
      </c>
      <c r="P321" s="7" t="str">
        <f t="shared" si="2"/>
        <v/>
      </c>
      <c r="Q321" s="17"/>
      <c r="R321" s="7"/>
      <c r="S321" s="7"/>
    </row>
    <row r="322" ht="15.75" customHeight="1">
      <c r="A322" s="7" t="str">
        <f t="shared" si="3"/>
        <v/>
      </c>
      <c r="B322" s="22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22"/>
      <c r="O322" s="7" t="str">
        <f t="shared" si="1"/>
        <v/>
      </c>
      <c r="P322" s="7" t="str">
        <f t="shared" si="2"/>
        <v/>
      </c>
      <c r="Q322" s="17"/>
      <c r="R322" s="7"/>
      <c r="S322" s="7"/>
    </row>
    <row r="323" ht="15.75" customHeight="1">
      <c r="A323" s="7" t="str">
        <f t="shared" si="3"/>
        <v/>
      </c>
      <c r="B323" s="22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22"/>
      <c r="O323" s="7" t="str">
        <f t="shared" si="1"/>
        <v/>
      </c>
      <c r="P323" s="7" t="str">
        <f t="shared" si="2"/>
        <v/>
      </c>
      <c r="Q323" s="17"/>
      <c r="R323" s="7"/>
      <c r="S323" s="7"/>
    </row>
    <row r="324" ht="15.75" customHeight="1">
      <c r="A324" s="7" t="str">
        <f t="shared" si="3"/>
        <v/>
      </c>
      <c r="B324" s="22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22"/>
      <c r="O324" s="7" t="str">
        <f t="shared" si="1"/>
        <v/>
      </c>
      <c r="P324" s="7" t="str">
        <f t="shared" si="2"/>
        <v/>
      </c>
      <c r="Q324" s="17"/>
      <c r="R324" s="7"/>
      <c r="S324" s="7"/>
    </row>
    <row r="325" ht="15.75" customHeight="1">
      <c r="A325" s="7" t="str">
        <f t="shared" si="3"/>
        <v/>
      </c>
      <c r="B325" s="22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22"/>
      <c r="O325" s="7" t="str">
        <f t="shared" si="1"/>
        <v/>
      </c>
      <c r="P325" s="7" t="str">
        <f t="shared" si="2"/>
        <v/>
      </c>
      <c r="Q325" s="17"/>
      <c r="R325" s="7"/>
      <c r="S325" s="7"/>
    </row>
    <row r="326" ht="15.75" customHeight="1">
      <c r="A326" s="7" t="str">
        <f t="shared" si="3"/>
        <v/>
      </c>
      <c r="B326" s="22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22"/>
      <c r="O326" s="7" t="str">
        <f t="shared" si="1"/>
        <v/>
      </c>
      <c r="P326" s="7" t="str">
        <f t="shared" si="2"/>
        <v/>
      </c>
      <c r="Q326" s="17"/>
      <c r="R326" s="7"/>
      <c r="S326" s="7"/>
    </row>
    <row r="327" ht="15.75" customHeight="1">
      <c r="A327" s="7" t="str">
        <f t="shared" si="3"/>
        <v/>
      </c>
      <c r="B327" s="22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22"/>
      <c r="O327" s="7" t="str">
        <f t="shared" si="1"/>
        <v/>
      </c>
      <c r="P327" s="7" t="str">
        <f t="shared" si="2"/>
        <v/>
      </c>
      <c r="Q327" s="17"/>
      <c r="R327" s="7"/>
      <c r="S327" s="7"/>
    </row>
    <row r="328" ht="15.75" customHeight="1">
      <c r="A328" s="7" t="str">
        <f t="shared" si="3"/>
        <v/>
      </c>
      <c r="B328" s="22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22"/>
      <c r="O328" s="7" t="str">
        <f t="shared" si="1"/>
        <v/>
      </c>
      <c r="P328" s="7" t="str">
        <f t="shared" si="2"/>
        <v/>
      </c>
      <c r="Q328" s="17"/>
      <c r="R328" s="7"/>
      <c r="S328" s="7"/>
    </row>
    <row r="329" ht="15.75" customHeight="1">
      <c r="A329" s="7" t="str">
        <f t="shared" si="3"/>
        <v/>
      </c>
      <c r="B329" s="22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22"/>
      <c r="O329" s="7" t="str">
        <f t="shared" si="1"/>
        <v/>
      </c>
      <c r="P329" s="7" t="str">
        <f t="shared" si="2"/>
        <v/>
      </c>
      <c r="Q329" s="17"/>
      <c r="R329" s="7"/>
      <c r="S329" s="7"/>
    </row>
    <row r="330" ht="15.75" customHeight="1">
      <c r="A330" s="7" t="str">
        <f t="shared" si="3"/>
        <v/>
      </c>
      <c r="B330" s="22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22"/>
      <c r="O330" s="7" t="str">
        <f t="shared" si="1"/>
        <v/>
      </c>
      <c r="P330" s="7" t="str">
        <f t="shared" si="2"/>
        <v/>
      </c>
      <c r="Q330" s="17"/>
      <c r="R330" s="7"/>
      <c r="S330" s="7"/>
    </row>
    <row r="331" ht="15.75" customHeight="1">
      <c r="A331" s="7" t="str">
        <f t="shared" si="3"/>
        <v/>
      </c>
      <c r="B331" s="22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22"/>
      <c r="O331" s="7" t="str">
        <f t="shared" si="1"/>
        <v/>
      </c>
      <c r="P331" s="7" t="str">
        <f t="shared" si="2"/>
        <v/>
      </c>
      <c r="Q331" s="17"/>
      <c r="R331" s="7"/>
      <c r="S331" s="7"/>
    </row>
    <row r="332" ht="15.75" customHeight="1">
      <c r="A332" s="7" t="str">
        <f t="shared" si="3"/>
        <v/>
      </c>
      <c r="B332" s="22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22"/>
      <c r="O332" s="7" t="str">
        <f t="shared" si="1"/>
        <v/>
      </c>
      <c r="P332" s="7" t="str">
        <f t="shared" si="2"/>
        <v/>
      </c>
      <c r="Q332" s="17"/>
      <c r="R332" s="7"/>
      <c r="S332" s="7"/>
    </row>
    <row r="333" ht="15.75" customHeight="1">
      <c r="A333" s="7" t="str">
        <f t="shared" si="3"/>
        <v/>
      </c>
      <c r="B333" s="22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22"/>
      <c r="O333" s="7" t="str">
        <f t="shared" si="1"/>
        <v/>
      </c>
      <c r="P333" s="7" t="str">
        <f t="shared" si="2"/>
        <v/>
      </c>
      <c r="Q333" s="17"/>
      <c r="R333" s="7"/>
      <c r="S333" s="7"/>
    </row>
    <row r="334" ht="15.75" customHeight="1">
      <c r="A334" s="7" t="str">
        <f t="shared" si="3"/>
        <v/>
      </c>
      <c r="B334" s="22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22"/>
      <c r="O334" s="7" t="str">
        <f t="shared" si="1"/>
        <v/>
      </c>
      <c r="P334" s="7" t="str">
        <f t="shared" si="2"/>
        <v/>
      </c>
      <c r="Q334" s="17"/>
      <c r="R334" s="7"/>
      <c r="S334" s="7"/>
    </row>
    <row r="335" ht="15.75" customHeight="1">
      <c r="A335" s="7" t="str">
        <f t="shared" si="3"/>
        <v/>
      </c>
      <c r="B335" s="22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22"/>
      <c r="O335" s="7" t="str">
        <f t="shared" si="1"/>
        <v/>
      </c>
      <c r="P335" s="7" t="str">
        <f t="shared" si="2"/>
        <v/>
      </c>
      <c r="Q335" s="17"/>
      <c r="R335" s="7"/>
      <c r="S335" s="7"/>
    </row>
    <row r="336" ht="15.75" customHeight="1">
      <c r="A336" s="7" t="str">
        <f t="shared" si="3"/>
        <v/>
      </c>
      <c r="B336" s="22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22"/>
      <c r="O336" s="7" t="str">
        <f t="shared" si="1"/>
        <v/>
      </c>
      <c r="P336" s="7" t="str">
        <f t="shared" si="2"/>
        <v/>
      </c>
      <c r="Q336" s="17"/>
      <c r="R336" s="7"/>
      <c r="S336" s="7"/>
    </row>
    <row r="337" ht="15.75" customHeight="1">
      <c r="A337" s="7" t="str">
        <f t="shared" si="3"/>
        <v/>
      </c>
      <c r="B337" s="22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22"/>
      <c r="O337" s="7" t="str">
        <f t="shared" si="1"/>
        <v/>
      </c>
      <c r="P337" s="7" t="str">
        <f t="shared" si="2"/>
        <v/>
      </c>
      <c r="Q337" s="17"/>
      <c r="R337" s="7"/>
      <c r="S337" s="7"/>
    </row>
    <row r="338" ht="15.75" customHeight="1">
      <c r="A338" s="7" t="str">
        <f t="shared" si="3"/>
        <v/>
      </c>
      <c r="B338" s="22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22"/>
      <c r="O338" s="7" t="str">
        <f t="shared" si="1"/>
        <v/>
      </c>
      <c r="P338" s="7" t="str">
        <f t="shared" si="2"/>
        <v/>
      </c>
      <c r="Q338" s="17"/>
      <c r="R338" s="7"/>
      <c r="S338" s="7"/>
    </row>
    <row r="339" ht="15.75" customHeight="1">
      <c r="A339" s="7" t="str">
        <f t="shared" si="3"/>
        <v/>
      </c>
      <c r="B339" s="22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22"/>
      <c r="O339" s="7" t="str">
        <f t="shared" si="1"/>
        <v/>
      </c>
      <c r="P339" s="7" t="str">
        <f t="shared" si="2"/>
        <v/>
      </c>
      <c r="Q339" s="17"/>
      <c r="R339" s="7"/>
      <c r="S339" s="7"/>
    </row>
    <row r="340" ht="15.75" customHeight="1">
      <c r="A340" s="7" t="str">
        <f t="shared" si="3"/>
        <v/>
      </c>
      <c r="B340" s="22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22"/>
      <c r="O340" s="7" t="str">
        <f t="shared" si="1"/>
        <v/>
      </c>
      <c r="P340" s="7" t="str">
        <f t="shared" si="2"/>
        <v/>
      </c>
      <c r="Q340" s="17"/>
      <c r="R340" s="7"/>
      <c r="S340" s="7"/>
    </row>
    <row r="341" ht="15.75" customHeight="1">
      <c r="A341" s="7" t="str">
        <f t="shared" si="3"/>
        <v/>
      </c>
      <c r="B341" s="22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22"/>
      <c r="O341" s="7" t="str">
        <f t="shared" si="1"/>
        <v/>
      </c>
      <c r="P341" s="7" t="str">
        <f t="shared" si="2"/>
        <v/>
      </c>
      <c r="Q341" s="17"/>
      <c r="R341" s="7"/>
      <c r="S341" s="7"/>
    </row>
    <row r="342" ht="15.75" customHeight="1">
      <c r="A342" s="7" t="str">
        <f t="shared" si="3"/>
        <v/>
      </c>
      <c r="B342" s="22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22"/>
      <c r="O342" s="7" t="str">
        <f t="shared" si="1"/>
        <v/>
      </c>
      <c r="P342" s="7" t="str">
        <f t="shared" si="2"/>
        <v/>
      </c>
      <c r="Q342" s="17"/>
      <c r="R342" s="7"/>
      <c r="S342" s="7"/>
    </row>
    <row r="343" ht="15.75" customHeight="1">
      <c r="A343" s="7" t="str">
        <f t="shared" si="3"/>
        <v/>
      </c>
      <c r="B343" s="22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22"/>
      <c r="O343" s="7" t="str">
        <f t="shared" si="1"/>
        <v/>
      </c>
      <c r="P343" s="7" t="str">
        <f t="shared" si="2"/>
        <v/>
      </c>
      <c r="Q343" s="17"/>
      <c r="R343" s="7"/>
      <c r="S343" s="7"/>
    </row>
    <row r="344" ht="15.75" customHeight="1">
      <c r="A344" s="7" t="str">
        <f t="shared" si="3"/>
        <v/>
      </c>
      <c r="B344" s="22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22"/>
      <c r="O344" s="7" t="str">
        <f t="shared" si="1"/>
        <v/>
      </c>
      <c r="P344" s="7" t="str">
        <f t="shared" si="2"/>
        <v/>
      </c>
      <c r="Q344" s="17"/>
      <c r="R344" s="7"/>
      <c r="S344" s="7"/>
    </row>
    <row r="345" ht="15.75" customHeight="1">
      <c r="A345" s="7" t="str">
        <f t="shared" si="3"/>
        <v/>
      </c>
      <c r="B345" s="22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22"/>
      <c r="O345" s="7" t="str">
        <f t="shared" si="1"/>
        <v/>
      </c>
      <c r="P345" s="7" t="str">
        <f t="shared" si="2"/>
        <v/>
      </c>
      <c r="Q345" s="17"/>
      <c r="R345" s="7"/>
      <c r="S345" s="7"/>
    </row>
    <row r="346" ht="15.75" customHeight="1">
      <c r="A346" s="7" t="str">
        <f t="shared" si="3"/>
        <v/>
      </c>
      <c r="B346" s="22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22"/>
      <c r="O346" s="7" t="str">
        <f t="shared" si="1"/>
        <v/>
      </c>
      <c r="P346" s="7" t="str">
        <f t="shared" si="2"/>
        <v/>
      </c>
      <c r="Q346" s="17"/>
      <c r="R346" s="7"/>
      <c r="S346" s="7"/>
    </row>
    <row r="347" ht="15.75" customHeight="1">
      <c r="A347" s="7" t="str">
        <f t="shared" si="3"/>
        <v/>
      </c>
      <c r="B347" s="22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22"/>
      <c r="O347" s="7" t="str">
        <f t="shared" si="1"/>
        <v/>
      </c>
      <c r="P347" s="7" t="str">
        <f t="shared" si="2"/>
        <v/>
      </c>
      <c r="Q347" s="17"/>
      <c r="R347" s="7"/>
      <c r="S347" s="7"/>
    </row>
    <row r="348" ht="15.75" customHeight="1">
      <c r="A348" s="7" t="str">
        <f t="shared" si="3"/>
        <v/>
      </c>
      <c r="B348" s="22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22"/>
      <c r="O348" s="7" t="str">
        <f t="shared" si="1"/>
        <v/>
      </c>
      <c r="P348" s="7" t="str">
        <f t="shared" si="2"/>
        <v/>
      </c>
      <c r="Q348" s="17"/>
      <c r="R348" s="7"/>
      <c r="S348" s="7"/>
    </row>
    <row r="349" ht="15.75" customHeight="1">
      <c r="A349" s="7" t="str">
        <f t="shared" si="3"/>
        <v/>
      </c>
      <c r="B349" s="22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22"/>
      <c r="O349" s="7" t="str">
        <f t="shared" si="1"/>
        <v/>
      </c>
      <c r="P349" s="7" t="str">
        <f t="shared" si="2"/>
        <v/>
      </c>
      <c r="Q349" s="17"/>
      <c r="R349" s="7"/>
      <c r="S349" s="7"/>
    </row>
    <row r="350" ht="15.75" customHeight="1">
      <c r="A350" s="7" t="str">
        <f t="shared" si="3"/>
        <v/>
      </c>
      <c r="B350" s="22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22"/>
      <c r="O350" s="7" t="str">
        <f t="shared" si="1"/>
        <v/>
      </c>
      <c r="P350" s="7" t="str">
        <f t="shared" si="2"/>
        <v/>
      </c>
      <c r="Q350" s="17"/>
      <c r="R350" s="7"/>
      <c r="S350" s="7"/>
    </row>
    <row r="351" ht="15.75" customHeight="1">
      <c r="A351" s="7" t="str">
        <f t="shared" si="3"/>
        <v/>
      </c>
      <c r="B351" s="22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22"/>
      <c r="O351" s="7" t="str">
        <f t="shared" si="1"/>
        <v/>
      </c>
      <c r="P351" s="7" t="str">
        <f t="shared" si="2"/>
        <v/>
      </c>
      <c r="Q351" s="17"/>
      <c r="R351" s="7"/>
      <c r="S351" s="7"/>
    </row>
    <row r="352" ht="15.75" customHeight="1">
      <c r="A352" s="7" t="str">
        <f t="shared" si="3"/>
        <v/>
      </c>
      <c r="B352" s="22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22"/>
      <c r="O352" s="7" t="str">
        <f t="shared" si="1"/>
        <v/>
      </c>
      <c r="P352" s="7" t="str">
        <f t="shared" si="2"/>
        <v/>
      </c>
      <c r="Q352" s="17"/>
      <c r="R352" s="7"/>
      <c r="S352" s="7"/>
    </row>
    <row r="353" ht="15.75" customHeight="1">
      <c r="A353" s="7" t="str">
        <f t="shared" si="3"/>
        <v/>
      </c>
      <c r="B353" s="22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22"/>
      <c r="O353" s="7" t="str">
        <f t="shared" si="1"/>
        <v/>
      </c>
      <c r="P353" s="7" t="str">
        <f t="shared" si="2"/>
        <v/>
      </c>
      <c r="Q353" s="17"/>
      <c r="R353" s="7"/>
      <c r="S353" s="7"/>
    </row>
    <row r="354" ht="15.75" customHeight="1">
      <c r="A354" s="7" t="str">
        <f t="shared" si="3"/>
        <v/>
      </c>
      <c r="B354" s="22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22"/>
      <c r="O354" s="7" t="str">
        <f t="shared" si="1"/>
        <v/>
      </c>
      <c r="P354" s="7" t="str">
        <f t="shared" si="2"/>
        <v/>
      </c>
      <c r="Q354" s="17"/>
      <c r="R354" s="7"/>
      <c r="S354" s="7"/>
    </row>
    <row r="355" ht="15.75" customHeight="1">
      <c r="A355" s="7" t="str">
        <f t="shared" si="3"/>
        <v/>
      </c>
      <c r="B355" s="22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22"/>
      <c r="O355" s="7" t="str">
        <f t="shared" si="1"/>
        <v/>
      </c>
      <c r="P355" s="7" t="str">
        <f t="shared" si="2"/>
        <v/>
      </c>
      <c r="Q355" s="17"/>
      <c r="R355" s="7"/>
      <c r="S355" s="7"/>
    </row>
    <row r="356" ht="15.75" customHeight="1">
      <c r="A356" s="7" t="str">
        <f t="shared" si="3"/>
        <v/>
      </c>
      <c r="B356" s="22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22"/>
      <c r="O356" s="7" t="str">
        <f t="shared" si="1"/>
        <v/>
      </c>
      <c r="P356" s="7" t="str">
        <f t="shared" si="2"/>
        <v/>
      </c>
      <c r="Q356" s="17"/>
      <c r="R356" s="7"/>
      <c r="S356" s="7"/>
    </row>
    <row r="357" ht="15.75" customHeight="1">
      <c r="A357" s="7" t="str">
        <f t="shared" si="3"/>
        <v/>
      </c>
      <c r="B357" s="22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22"/>
      <c r="O357" s="7" t="str">
        <f t="shared" si="1"/>
        <v/>
      </c>
      <c r="P357" s="7" t="str">
        <f t="shared" si="2"/>
        <v/>
      </c>
      <c r="Q357" s="17"/>
      <c r="R357" s="7"/>
      <c r="S357" s="7"/>
    </row>
    <row r="358" ht="15.75" customHeight="1">
      <c r="A358" s="7" t="str">
        <f t="shared" si="3"/>
        <v/>
      </c>
      <c r="B358" s="22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22"/>
      <c r="O358" s="7" t="str">
        <f t="shared" si="1"/>
        <v/>
      </c>
      <c r="P358" s="7" t="str">
        <f t="shared" si="2"/>
        <v/>
      </c>
      <c r="Q358" s="17"/>
      <c r="R358" s="7"/>
      <c r="S358" s="7"/>
    </row>
    <row r="359" ht="15.75" customHeight="1">
      <c r="A359" s="7" t="str">
        <f t="shared" si="3"/>
        <v/>
      </c>
      <c r="B359" s="22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22"/>
      <c r="O359" s="7" t="str">
        <f t="shared" si="1"/>
        <v/>
      </c>
      <c r="P359" s="7" t="str">
        <f t="shared" si="2"/>
        <v/>
      </c>
      <c r="Q359" s="17"/>
      <c r="R359" s="7"/>
      <c r="S359" s="7"/>
    </row>
    <row r="360" ht="15.75" customHeight="1">
      <c r="A360" s="7" t="str">
        <f t="shared" si="3"/>
        <v/>
      </c>
      <c r="B360" s="22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22"/>
      <c r="O360" s="7" t="str">
        <f t="shared" si="1"/>
        <v/>
      </c>
      <c r="P360" s="7" t="str">
        <f t="shared" si="2"/>
        <v/>
      </c>
      <c r="Q360" s="17"/>
      <c r="R360" s="7"/>
      <c r="S360" s="7"/>
    </row>
    <row r="361" ht="15.75" customHeight="1">
      <c r="A361" s="7" t="str">
        <f t="shared" si="3"/>
        <v/>
      </c>
      <c r="B361" s="22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22"/>
      <c r="O361" s="7" t="str">
        <f t="shared" si="1"/>
        <v/>
      </c>
      <c r="P361" s="7" t="str">
        <f t="shared" si="2"/>
        <v/>
      </c>
      <c r="Q361" s="17"/>
      <c r="R361" s="7"/>
      <c r="S361" s="7"/>
    </row>
    <row r="362" ht="15.75" customHeight="1">
      <c r="A362" s="7" t="str">
        <f t="shared" si="3"/>
        <v/>
      </c>
      <c r="B362" s="22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22"/>
      <c r="O362" s="7" t="str">
        <f t="shared" si="1"/>
        <v/>
      </c>
      <c r="P362" s="7" t="str">
        <f t="shared" si="2"/>
        <v/>
      </c>
      <c r="Q362" s="17"/>
      <c r="R362" s="7"/>
      <c r="S362" s="7"/>
    </row>
    <row r="363" ht="15.75" customHeight="1">
      <c r="A363" s="7" t="str">
        <f t="shared" si="3"/>
        <v/>
      </c>
      <c r="B363" s="22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22"/>
      <c r="O363" s="7" t="str">
        <f t="shared" si="1"/>
        <v/>
      </c>
      <c r="P363" s="7" t="str">
        <f t="shared" si="2"/>
        <v/>
      </c>
      <c r="Q363" s="17"/>
      <c r="R363" s="7"/>
      <c r="S363" s="7"/>
    </row>
    <row r="364" ht="15.75" customHeight="1">
      <c r="A364" s="7" t="str">
        <f t="shared" si="3"/>
        <v/>
      </c>
      <c r="B364" s="22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22"/>
      <c r="O364" s="7" t="str">
        <f t="shared" si="1"/>
        <v/>
      </c>
      <c r="P364" s="7" t="str">
        <f t="shared" si="2"/>
        <v/>
      </c>
      <c r="Q364" s="17"/>
      <c r="R364" s="7"/>
      <c r="S364" s="7"/>
    </row>
    <row r="365" ht="15.75" customHeight="1">
      <c r="A365" s="7" t="str">
        <f t="shared" si="3"/>
        <v/>
      </c>
      <c r="B365" s="22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22"/>
      <c r="O365" s="7" t="str">
        <f t="shared" si="1"/>
        <v/>
      </c>
      <c r="P365" s="7" t="str">
        <f t="shared" si="2"/>
        <v/>
      </c>
      <c r="Q365" s="17"/>
      <c r="R365" s="7"/>
      <c r="S365" s="7"/>
    </row>
    <row r="366" ht="15.75" customHeight="1">
      <c r="A366" s="7" t="str">
        <f t="shared" si="3"/>
        <v/>
      </c>
      <c r="B366" s="22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22"/>
      <c r="O366" s="7" t="str">
        <f t="shared" si="1"/>
        <v/>
      </c>
      <c r="P366" s="7" t="str">
        <f t="shared" si="2"/>
        <v/>
      </c>
      <c r="Q366" s="17"/>
      <c r="R366" s="7"/>
      <c r="S366" s="7"/>
    </row>
    <row r="367" ht="15.75" customHeight="1">
      <c r="A367" s="7" t="str">
        <f t="shared" si="3"/>
        <v/>
      </c>
      <c r="B367" s="22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22"/>
      <c r="O367" s="7" t="str">
        <f t="shared" si="1"/>
        <v/>
      </c>
      <c r="P367" s="7" t="str">
        <f t="shared" si="2"/>
        <v/>
      </c>
      <c r="Q367" s="17"/>
      <c r="R367" s="7"/>
      <c r="S367" s="7"/>
    </row>
    <row r="368" ht="15.75" customHeight="1">
      <c r="A368" s="7" t="str">
        <f t="shared" si="3"/>
        <v/>
      </c>
      <c r="B368" s="22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22"/>
      <c r="O368" s="7" t="str">
        <f t="shared" si="1"/>
        <v/>
      </c>
      <c r="P368" s="7" t="str">
        <f t="shared" si="2"/>
        <v/>
      </c>
      <c r="Q368" s="17"/>
      <c r="R368" s="7"/>
      <c r="S368" s="7"/>
    </row>
    <row r="369" ht="15.75" customHeight="1">
      <c r="A369" s="7" t="str">
        <f t="shared" si="3"/>
        <v/>
      </c>
      <c r="B369" s="22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22"/>
      <c r="O369" s="7" t="str">
        <f t="shared" si="1"/>
        <v/>
      </c>
      <c r="P369" s="7" t="str">
        <f t="shared" si="2"/>
        <v/>
      </c>
      <c r="Q369" s="17"/>
      <c r="R369" s="7"/>
      <c r="S369" s="7"/>
    </row>
    <row r="370" ht="15.75" customHeight="1">
      <c r="A370" s="7" t="str">
        <f t="shared" si="3"/>
        <v/>
      </c>
      <c r="B370" s="22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22"/>
      <c r="O370" s="7" t="str">
        <f t="shared" si="1"/>
        <v/>
      </c>
      <c r="P370" s="7" t="str">
        <f t="shared" si="2"/>
        <v/>
      </c>
      <c r="Q370" s="17"/>
      <c r="R370" s="7"/>
      <c r="S370" s="7"/>
    </row>
    <row r="371" ht="15.75" customHeight="1">
      <c r="A371" s="7" t="str">
        <f t="shared" si="3"/>
        <v/>
      </c>
      <c r="B371" s="22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22"/>
      <c r="O371" s="7" t="str">
        <f t="shared" si="1"/>
        <v/>
      </c>
      <c r="P371" s="7" t="str">
        <f t="shared" si="2"/>
        <v/>
      </c>
      <c r="Q371" s="17"/>
      <c r="R371" s="7"/>
      <c r="S371" s="7"/>
    </row>
    <row r="372" ht="15.75" customHeight="1">
      <c r="A372" s="7" t="str">
        <f t="shared" si="3"/>
        <v/>
      </c>
      <c r="B372" s="22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22"/>
      <c r="O372" s="7" t="str">
        <f t="shared" si="1"/>
        <v/>
      </c>
      <c r="P372" s="7" t="str">
        <f t="shared" si="2"/>
        <v/>
      </c>
      <c r="Q372" s="17"/>
      <c r="R372" s="7"/>
      <c r="S372" s="7"/>
    </row>
    <row r="373" ht="15.75" customHeight="1">
      <c r="A373" s="7" t="str">
        <f t="shared" si="3"/>
        <v/>
      </c>
      <c r="B373" s="22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22"/>
      <c r="O373" s="7" t="str">
        <f t="shared" si="1"/>
        <v/>
      </c>
      <c r="P373" s="7" t="str">
        <f t="shared" si="2"/>
        <v/>
      </c>
      <c r="Q373" s="17"/>
      <c r="R373" s="7"/>
      <c r="S373" s="7"/>
    </row>
    <row r="374" ht="15.75" customHeight="1">
      <c r="A374" s="7" t="str">
        <f t="shared" si="3"/>
        <v/>
      </c>
      <c r="B374" s="22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22"/>
      <c r="O374" s="7" t="str">
        <f t="shared" si="1"/>
        <v/>
      </c>
      <c r="P374" s="7" t="str">
        <f t="shared" si="2"/>
        <v/>
      </c>
      <c r="Q374" s="17"/>
      <c r="R374" s="7"/>
      <c r="S374" s="7"/>
    </row>
    <row r="375" ht="15.75" customHeight="1">
      <c r="A375" s="7" t="str">
        <f t="shared" si="3"/>
        <v/>
      </c>
      <c r="B375" s="22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22"/>
      <c r="O375" s="7" t="str">
        <f t="shared" si="1"/>
        <v/>
      </c>
      <c r="P375" s="7" t="str">
        <f t="shared" si="2"/>
        <v/>
      </c>
      <c r="Q375" s="17"/>
      <c r="R375" s="7"/>
      <c r="S375" s="7"/>
    </row>
    <row r="376" ht="15.75" customHeight="1">
      <c r="A376" s="7" t="str">
        <f t="shared" si="3"/>
        <v/>
      </c>
      <c r="B376" s="22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22"/>
      <c r="O376" s="7" t="str">
        <f t="shared" si="1"/>
        <v/>
      </c>
      <c r="P376" s="7" t="str">
        <f t="shared" si="2"/>
        <v/>
      </c>
      <c r="Q376" s="17"/>
      <c r="R376" s="7"/>
      <c r="S376" s="7"/>
    </row>
    <row r="377" ht="15.75" customHeight="1">
      <c r="A377" s="7" t="str">
        <f t="shared" si="3"/>
        <v/>
      </c>
      <c r="B377" s="22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22"/>
      <c r="O377" s="7" t="str">
        <f t="shared" si="1"/>
        <v/>
      </c>
      <c r="P377" s="7" t="str">
        <f t="shared" si="2"/>
        <v/>
      </c>
      <c r="Q377" s="17"/>
      <c r="R377" s="7"/>
      <c r="S377" s="7"/>
    </row>
    <row r="378" ht="15.75" customHeight="1">
      <c r="A378" s="7" t="str">
        <f t="shared" si="3"/>
        <v/>
      </c>
      <c r="B378" s="22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22"/>
      <c r="O378" s="7" t="str">
        <f t="shared" si="1"/>
        <v/>
      </c>
      <c r="P378" s="7" t="str">
        <f t="shared" si="2"/>
        <v/>
      </c>
      <c r="Q378" s="17"/>
      <c r="R378" s="7"/>
      <c r="S378" s="7"/>
    </row>
    <row r="379" ht="15.75" customHeight="1">
      <c r="A379" s="7" t="str">
        <f t="shared" si="3"/>
        <v/>
      </c>
      <c r="B379" s="22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22"/>
      <c r="O379" s="7" t="str">
        <f t="shared" si="1"/>
        <v/>
      </c>
      <c r="P379" s="7" t="str">
        <f t="shared" si="2"/>
        <v/>
      </c>
      <c r="Q379" s="17"/>
      <c r="R379" s="7"/>
      <c r="S379" s="7"/>
    </row>
    <row r="380" ht="15.75" customHeight="1">
      <c r="A380" s="7" t="str">
        <f t="shared" si="3"/>
        <v/>
      </c>
      <c r="B380" s="22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22"/>
      <c r="O380" s="7" t="str">
        <f t="shared" si="1"/>
        <v/>
      </c>
      <c r="P380" s="7" t="str">
        <f t="shared" si="2"/>
        <v/>
      </c>
      <c r="Q380" s="17"/>
      <c r="R380" s="7"/>
      <c r="S380" s="7"/>
    </row>
    <row r="381" ht="15.75" customHeight="1">
      <c r="A381" s="7" t="str">
        <f t="shared" si="3"/>
        <v/>
      </c>
      <c r="B381" s="22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22"/>
      <c r="O381" s="7" t="str">
        <f t="shared" si="1"/>
        <v/>
      </c>
      <c r="P381" s="7" t="str">
        <f t="shared" si="2"/>
        <v/>
      </c>
      <c r="Q381" s="17"/>
      <c r="R381" s="7"/>
      <c r="S381" s="7"/>
    </row>
    <row r="382" ht="15.75" customHeight="1">
      <c r="A382" s="7" t="str">
        <f t="shared" si="3"/>
        <v/>
      </c>
      <c r="B382" s="22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22"/>
      <c r="O382" s="7" t="str">
        <f t="shared" si="1"/>
        <v/>
      </c>
      <c r="P382" s="7" t="str">
        <f t="shared" si="2"/>
        <v/>
      </c>
      <c r="Q382" s="17"/>
      <c r="R382" s="7"/>
      <c r="S382" s="7"/>
    </row>
    <row r="383" ht="15.75" customHeight="1">
      <c r="A383" s="7" t="str">
        <f t="shared" si="3"/>
        <v/>
      </c>
      <c r="B383" s="22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22"/>
      <c r="O383" s="7" t="str">
        <f t="shared" si="1"/>
        <v/>
      </c>
      <c r="P383" s="7" t="str">
        <f t="shared" si="2"/>
        <v/>
      </c>
      <c r="Q383" s="17"/>
      <c r="R383" s="7"/>
      <c r="S383" s="7"/>
    </row>
    <row r="384" ht="15.75" customHeight="1">
      <c r="A384" s="7" t="str">
        <f t="shared" si="3"/>
        <v/>
      </c>
      <c r="B384" s="22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22"/>
      <c r="O384" s="7" t="str">
        <f t="shared" si="1"/>
        <v/>
      </c>
      <c r="P384" s="7" t="str">
        <f t="shared" si="2"/>
        <v/>
      </c>
      <c r="Q384" s="17"/>
      <c r="R384" s="7"/>
      <c r="S384" s="7"/>
    </row>
    <row r="385" ht="15.75" customHeight="1">
      <c r="A385" s="7" t="str">
        <f t="shared" si="3"/>
        <v/>
      </c>
      <c r="B385" s="22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22"/>
      <c r="O385" s="7" t="str">
        <f t="shared" si="1"/>
        <v/>
      </c>
      <c r="P385" s="7" t="str">
        <f t="shared" si="2"/>
        <v/>
      </c>
      <c r="Q385" s="17"/>
      <c r="R385" s="7"/>
      <c r="S385" s="7"/>
    </row>
    <row r="386" ht="15.75" customHeight="1">
      <c r="A386" s="7" t="str">
        <f t="shared" si="3"/>
        <v/>
      </c>
      <c r="B386" s="22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22"/>
      <c r="O386" s="7" t="str">
        <f t="shared" si="1"/>
        <v/>
      </c>
      <c r="P386" s="7" t="str">
        <f t="shared" si="2"/>
        <v/>
      </c>
      <c r="Q386" s="17"/>
      <c r="R386" s="7"/>
      <c r="S386" s="7"/>
    </row>
    <row r="387" ht="15.75" customHeight="1">
      <c r="A387" s="7" t="str">
        <f t="shared" si="3"/>
        <v/>
      </c>
      <c r="B387" s="22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22"/>
      <c r="O387" s="7" t="str">
        <f t="shared" si="1"/>
        <v/>
      </c>
      <c r="P387" s="7" t="str">
        <f t="shared" si="2"/>
        <v/>
      </c>
      <c r="Q387" s="17"/>
      <c r="R387" s="7"/>
      <c r="S387" s="7"/>
    </row>
    <row r="388" ht="15.75" customHeight="1">
      <c r="A388" s="7" t="str">
        <f t="shared" si="3"/>
        <v/>
      </c>
      <c r="B388" s="22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22"/>
      <c r="O388" s="7" t="str">
        <f t="shared" si="1"/>
        <v/>
      </c>
      <c r="P388" s="7" t="str">
        <f t="shared" si="2"/>
        <v/>
      </c>
      <c r="Q388" s="17"/>
      <c r="R388" s="7"/>
      <c r="S388" s="7"/>
    </row>
    <row r="389" ht="15.75" customHeight="1">
      <c r="A389" s="7" t="str">
        <f t="shared" si="3"/>
        <v/>
      </c>
      <c r="B389" s="22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22"/>
      <c r="O389" s="7" t="str">
        <f t="shared" si="1"/>
        <v/>
      </c>
      <c r="P389" s="7" t="str">
        <f t="shared" si="2"/>
        <v/>
      </c>
      <c r="Q389" s="17"/>
      <c r="R389" s="7"/>
      <c r="S389" s="7"/>
    </row>
    <row r="390" ht="15.75" customHeight="1">
      <c r="A390" s="7" t="str">
        <f t="shared" si="3"/>
        <v/>
      </c>
      <c r="B390" s="22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22"/>
      <c r="O390" s="7" t="str">
        <f t="shared" si="1"/>
        <v/>
      </c>
      <c r="P390" s="7" t="str">
        <f t="shared" si="2"/>
        <v/>
      </c>
      <c r="Q390" s="17"/>
      <c r="R390" s="7"/>
      <c r="S390" s="7"/>
    </row>
    <row r="391" ht="15.75" customHeight="1">
      <c r="A391" s="7" t="str">
        <f t="shared" si="3"/>
        <v/>
      </c>
      <c r="B391" s="22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22"/>
      <c r="O391" s="7" t="str">
        <f t="shared" si="1"/>
        <v/>
      </c>
      <c r="P391" s="7" t="str">
        <f t="shared" si="2"/>
        <v/>
      </c>
      <c r="Q391" s="17"/>
      <c r="R391" s="7"/>
      <c r="S391" s="7"/>
    </row>
    <row r="392" ht="15.75" customHeight="1">
      <c r="A392" s="7" t="str">
        <f t="shared" si="3"/>
        <v/>
      </c>
      <c r="B392" s="22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22"/>
      <c r="O392" s="7" t="str">
        <f t="shared" si="1"/>
        <v/>
      </c>
      <c r="P392" s="7" t="str">
        <f t="shared" si="2"/>
        <v/>
      </c>
      <c r="Q392" s="17"/>
      <c r="R392" s="7"/>
      <c r="S392" s="7"/>
    </row>
    <row r="393" ht="15.75" customHeight="1">
      <c r="A393" s="7" t="str">
        <f t="shared" si="3"/>
        <v/>
      </c>
      <c r="B393" s="22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22"/>
      <c r="O393" s="7" t="str">
        <f t="shared" si="1"/>
        <v/>
      </c>
      <c r="P393" s="7" t="str">
        <f t="shared" si="2"/>
        <v/>
      </c>
      <c r="Q393" s="17"/>
      <c r="R393" s="7"/>
      <c r="S393" s="7"/>
    </row>
    <row r="394" ht="15.75" customHeight="1">
      <c r="A394" s="7" t="str">
        <f t="shared" si="3"/>
        <v/>
      </c>
      <c r="B394" s="22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22"/>
      <c r="O394" s="7" t="str">
        <f t="shared" si="1"/>
        <v/>
      </c>
      <c r="P394" s="7" t="str">
        <f t="shared" si="2"/>
        <v/>
      </c>
      <c r="Q394" s="17"/>
      <c r="R394" s="7"/>
      <c r="S394" s="7"/>
    </row>
    <row r="395" ht="15.75" customHeight="1">
      <c r="A395" s="7" t="str">
        <f t="shared" si="3"/>
        <v/>
      </c>
      <c r="B395" s="22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22"/>
      <c r="O395" s="7" t="str">
        <f t="shared" si="1"/>
        <v/>
      </c>
      <c r="P395" s="7" t="str">
        <f t="shared" si="2"/>
        <v/>
      </c>
      <c r="Q395" s="17"/>
      <c r="R395" s="7"/>
      <c r="S395" s="7"/>
    </row>
    <row r="396" ht="15.75" customHeight="1">
      <c r="A396" s="7" t="str">
        <f t="shared" si="3"/>
        <v/>
      </c>
      <c r="B396" s="22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22"/>
      <c r="O396" s="7" t="str">
        <f t="shared" si="1"/>
        <v/>
      </c>
      <c r="P396" s="7" t="str">
        <f t="shared" si="2"/>
        <v/>
      </c>
      <c r="Q396" s="17"/>
      <c r="R396" s="7"/>
      <c r="S396" s="7"/>
    </row>
    <row r="397" ht="15.75" customHeight="1">
      <c r="A397" s="7" t="str">
        <f t="shared" si="3"/>
        <v/>
      </c>
      <c r="B397" s="22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22"/>
      <c r="O397" s="7" t="str">
        <f t="shared" si="1"/>
        <v/>
      </c>
      <c r="P397" s="7" t="str">
        <f t="shared" si="2"/>
        <v/>
      </c>
      <c r="Q397" s="17"/>
      <c r="R397" s="7"/>
      <c r="S397" s="7"/>
    </row>
    <row r="398" ht="15.75" customHeight="1">
      <c r="A398" s="7" t="str">
        <f t="shared" si="3"/>
        <v/>
      </c>
      <c r="B398" s="22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22"/>
      <c r="O398" s="7" t="str">
        <f t="shared" si="1"/>
        <v/>
      </c>
      <c r="P398" s="7" t="str">
        <f t="shared" si="2"/>
        <v/>
      </c>
      <c r="Q398" s="17"/>
      <c r="R398" s="7"/>
      <c r="S398" s="7"/>
    </row>
    <row r="399" ht="15.75" customHeight="1">
      <c r="A399" s="7" t="str">
        <f t="shared" si="3"/>
        <v/>
      </c>
      <c r="B399" s="22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22"/>
      <c r="O399" s="7" t="str">
        <f t="shared" si="1"/>
        <v/>
      </c>
      <c r="P399" s="7" t="str">
        <f t="shared" si="2"/>
        <v/>
      </c>
      <c r="Q399" s="17"/>
      <c r="R399" s="7"/>
      <c r="S399" s="7"/>
    </row>
    <row r="400" ht="15.75" customHeight="1">
      <c r="A400" s="7" t="str">
        <f t="shared" si="3"/>
        <v/>
      </c>
      <c r="B400" s="22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22"/>
      <c r="O400" s="7" t="str">
        <f t="shared" si="1"/>
        <v/>
      </c>
      <c r="P400" s="7" t="str">
        <f t="shared" si="2"/>
        <v/>
      </c>
      <c r="Q400" s="17"/>
      <c r="R400" s="7"/>
      <c r="S400" s="7"/>
    </row>
  </sheetData>
  <mergeCells count="3">
    <mergeCell ref="U1:V1"/>
    <mergeCell ref="X1:Y1"/>
    <mergeCell ref="X15:Z15"/>
  </mergeCells>
  <conditionalFormatting sqref="K2:K400">
    <cfRule type="cellIs" dxfId="2" priority="1" operator="equal">
      <formula>"Alta"</formula>
    </cfRule>
  </conditionalFormatting>
  <conditionalFormatting sqref="K2:K400">
    <cfRule type="cellIs" dxfId="1" priority="2" operator="equal">
      <formula>"Media"</formula>
    </cfRule>
  </conditionalFormatting>
  <conditionalFormatting sqref="K2:K400">
    <cfRule type="cellIs" dxfId="0" priority="3" operator="equal">
      <formula>"Baixa"</formula>
    </cfRule>
  </conditionalFormatting>
  <conditionalFormatting sqref="L2:L400">
    <cfRule type="cellIs" dxfId="0" priority="4" operator="equal">
      <formula>"Resolvido"</formula>
    </cfRule>
  </conditionalFormatting>
  <conditionalFormatting sqref="L2:L400">
    <cfRule type="cellIs" dxfId="2" priority="5" operator="equal">
      <formula>"Aberto"</formula>
    </cfRule>
  </conditionalFormatting>
  <conditionalFormatting sqref="L2:L400">
    <cfRule type="expression" dxfId="1" priority="6">
      <formula>OR(L2="Em andamento",L2="Aguardando cliente")</formula>
    </cfRule>
  </conditionalFormatting>
  <dataValidations>
    <dataValidation type="list" allowBlank="1" sqref="L2:L400">
      <formula1>"Aberto,Em andamento,Aguardando cliente,Resolvido,Cancelado"</formula1>
    </dataValidation>
    <dataValidation type="list" allowBlank="1" sqref="F2:F400">
      <formula1>"Cadeira de cabelo,Lavatorio/Shampoo,Carrinho auxiliar,Espelho/Estacao,Recepcao/Sofa,Maca,Outro"</formula1>
    </dataValidation>
    <dataValidation type="list" allowBlank="1" sqref="E2:E400">
      <formula1>"Telefone,WhatsApp,E-mail,Site,Loja fisica,Rede social"</formula1>
    </dataValidation>
    <dataValidation type="list" allowBlank="1" sqref="K2:K400">
      <formula1>"Alta,Media,Baixa"</formula1>
    </dataValidation>
    <dataValidation type="list" allowBlank="1" sqref="J2:J400">
      <formula1>"Acabamento,Embalagem,Material,Hidraulica,Costura,Montagem,Peca faltante,Peca quebrada,Dificuldade de montagem,Outros"</formula1>
    </dataValidation>
    <dataValidation type="list" allowBlank="1" sqref="H2:H400">
      <formula1>"Reclamacao,Troca,Devolucao,Peca faltante,Avaria,Duvida tecnica,Elogio,Outro"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9.0"/>
    <col customWidth="1" min="3" max="3" width="15.0"/>
    <col customWidth="1" min="4" max="5" width="17.0"/>
    <col customWidth="1" min="6" max="6" width="18.0"/>
    <col customWidth="1" min="7" max="7" width="28.0"/>
    <col customWidth="1" min="8" max="9" width="26.0"/>
    <col customWidth="1" min="10" max="10" width="12.0"/>
    <col customWidth="1" min="11" max="13" width="15.0"/>
    <col customWidth="1" min="14" max="14" width="14.0"/>
    <col customWidth="1" min="15" max="15" width="13.0"/>
    <col customWidth="1" min="16" max="16" width="14.0"/>
    <col customWidth="1" min="17" max="24" width="8.71"/>
  </cols>
  <sheetData>
    <row r="1">
      <c r="A1" s="6" t="s">
        <v>160</v>
      </c>
      <c r="B1" s="6" t="s">
        <v>161</v>
      </c>
      <c r="C1" s="6" t="s">
        <v>62</v>
      </c>
      <c r="D1" s="6" t="s">
        <v>77</v>
      </c>
      <c r="E1" s="6" t="s">
        <v>162</v>
      </c>
      <c r="F1" s="6" t="s">
        <v>163</v>
      </c>
      <c r="G1" s="6" t="s">
        <v>164</v>
      </c>
      <c r="H1" s="6" t="s">
        <v>165</v>
      </c>
      <c r="I1" s="6" t="s">
        <v>166</v>
      </c>
      <c r="J1" s="6" t="s">
        <v>167</v>
      </c>
      <c r="K1" s="6" t="s">
        <v>7</v>
      </c>
      <c r="L1" s="6" t="s">
        <v>168</v>
      </c>
      <c r="M1" s="6" t="s">
        <v>169</v>
      </c>
      <c r="N1" s="6" t="s">
        <v>170</v>
      </c>
      <c r="O1" s="6" t="s">
        <v>171</v>
      </c>
      <c r="P1" s="6" t="s">
        <v>40</v>
      </c>
      <c r="R1" s="5" t="s">
        <v>172</v>
      </c>
    </row>
    <row r="2">
      <c r="A2" s="28">
        <v>46268.0</v>
      </c>
      <c r="B2" s="29">
        <v>1.0</v>
      </c>
      <c r="C2" s="29" t="s">
        <v>65</v>
      </c>
      <c r="D2" s="29" t="s">
        <v>117</v>
      </c>
      <c r="E2" s="29" t="s">
        <v>173</v>
      </c>
      <c r="F2" s="29" t="s">
        <v>44</v>
      </c>
      <c r="G2" s="29" t="s">
        <v>174</v>
      </c>
      <c r="H2" s="29" t="s">
        <v>175</v>
      </c>
      <c r="I2" s="29" t="s">
        <v>176</v>
      </c>
      <c r="J2" s="28">
        <v>46278.0</v>
      </c>
      <c r="K2" s="29" t="s">
        <v>94</v>
      </c>
      <c r="L2" s="30">
        <v>80.0</v>
      </c>
      <c r="M2" s="30">
        <v>50.0</v>
      </c>
      <c r="N2" s="30">
        <v>0.0</v>
      </c>
      <c r="O2" s="30">
        <v>120.0</v>
      </c>
      <c r="P2" s="30" t="str">
        <f t="shared" ref="P2:P300" si="1">SUM(L2:O2)</f>
        <v>R$ 250.00</v>
      </c>
      <c r="R2" s="6" t="s">
        <v>62</v>
      </c>
      <c r="S2" s="6" t="s">
        <v>98</v>
      </c>
      <c r="T2" s="6" t="s">
        <v>40</v>
      </c>
    </row>
    <row r="3">
      <c r="A3" s="22"/>
      <c r="B3" s="16" t="str">
        <f t="shared" ref="B3:B300" si="2">IF(A3="","",COUNT($A$2:A3))</f>
        <v/>
      </c>
      <c r="C3" s="7"/>
      <c r="D3" s="7"/>
      <c r="E3" s="7"/>
      <c r="F3" s="7"/>
      <c r="G3" s="7"/>
      <c r="H3" s="7"/>
      <c r="I3" s="7"/>
      <c r="J3" s="22"/>
      <c r="K3" s="7"/>
      <c r="L3" s="17"/>
      <c r="M3" s="17"/>
      <c r="N3" s="17"/>
      <c r="O3" s="17"/>
      <c r="P3" s="17" t="str">
        <f t="shared" si="1"/>
        <v>R$ 0.00</v>
      </c>
      <c r="R3" s="7" t="s">
        <v>65</v>
      </c>
      <c r="S3" s="16" t="str">
        <f>COUNTIFS($C$2:$C300,R3,$A$2:$A300,"&lt;&gt;")</f>
        <v>1</v>
      </c>
      <c r="T3" s="17" t="str">
        <f>SUMIFS($P$2:$P300,$C$2:$C300,R3)</f>
        <v>R$ 250.00</v>
      </c>
    </row>
    <row r="4">
      <c r="A4" s="22"/>
      <c r="B4" s="16" t="str">
        <f t="shared" si="2"/>
        <v/>
      </c>
      <c r="C4" s="7"/>
      <c r="D4" s="7"/>
      <c r="E4" s="7"/>
      <c r="F4" s="7"/>
      <c r="G4" s="7"/>
      <c r="H4" s="7"/>
      <c r="I4" s="7"/>
      <c r="J4" s="22"/>
      <c r="K4" s="7"/>
      <c r="L4" s="17"/>
      <c r="M4" s="17"/>
      <c r="N4" s="17"/>
      <c r="O4" s="17"/>
      <c r="P4" s="17" t="str">
        <f t="shared" si="1"/>
        <v>R$ 0.00</v>
      </c>
      <c r="R4" s="7" t="s">
        <v>66</v>
      </c>
      <c r="S4" s="16" t="str">
        <f>COUNTIFS($C$2:$C300,R4,$A$2:$A300,"&lt;&gt;")</f>
        <v>0</v>
      </c>
      <c r="T4" s="17" t="str">
        <f>SUMIFS($P$2:$P300,$C$2:$C300,R4)</f>
        <v>R$ 0.00</v>
      </c>
    </row>
    <row r="5">
      <c r="A5" s="22"/>
      <c r="B5" s="16" t="str">
        <f t="shared" si="2"/>
        <v/>
      </c>
      <c r="C5" s="7"/>
      <c r="D5" s="7"/>
      <c r="E5" s="7"/>
      <c r="F5" s="7"/>
      <c r="G5" s="7"/>
      <c r="H5" s="7"/>
      <c r="I5" s="7"/>
      <c r="J5" s="22"/>
      <c r="K5" s="7"/>
      <c r="L5" s="17"/>
      <c r="M5" s="17"/>
      <c r="N5" s="17"/>
      <c r="O5" s="17"/>
      <c r="P5" s="17" t="str">
        <f t="shared" si="1"/>
        <v>R$ 0.00</v>
      </c>
      <c r="R5" s="7" t="s">
        <v>67</v>
      </c>
      <c r="S5" s="16" t="str">
        <f>COUNTIFS($C$2:$C300,R5,$A$2:$A300,"&lt;&gt;")</f>
        <v>0</v>
      </c>
      <c r="T5" s="17" t="str">
        <f>SUMIFS($P$2:$P300,$C$2:$C300,R5)</f>
        <v>R$ 0.00</v>
      </c>
    </row>
    <row r="6">
      <c r="A6" s="22"/>
      <c r="B6" s="16" t="str">
        <f t="shared" si="2"/>
        <v/>
      </c>
      <c r="C6" s="7"/>
      <c r="D6" s="7"/>
      <c r="E6" s="7"/>
      <c r="F6" s="7"/>
      <c r="G6" s="7"/>
      <c r="H6" s="7"/>
      <c r="I6" s="7"/>
      <c r="J6" s="22"/>
      <c r="K6" s="7"/>
      <c r="L6" s="17"/>
      <c r="M6" s="17"/>
      <c r="N6" s="17"/>
      <c r="O6" s="17"/>
      <c r="P6" s="17" t="str">
        <f t="shared" si="1"/>
        <v>R$ 0.00</v>
      </c>
    </row>
    <row r="7">
      <c r="A7" s="22"/>
      <c r="B7" s="16" t="str">
        <f t="shared" si="2"/>
        <v/>
      </c>
      <c r="C7" s="7"/>
      <c r="D7" s="7"/>
      <c r="E7" s="7"/>
      <c r="F7" s="7"/>
      <c r="G7" s="7"/>
      <c r="H7" s="7"/>
      <c r="I7" s="7"/>
      <c r="J7" s="22"/>
      <c r="K7" s="7"/>
      <c r="L7" s="17"/>
      <c r="M7" s="17"/>
      <c r="N7" s="17"/>
      <c r="O7" s="17"/>
      <c r="P7" s="17" t="str">
        <f t="shared" si="1"/>
        <v>R$ 0.00</v>
      </c>
      <c r="R7" s="5" t="s">
        <v>177</v>
      </c>
    </row>
    <row r="8">
      <c r="A8" s="22"/>
      <c r="B8" s="16" t="str">
        <f t="shared" si="2"/>
        <v/>
      </c>
      <c r="C8" s="7"/>
      <c r="D8" s="7"/>
      <c r="E8" s="7"/>
      <c r="F8" s="7"/>
      <c r="G8" s="7"/>
      <c r="H8" s="7"/>
      <c r="I8" s="7"/>
      <c r="J8" s="22"/>
      <c r="K8" s="7"/>
      <c r="L8" s="17"/>
      <c r="M8" s="17"/>
      <c r="N8" s="17"/>
      <c r="O8" s="17"/>
      <c r="P8" s="17" t="str">
        <f t="shared" si="1"/>
        <v>R$ 0.00</v>
      </c>
      <c r="R8" s="6" t="s">
        <v>77</v>
      </c>
      <c r="S8" s="6" t="s">
        <v>98</v>
      </c>
    </row>
    <row r="9">
      <c r="A9" s="22"/>
      <c r="B9" s="16" t="str">
        <f t="shared" si="2"/>
        <v/>
      </c>
      <c r="C9" s="7"/>
      <c r="D9" s="7"/>
      <c r="E9" s="7"/>
      <c r="F9" s="7"/>
      <c r="G9" s="7"/>
      <c r="H9" s="7"/>
      <c r="I9" s="7"/>
      <c r="J9" s="22"/>
      <c r="K9" s="7"/>
      <c r="L9" s="17"/>
      <c r="M9" s="17"/>
      <c r="N9" s="17"/>
      <c r="O9" s="17"/>
      <c r="P9" s="17" t="str">
        <f t="shared" si="1"/>
        <v>R$ 0.00</v>
      </c>
      <c r="R9" s="7" t="s">
        <v>117</v>
      </c>
      <c r="S9" s="16" t="str">
        <f>COUNTIF($D$2:$D300,R9)</f>
        <v>1</v>
      </c>
    </row>
    <row r="10">
      <c r="A10" s="22"/>
      <c r="B10" s="16" t="str">
        <f t="shared" si="2"/>
        <v/>
      </c>
      <c r="C10" s="7"/>
      <c r="D10" s="7"/>
      <c r="E10" s="7"/>
      <c r="F10" s="7"/>
      <c r="G10" s="7"/>
      <c r="H10" s="7"/>
      <c r="I10" s="7"/>
      <c r="J10" s="22"/>
      <c r="K10" s="7"/>
      <c r="L10" s="17"/>
      <c r="M10" s="17"/>
      <c r="N10" s="17"/>
      <c r="O10" s="17"/>
      <c r="P10" s="17" t="str">
        <f t="shared" si="1"/>
        <v>R$ 0.00</v>
      </c>
      <c r="R10" s="7" t="s">
        <v>87</v>
      </c>
      <c r="S10" s="16" t="str">
        <f>COUNTIF($D$2:$D300,R10)</f>
        <v>0</v>
      </c>
    </row>
    <row r="11">
      <c r="A11" s="22"/>
      <c r="B11" s="16" t="str">
        <f t="shared" si="2"/>
        <v/>
      </c>
      <c r="C11" s="7"/>
      <c r="D11" s="7"/>
      <c r="E11" s="7"/>
      <c r="F11" s="7"/>
      <c r="G11" s="7"/>
      <c r="H11" s="7"/>
      <c r="I11" s="7"/>
      <c r="J11" s="22"/>
      <c r="K11" s="7"/>
      <c r="L11" s="17"/>
      <c r="M11" s="17"/>
      <c r="N11" s="17"/>
      <c r="O11" s="17"/>
      <c r="P11" s="17" t="str">
        <f t="shared" si="1"/>
        <v>R$ 0.00</v>
      </c>
      <c r="R11" s="7" t="s">
        <v>118</v>
      </c>
      <c r="S11" s="16" t="str">
        <f>COUNTIF($D$2:$D300,R11)</f>
        <v>0</v>
      </c>
    </row>
    <row r="12">
      <c r="A12" s="22"/>
      <c r="B12" s="16" t="str">
        <f t="shared" si="2"/>
        <v/>
      </c>
      <c r="C12" s="7"/>
      <c r="D12" s="7"/>
      <c r="E12" s="7"/>
      <c r="F12" s="7"/>
      <c r="G12" s="7"/>
      <c r="H12" s="7"/>
      <c r="I12" s="7"/>
      <c r="J12" s="22"/>
      <c r="K12" s="7"/>
      <c r="L12" s="17"/>
      <c r="M12" s="17"/>
      <c r="N12" s="17"/>
      <c r="O12" s="17"/>
      <c r="P12" s="17" t="str">
        <f t="shared" si="1"/>
        <v>R$ 0.00</v>
      </c>
      <c r="R12" s="7" t="s">
        <v>119</v>
      </c>
      <c r="S12" s="16" t="str">
        <f>COUNTIF($D$2:$D300,R12)</f>
        <v>0</v>
      </c>
    </row>
    <row r="13">
      <c r="A13" s="22"/>
      <c r="B13" s="16" t="str">
        <f t="shared" si="2"/>
        <v/>
      </c>
      <c r="C13" s="7"/>
      <c r="D13" s="7"/>
      <c r="E13" s="7"/>
      <c r="F13" s="7"/>
      <c r="G13" s="7"/>
      <c r="H13" s="7"/>
      <c r="I13" s="7"/>
      <c r="J13" s="22"/>
      <c r="K13" s="7"/>
      <c r="L13" s="17"/>
      <c r="M13" s="17"/>
      <c r="N13" s="17"/>
      <c r="O13" s="17"/>
      <c r="P13" s="17" t="str">
        <f t="shared" si="1"/>
        <v>R$ 0.00</v>
      </c>
      <c r="R13" s="7" t="s">
        <v>120</v>
      </c>
      <c r="S13" s="16" t="str">
        <f>COUNTIF($D$2:$D300,R13)</f>
        <v>0</v>
      </c>
    </row>
    <row r="14">
      <c r="A14" s="22"/>
      <c r="B14" s="16" t="str">
        <f t="shared" si="2"/>
        <v/>
      </c>
      <c r="C14" s="7"/>
      <c r="D14" s="7"/>
      <c r="E14" s="7"/>
      <c r="F14" s="7"/>
      <c r="G14" s="7"/>
      <c r="H14" s="7"/>
      <c r="I14" s="7"/>
      <c r="J14" s="22"/>
      <c r="K14" s="7"/>
      <c r="L14" s="17"/>
      <c r="M14" s="17"/>
      <c r="N14" s="17"/>
      <c r="O14" s="17"/>
      <c r="P14" s="17" t="str">
        <f t="shared" si="1"/>
        <v>R$ 0.00</v>
      </c>
      <c r="R14" s="7" t="s">
        <v>121</v>
      </c>
      <c r="S14" s="16" t="str">
        <f>COUNTIF($D$2:$D300,R14)</f>
        <v>0</v>
      </c>
    </row>
    <row r="15">
      <c r="A15" s="22"/>
      <c r="B15" s="16" t="str">
        <f t="shared" si="2"/>
        <v/>
      </c>
      <c r="C15" s="7"/>
      <c r="D15" s="7"/>
      <c r="E15" s="7"/>
      <c r="F15" s="7"/>
      <c r="G15" s="7"/>
      <c r="H15" s="7"/>
      <c r="I15" s="7"/>
      <c r="J15" s="22"/>
      <c r="K15" s="7"/>
      <c r="L15" s="17"/>
      <c r="M15" s="17"/>
      <c r="N15" s="17"/>
      <c r="O15" s="17"/>
      <c r="P15" s="17" t="str">
        <f t="shared" si="1"/>
        <v>R$ 0.00</v>
      </c>
      <c r="R15" s="7" t="s">
        <v>115</v>
      </c>
      <c r="S15" s="16" t="str">
        <f>COUNTIF($D$2:$D300,R15)</f>
        <v>0</v>
      </c>
    </row>
    <row r="16">
      <c r="A16" s="22"/>
      <c r="B16" s="16" t="str">
        <f t="shared" si="2"/>
        <v/>
      </c>
      <c r="C16" s="7"/>
      <c r="D16" s="7"/>
      <c r="E16" s="7"/>
      <c r="F16" s="7"/>
      <c r="G16" s="7"/>
      <c r="H16" s="7"/>
      <c r="I16" s="7"/>
      <c r="J16" s="22"/>
      <c r="K16" s="7"/>
      <c r="L16" s="17"/>
      <c r="M16" s="17"/>
      <c r="N16" s="17"/>
      <c r="O16" s="17"/>
      <c r="P16" s="17" t="str">
        <f t="shared" si="1"/>
        <v>R$ 0.00</v>
      </c>
    </row>
    <row r="17">
      <c r="A17" s="22"/>
      <c r="B17" s="16" t="str">
        <f t="shared" si="2"/>
        <v/>
      </c>
      <c r="C17" s="7"/>
      <c r="D17" s="7"/>
      <c r="E17" s="7"/>
      <c r="F17" s="7"/>
      <c r="G17" s="7"/>
      <c r="H17" s="7"/>
      <c r="I17" s="7"/>
      <c r="J17" s="22"/>
      <c r="K17" s="7"/>
      <c r="L17" s="17"/>
      <c r="M17" s="17"/>
      <c r="N17" s="17"/>
      <c r="O17" s="17"/>
      <c r="P17" s="17" t="str">
        <f t="shared" si="1"/>
        <v>R$ 0.00</v>
      </c>
      <c r="R17" s="5" t="s">
        <v>97</v>
      </c>
    </row>
    <row r="18">
      <c r="A18" s="22"/>
      <c r="B18" s="16" t="str">
        <f t="shared" si="2"/>
        <v/>
      </c>
      <c r="C18" s="7"/>
      <c r="D18" s="7"/>
      <c r="E18" s="7"/>
      <c r="F18" s="7"/>
      <c r="G18" s="7"/>
      <c r="H18" s="7"/>
      <c r="I18" s="7"/>
      <c r="J18" s="22"/>
      <c r="K18" s="7"/>
      <c r="L18" s="17"/>
      <c r="M18" s="17"/>
      <c r="N18" s="17"/>
      <c r="O18" s="17"/>
      <c r="P18" s="17" t="str">
        <f t="shared" si="1"/>
        <v>R$ 0.00</v>
      </c>
      <c r="R18" s="6" t="s">
        <v>79</v>
      </c>
      <c r="S18" s="6" t="s">
        <v>98</v>
      </c>
    </row>
    <row r="19">
      <c r="A19" s="22"/>
      <c r="B19" s="16" t="str">
        <f t="shared" si="2"/>
        <v/>
      </c>
      <c r="C19" s="7"/>
      <c r="D19" s="7"/>
      <c r="E19" s="7"/>
      <c r="F19" s="7"/>
      <c r="G19" s="7"/>
      <c r="H19" s="7"/>
      <c r="I19" s="7"/>
      <c r="J19" s="22"/>
      <c r="K19" s="7"/>
      <c r="L19" s="17"/>
      <c r="M19" s="17"/>
      <c r="N19" s="17"/>
      <c r="O19" s="17"/>
      <c r="P19" s="17" t="str">
        <f t="shared" si="1"/>
        <v>R$ 0.00</v>
      </c>
      <c r="R19" s="7" t="s">
        <v>41</v>
      </c>
      <c r="S19" s="16" t="str">
        <f>COUNTIF($F$2:$F300,R19)</f>
        <v>0</v>
      </c>
      <c r="X19" s="32" t="str">
        <f>S19*1000-1</f>
        <v>-1</v>
      </c>
    </row>
    <row r="20">
      <c r="A20" s="22"/>
      <c r="B20" s="16" t="str">
        <f t="shared" si="2"/>
        <v/>
      </c>
      <c r="C20" s="7"/>
      <c r="D20" s="7"/>
      <c r="E20" s="7"/>
      <c r="F20" s="7"/>
      <c r="G20" s="7"/>
      <c r="H20" s="7"/>
      <c r="I20" s="7"/>
      <c r="J20" s="22"/>
      <c r="K20" s="7"/>
      <c r="L20" s="17"/>
      <c r="M20" s="17"/>
      <c r="N20" s="17"/>
      <c r="O20" s="17"/>
      <c r="P20" s="17" t="str">
        <f t="shared" si="1"/>
        <v>R$ 0.00</v>
      </c>
      <c r="R20" s="7" t="s">
        <v>42</v>
      </c>
      <c r="S20" s="16" t="str">
        <f>COUNTIF($F$2:$F300,R20)</f>
        <v>0</v>
      </c>
      <c r="X20" s="32" t="str">
        <f>S20*1000-2</f>
        <v>-2</v>
      </c>
    </row>
    <row r="21" ht="15.75" customHeight="1">
      <c r="A21" s="22"/>
      <c r="B21" s="16" t="str">
        <f t="shared" si="2"/>
        <v/>
      </c>
      <c r="C21" s="7"/>
      <c r="D21" s="7"/>
      <c r="E21" s="7"/>
      <c r="F21" s="7"/>
      <c r="G21" s="7"/>
      <c r="H21" s="7"/>
      <c r="I21" s="7"/>
      <c r="J21" s="22"/>
      <c r="K21" s="7"/>
      <c r="L21" s="17"/>
      <c r="M21" s="17"/>
      <c r="N21" s="17"/>
      <c r="O21" s="17"/>
      <c r="P21" s="17" t="str">
        <f t="shared" si="1"/>
        <v>R$ 0.00</v>
      </c>
      <c r="R21" s="7" t="s">
        <v>43</v>
      </c>
      <c r="S21" s="16" t="str">
        <f>COUNTIF($F$2:$F300,R21)</f>
        <v>0</v>
      </c>
      <c r="X21" s="32" t="str">
        <f>S21*1000-3</f>
        <v>-3</v>
      </c>
    </row>
    <row r="22" ht="15.75" customHeight="1">
      <c r="A22" s="22"/>
      <c r="B22" s="16" t="str">
        <f t="shared" si="2"/>
        <v/>
      </c>
      <c r="C22" s="7"/>
      <c r="D22" s="7"/>
      <c r="E22" s="7"/>
      <c r="F22" s="7"/>
      <c r="G22" s="7"/>
      <c r="H22" s="7"/>
      <c r="I22" s="7"/>
      <c r="J22" s="22"/>
      <c r="K22" s="7"/>
      <c r="L22" s="17"/>
      <c r="M22" s="17"/>
      <c r="N22" s="17"/>
      <c r="O22" s="17"/>
      <c r="P22" s="17" t="str">
        <f t="shared" si="1"/>
        <v>R$ 0.00</v>
      </c>
      <c r="R22" s="7" t="s">
        <v>44</v>
      </c>
      <c r="S22" s="16" t="str">
        <f>COUNTIF($F$2:$F300,R22)</f>
        <v>1</v>
      </c>
      <c r="X22" s="32" t="str">
        <f>S22*1000-4</f>
        <v>996</v>
      </c>
    </row>
    <row r="23" ht="15.75" customHeight="1">
      <c r="A23" s="22"/>
      <c r="B23" s="16" t="str">
        <f t="shared" si="2"/>
        <v/>
      </c>
      <c r="C23" s="7"/>
      <c r="D23" s="7"/>
      <c r="E23" s="7"/>
      <c r="F23" s="7"/>
      <c r="G23" s="7"/>
      <c r="H23" s="7"/>
      <c r="I23" s="7"/>
      <c r="J23" s="22"/>
      <c r="K23" s="7"/>
      <c r="L23" s="17"/>
      <c r="M23" s="17"/>
      <c r="N23" s="17"/>
      <c r="O23" s="17"/>
      <c r="P23" s="17" t="str">
        <f t="shared" si="1"/>
        <v>R$ 0.00</v>
      </c>
      <c r="R23" s="7" t="s">
        <v>45</v>
      </c>
      <c r="S23" s="16" t="str">
        <f>COUNTIF($F$2:$F300,R23)</f>
        <v>0</v>
      </c>
      <c r="X23" s="32" t="str">
        <f>S23*1000-5</f>
        <v>-5</v>
      </c>
    </row>
    <row r="24" ht="15.75" customHeight="1">
      <c r="A24" s="22"/>
      <c r="B24" s="16" t="str">
        <f t="shared" si="2"/>
        <v/>
      </c>
      <c r="C24" s="7"/>
      <c r="D24" s="7"/>
      <c r="E24" s="7"/>
      <c r="F24" s="7"/>
      <c r="G24" s="7"/>
      <c r="H24" s="7"/>
      <c r="I24" s="7"/>
      <c r="J24" s="22"/>
      <c r="K24" s="7"/>
      <c r="L24" s="17"/>
      <c r="M24" s="17"/>
      <c r="N24" s="17"/>
      <c r="O24" s="17"/>
      <c r="P24" s="17" t="str">
        <f t="shared" si="1"/>
        <v>R$ 0.00</v>
      </c>
      <c r="R24" s="7" t="s">
        <v>46</v>
      </c>
      <c r="S24" s="16" t="str">
        <f>COUNTIF($F$2:$F300,R24)</f>
        <v>0</v>
      </c>
      <c r="X24" s="32" t="str">
        <f>S24*1000-6</f>
        <v>-6</v>
      </c>
    </row>
    <row r="25" ht="15.75" customHeight="1">
      <c r="A25" s="22"/>
      <c r="B25" s="16" t="str">
        <f t="shared" si="2"/>
        <v/>
      </c>
      <c r="C25" s="7"/>
      <c r="D25" s="7"/>
      <c r="E25" s="7"/>
      <c r="F25" s="7"/>
      <c r="G25" s="7"/>
      <c r="H25" s="7"/>
      <c r="I25" s="7"/>
      <c r="J25" s="22"/>
      <c r="K25" s="7"/>
      <c r="L25" s="17"/>
      <c r="M25" s="17"/>
      <c r="N25" s="17"/>
      <c r="O25" s="17"/>
      <c r="P25" s="17" t="str">
        <f t="shared" si="1"/>
        <v>R$ 0.00</v>
      </c>
      <c r="R25" s="7" t="s">
        <v>47</v>
      </c>
      <c r="S25" s="16" t="str">
        <f>COUNTIF($F$2:$F300,R25)</f>
        <v>0</v>
      </c>
      <c r="X25" s="32" t="str">
        <f>S25*1000-7</f>
        <v>-7</v>
      </c>
    </row>
    <row r="26" ht="15.75" customHeight="1">
      <c r="A26" s="22"/>
      <c r="B26" s="16" t="str">
        <f t="shared" si="2"/>
        <v/>
      </c>
      <c r="C26" s="7"/>
      <c r="D26" s="7"/>
      <c r="E26" s="7"/>
      <c r="F26" s="7"/>
      <c r="G26" s="7"/>
      <c r="H26" s="7"/>
      <c r="I26" s="7"/>
      <c r="J26" s="22"/>
      <c r="K26" s="7"/>
      <c r="L26" s="17"/>
      <c r="M26" s="17"/>
      <c r="N26" s="17"/>
      <c r="O26" s="17"/>
      <c r="P26" s="17" t="str">
        <f t="shared" si="1"/>
        <v>R$ 0.00</v>
      </c>
      <c r="R26" s="7" t="s">
        <v>48</v>
      </c>
      <c r="S26" s="16" t="str">
        <f>COUNTIF($F$2:$F300,R26)</f>
        <v>0</v>
      </c>
      <c r="X26" s="32" t="str">
        <f>S26*1000-8</f>
        <v>-8</v>
      </c>
    </row>
    <row r="27" ht="15.75" customHeight="1">
      <c r="A27" s="22"/>
      <c r="B27" s="16" t="str">
        <f t="shared" si="2"/>
        <v/>
      </c>
      <c r="C27" s="7"/>
      <c r="D27" s="7"/>
      <c r="E27" s="7"/>
      <c r="F27" s="7"/>
      <c r="G27" s="7"/>
      <c r="H27" s="7"/>
      <c r="I27" s="7"/>
      <c r="J27" s="22"/>
      <c r="K27" s="7"/>
      <c r="L27" s="17"/>
      <c r="M27" s="17"/>
      <c r="N27" s="17"/>
      <c r="O27" s="17"/>
      <c r="P27" s="17" t="str">
        <f t="shared" si="1"/>
        <v>R$ 0.00</v>
      </c>
      <c r="R27" s="7" t="s">
        <v>49</v>
      </c>
      <c r="S27" s="16" t="str">
        <f>COUNTIF($F$2:$F300,R27)</f>
        <v>0</v>
      </c>
      <c r="X27" s="32" t="str">
        <f>S27*1000-9</f>
        <v>-9</v>
      </c>
    </row>
    <row r="28" ht="15.75" customHeight="1">
      <c r="A28" s="22"/>
      <c r="B28" s="16" t="str">
        <f t="shared" si="2"/>
        <v/>
      </c>
      <c r="C28" s="7"/>
      <c r="D28" s="7"/>
      <c r="E28" s="7"/>
      <c r="F28" s="7"/>
      <c r="G28" s="7"/>
      <c r="H28" s="7"/>
      <c r="I28" s="7"/>
      <c r="J28" s="22"/>
      <c r="K28" s="7"/>
      <c r="L28" s="17"/>
      <c r="M28" s="17"/>
      <c r="N28" s="17"/>
      <c r="O28" s="17"/>
      <c r="P28" s="17" t="str">
        <f t="shared" si="1"/>
        <v>R$ 0.00</v>
      </c>
      <c r="R28" s="7" t="s">
        <v>50</v>
      </c>
      <c r="S28" s="16" t="str">
        <f>COUNTIF($F$2:$F300,R28)</f>
        <v>0</v>
      </c>
      <c r="X28" s="32" t="str">
        <f>S28*1000-10</f>
        <v>-10</v>
      </c>
    </row>
    <row r="29" ht="15.75" customHeight="1">
      <c r="A29" s="22"/>
      <c r="B29" s="16" t="str">
        <f t="shared" si="2"/>
        <v/>
      </c>
      <c r="C29" s="7"/>
      <c r="D29" s="7"/>
      <c r="E29" s="7"/>
      <c r="F29" s="7"/>
      <c r="G29" s="7"/>
      <c r="H29" s="7"/>
      <c r="I29" s="7"/>
      <c r="J29" s="22"/>
      <c r="K29" s="7"/>
      <c r="L29" s="17"/>
      <c r="M29" s="17"/>
      <c r="N29" s="17"/>
      <c r="O29" s="17"/>
      <c r="P29" s="17" t="str">
        <f t="shared" si="1"/>
        <v>R$ 0.00</v>
      </c>
    </row>
    <row r="30" ht="15.75" customHeight="1">
      <c r="A30" s="22"/>
      <c r="B30" s="16" t="str">
        <f t="shared" si="2"/>
        <v/>
      </c>
      <c r="C30" s="7"/>
      <c r="D30" s="7"/>
      <c r="E30" s="7"/>
      <c r="F30" s="7"/>
      <c r="G30" s="7"/>
      <c r="H30" s="7"/>
      <c r="I30" s="7"/>
      <c r="J30" s="22"/>
      <c r="K30" s="7"/>
      <c r="L30" s="17"/>
      <c r="M30" s="17"/>
      <c r="N30" s="17"/>
      <c r="O30" s="17"/>
      <c r="P30" s="17" t="str">
        <f t="shared" si="1"/>
        <v>R$ 0.00</v>
      </c>
      <c r="R30" s="5" t="s">
        <v>144</v>
      </c>
    </row>
    <row r="31" ht="15.75" customHeight="1">
      <c r="A31" s="22"/>
      <c r="B31" s="16" t="str">
        <f t="shared" si="2"/>
        <v/>
      </c>
      <c r="C31" s="7"/>
      <c r="D31" s="7"/>
      <c r="E31" s="7"/>
      <c r="F31" s="7"/>
      <c r="G31" s="7"/>
      <c r="H31" s="7"/>
      <c r="I31" s="7"/>
      <c r="J31" s="22"/>
      <c r="K31" s="7"/>
      <c r="L31" s="17"/>
      <c r="M31" s="17"/>
      <c r="N31" s="17"/>
      <c r="O31" s="17"/>
      <c r="P31" s="17" t="str">
        <f t="shared" si="1"/>
        <v>R$ 0.00</v>
      </c>
      <c r="R31" s="6" t="s">
        <v>7</v>
      </c>
      <c r="S31" s="6" t="s">
        <v>98</v>
      </c>
    </row>
    <row r="32" ht="15.75" customHeight="1">
      <c r="A32" s="22"/>
      <c r="B32" s="16" t="str">
        <f t="shared" si="2"/>
        <v/>
      </c>
      <c r="C32" s="7"/>
      <c r="D32" s="7"/>
      <c r="E32" s="7"/>
      <c r="F32" s="7"/>
      <c r="G32" s="7"/>
      <c r="H32" s="7"/>
      <c r="I32" s="7"/>
      <c r="J32" s="22"/>
      <c r="K32" s="7"/>
      <c r="L32" s="17"/>
      <c r="M32" s="17"/>
      <c r="N32" s="17"/>
      <c r="O32" s="17"/>
      <c r="P32" s="17" t="str">
        <f t="shared" si="1"/>
        <v>R$ 0.00</v>
      </c>
      <c r="R32" s="7" t="s">
        <v>156</v>
      </c>
      <c r="S32" s="16" t="str">
        <f>COUNTIF($K$2:$K300,R32)</f>
        <v>0</v>
      </c>
    </row>
    <row r="33" ht="15.75" customHeight="1">
      <c r="A33" s="22"/>
      <c r="B33" s="16" t="str">
        <f t="shared" si="2"/>
        <v/>
      </c>
      <c r="C33" s="7"/>
      <c r="D33" s="7"/>
      <c r="E33" s="7"/>
      <c r="F33" s="7"/>
      <c r="G33" s="7"/>
      <c r="H33" s="7"/>
      <c r="I33" s="7"/>
      <c r="J33" s="22"/>
      <c r="K33" s="7"/>
      <c r="L33" s="17"/>
      <c r="M33" s="17"/>
      <c r="N33" s="17"/>
      <c r="O33" s="17"/>
      <c r="P33" s="17" t="str">
        <f t="shared" si="1"/>
        <v>R$ 0.00</v>
      </c>
      <c r="R33" s="7" t="s">
        <v>153</v>
      </c>
      <c r="S33" s="16" t="str">
        <f>COUNTIF($K$2:$K300,R33)</f>
        <v>0</v>
      </c>
    </row>
    <row r="34" ht="15.75" customHeight="1">
      <c r="A34" s="22"/>
      <c r="B34" s="16" t="str">
        <f t="shared" si="2"/>
        <v/>
      </c>
      <c r="C34" s="7"/>
      <c r="D34" s="7"/>
      <c r="E34" s="7"/>
      <c r="F34" s="7"/>
      <c r="G34" s="7"/>
      <c r="H34" s="7"/>
      <c r="I34" s="7"/>
      <c r="J34" s="22"/>
      <c r="K34" s="7"/>
      <c r="L34" s="17"/>
      <c r="M34" s="17"/>
      <c r="N34" s="17"/>
      <c r="O34" s="17"/>
      <c r="P34" s="17" t="str">
        <f t="shared" si="1"/>
        <v>R$ 0.00</v>
      </c>
      <c r="R34" s="7" t="s">
        <v>157</v>
      </c>
      <c r="S34" s="16" t="str">
        <f>COUNTIF($K$2:$K300,R34)</f>
        <v>0</v>
      </c>
    </row>
    <row r="35" ht="15.75" customHeight="1">
      <c r="A35" s="22"/>
      <c r="B35" s="16" t="str">
        <f t="shared" si="2"/>
        <v/>
      </c>
      <c r="C35" s="7"/>
      <c r="D35" s="7"/>
      <c r="E35" s="7"/>
      <c r="F35" s="7"/>
      <c r="G35" s="7"/>
      <c r="H35" s="7"/>
      <c r="I35" s="7"/>
      <c r="J35" s="22"/>
      <c r="K35" s="7"/>
      <c r="L35" s="17"/>
      <c r="M35" s="17"/>
      <c r="N35" s="17"/>
      <c r="O35" s="17"/>
      <c r="P35" s="17" t="str">
        <f t="shared" si="1"/>
        <v>R$ 0.00</v>
      </c>
      <c r="R35" s="7" t="s">
        <v>94</v>
      </c>
      <c r="S35" s="16" t="str">
        <f>COUNTIF($K$2:$K300,R35)</f>
        <v>1</v>
      </c>
    </row>
    <row r="36" ht="15.75" customHeight="1">
      <c r="A36" s="22"/>
      <c r="B36" s="16" t="str">
        <f t="shared" si="2"/>
        <v/>
      </c>
      <c r="C36" s="7"/>
      <c r="D36" s="7"/>
      <c r="E36" s="7"/>
      <c r="F36" s="7"/>
      <c r="G36" s="7"/>
      <c r="H36" s="7"/>
      <c r="I36" s="7"/>
      <c r="J36" s="22"/>
      <c r="K36" s="7"/>
      <c r="L36" s="17"/>
      <c r="M36" s="17"/>
      <c r="N36" s="17"/>
      <c r="O36" s="17"/>
      <c r="P36" s="17" t="str">
        <f t="shared" si="1"/>
        <v>R$ 0.00</v>
      </c>
      <c r="R36" s="7" t="s">
        <v>158</v>
      </c>
      <c r="S36" s="16" t="str">
        <f>COUNTIF($K$2:$K300,R36)</f>
        <v>0</v>
      </c>
    </row>
    <row r="37" ht="15.75" customHeight="1">
      <c r="A37" s="22"/>
      <c r="B37" s="16" t="str">
        <f t="shared" si="2"/>
        <v/>
      </c>
      <c r="C37" s="7"/>
      <c r="D37" s="7"/>
      <c r="E37" s="7"/>
      <c r="F37" s="7"/>
      <c r="G37" s="7"/>
      <c r="H37" s="7"/>
      <c r="I37" s="7"/>
      <c r="J37" s="22"/>
      <c r="K37" s="7"/>
      <c r="L37" s="17"/>
      <c r="M37" s="17"/>
      <c r="N37" s="17"/>
      <c r="O37" s="17"/>
      <c r="P37" s="17" t="str">
        <f t="shared" si="1"/>
        <v>R$ 0.00</v>
      </c>
    </row>
    <row r="38" ht="15.75" customHeight="1">
      <c r="A38" s="22"/>
      <c r="B38" s="16" t="str">
        <f t="shared" si="2"/>
        <v/>
      </c>
      <c r="C38" s="7"/>
      <c r="D38" s="7"/>
      <c r="E38" s="7"/>
      <c r="F38" s="7"/>
      <c r="G38" s="7"/>
      <c r="H38" s="7"/>
      <c r="I38" s="7"/>
      <c r="J38" s="22"/>
      <c r="K38" s="7"/>
      <c r="L38" s="17"/>
      <c r="M38" s="17"/>
      <c r="N38" s="17"/>
      <c r="O38" s="17"/>
      <c r="P38" s="17" t="str">
        <f t="shared" si="1"/>
        <v>R$ 0.00</v>
      </c>
      <c r="R38" s="5" t="s">
        <v>178</v>
      </c>
    </row>
    <row r="39" ht="15.75" customHeight="1">
      <c r="A39" s="22"/>
      <c r="B39" s="16" t="str">
        <f t="shared" si="2"/>
        <v/>
      </c>
      <c r="C39" s="7"/>
      <c r="D39" s="7"/>
      <c r="E39" s="7"/>
      <c r="F39" s="7"/>
      <c r="G39" s="7"/>
      <c r="H39" s="7"/>
      <c r="I39" s="7"/>
      <c r="J39" s="22"/>
      <c r="K39" s="7"/>
      <c r="L39" s="17"/>
      <c r="M39" s="17"/>
      <c r="N39" s="17"/>
      <c r="O39" s="17"/>
      <c r="P39" s="17" t="str">
        <f t="shared" si="1"/>
        <v>R$ 0.00</v>
      </c>
      <c r="R39" s="6" t="s">
        <v>179</v>
      </c>
      <c r="S39" s="6" t="s">
        <v>180</v>
      </c>
    </row>
    <row r="40" ht="15.75" customHeight="1">
      <c r="A40" s="22"/>
      <c r="B40" s="16" t="str">
        <f t="shared" si="2"/>
        <v/>
      </c>
      <c r="C40" s="7"/>
      <c r="D40" s="7"/>
      <c r="E40" s="7"/>
      <c r="F40" s="7"/>
      <c r="G40" s="7"/>
      <c r="H40" s="7"/>
      <c r="I40" s="7"/>
      <c r="J40" s="22"/>
      <c r="K40" s="7"/>
      <c r="L40" s="17"/>
      <c r="M40" s="17"/>
      <c r="N40" s="17"/>
      <c r="O40" s="17"/>
      <c r="P40" s="17" t="str">
        <f t="shared" si="1"/>
        <v>R$ 0.00</v>
      </c>
      <c r="R40" s="7" t="s">
        <v>84</v>
      </c>
      <c r="S40" s="17" t="str">
        <f>SUM($L$2:$L300)</f>
        <v>R$ 80.00</v>
      </c>
    </row>
    <row r="41" ht="15.75" customHeight="1">
      <c r="A41" s="22"/>
      <c r="B41" s="16" t="str">
        <f t="shared" si="2"/>
        <v/>
      </c>
      <c r="C41" s="7"/>
      <c r="D41" s="7"/>
      <c r="E41" s="7"/>
      <c r="F41" s="7"/>
      <c r="G41" s="7"/>
      <c r="H41" s="7"/>
      <c r="I41" s="7"/>
      <c r="J41" s="22"/>
      <c r="K41" s="7"/>
      <c r="L41" s="17"/>
      <c r="M41" s="17"/>
      <c r="N41" s="17"/>
      <c r="O41" s="17"/>
      <c r="P41" s="17" t="str">
        <f t="shared" si="1"/>
        <v>R$ 0.00</v>
      </c>
      <c r="R41" s="7" t="s">
        <v>181</v>
      </c>
      <c r="S41" s="17" t="str">
        <f>SUM($M$2:$M300)</f>
        <v>R$ 50.00</v>
      </c>
    </row>
    <row r="42" ht="15.75" customHeight="1">
      <c r="A42" s="22"/>
      <c r="B42" s="16" t="str">
        <f t="shared" si="2"/>
        <v/>
      </c>
      <c r="C42" s="7"/>
      <c r="D42" s="7"/>
      <c r="E42" s="7"/>
      <c r="F42" s="7"/>
      <c r="G42" s="7"/>
      <c r="H42" s="7"/>
      <c r="I42" s="7"/>
      <c r="J42" s="22"/>
      <c r="K42" s="7"/>
      <c r="L42" s="17"/>
      <c r="M42" s="17"/>
      <c r="N42" s="17"/>
      <c r="O42" s="17"/>
      <c r="P42" s="17" t="str">
        <f t="shared" si="1"/>
        <v>R$ 0.00</v>
      </c>
      <c r="R42" s="7" t="s">
        <v>182</v>
      </c>
      <c r="S42" s="17" t="str">
        <f>SUM($N$2:$N300)</f>
        <v>R$ 0.00</v>
      </c>
    </row>
    <row r="43" ht="15.75" customHeight="1">
      <c r="A43" s="22"/>
      <c r="B43" s="16" t="str">
        <f t="shared" si="2"/>
        <v/>
      </c>
      <c r="C43" s="7"/>
      <c r="D43" s="7"/>
      <c r="E43" s="7"/>
      <c r="F43" s="7"/>
      <c r="G43" s="7"/>
      <c r="H43" s="7"/>
      <c r="I43" s="7"/>
      <c r="J43" s="22"/>
      <c r="K43" s="7"/>
      <c r="L43" s="17"/>
      <c r="M43" s="17"/>
      <c r="N43" s="17"/>
      <c r="O43" s="17"/>
      <c r="P43" s="17" t="str">
        <f t="shared" si="1"/>
        <v>R$ 0.00</v>
      </c>
      <c r="R43" s="7" t="s">
        <v>183</v>
      </c>
      <c r="S43" s="17" t="str">
        <f>SUM($O$2:$O300)</f>
        <v>R$ 120.00</v>
      </c>
    </row>
    <row r="44" ht="15.75" customHeight="1">
      <c r="A44" s="22"/>
      <c r="B44" s="16" t="str">
        <f t="shared" si="2"/>
        <v/>
      </c>
      <c r="C44" s="7"/>
      <c r="D44" s="7"/>
      <c r="E44" s="7"/>
      <c r="F44" s="7"/>
      <c r="G44" s="7"/>
      <c r="H44" s="7"/>
      <c r="I44" s="7"/>
      <c r="J44" s="22"/>
      <c r="K44" s="7"/>
      <c r="L44" s="17"/>
      <c r="M44" s="17"/>
      <c r="N44" s="17"/>
      <c r="O44" s="17"/>
      <c r="P44" s="17" t="str">
        <f t="shared" si="1"/>
        <v>R$ 0.00</v>
      </c>
    </row>
    <row r="45" ht="15.75" customHeight="1">
      <c r="A45" s="22"/>
      <c r="B45" s="16" t="str">
        <f t="shared" si="2"/>
        <v/>
      </c>
      <c r="C45" s="7"/>
      <c r="D45" s="7"/>
      <c r="E45" s="7"/>
      <c r="F45" s="7"/>
      <c r="G45" s="7"/>
      <c r="H45" s="7"/>
      <c r="I45" s="7"/>
      <c r="J45" s="22"/>
      <c r="K45" s="7"/>
      <c r="L45" s="17"/>
      <c r="M45" s="17"/>
      <c r="N45" s="17"/>
      <c r="O45" s="17"/>
      <c r="P45" s="17" t="str">
        <f t="shared" si="1"/>
        <v>R$ 0.00</v>
      </c>
      <c r="R45" s="5" t="s">
        <v>184</v>
      </c>
    </row>
    <row r="46" ht="15.75" customHeight="1">
      <c r="A46" s="22"/>
      <c r="B46" s="16" t="str">
        <f t="shared" si="2"/>
        <v/>
      </c>
      <c r="C46" s="7"/>
      <c r="D46" s="7"/>
      <c r="E46" s="7"/>
      <c r="F46" s="7"/>
      <c r="G46" s="7"/>
      <c r="H46" s="7"/>
      <c r="I46" s="7"/>
      <c r="J46" s="22"/>
      <c r="K46" s="7"/>
      <c r="L46" s="17"/>
      <c r="M46" s="17"/>
      <c r="N46" s="17"/>
      <c r="O46" s="17"/>
      <c r="P46" s="17" t="str">
        <f t="shared" si="1"/>
        <v>R$ 0.00</v>
      </c>
      <c r="R46" s="6" t="s">
        <v>53</v>
      </c>
      <c r="S46" s="6" t="s">
        <v>98</v>
      </c>
    </row>
    <row r="47" ht="15.75" customHeight="1">
      <c r="A47" s="22"/>
      <c r="B47" s="16" t="str">
        <f t="shared" si="2"/>
        <v/>
      </c>
      <c r="C47" s="7"/>
      <c r="D47" s="7"/>
      <c r="E47" s="7"/>
      <c r="F47" s="7"/>
      <c r="G47" s="7"/>
      <c r="H47" s="7"/>
      <c r="I47" s="7"/>
      <c r="J47" s="22"/>
      <c r="K47" s="7"/>
      <c r="L47" s="17"/>
      <c r="M47" s="17"/>
      <c r="N47" s="17"/>
      <c r="O47" s="17"/>
      <c r="P47" s="17" t="str">
        <f t="shared" si="1"/>
        <v>R$ 0.00</v>
      </c>
      <c r="R47" s="21">
        <v>46235.0</v>
      </c>
      <c r="S47" s="16" t="str">
        <f>COUNTIFS($A$2:$A300,"&gt;="&amp;R47,$A$2:$A300,"&lt;"&amp;EDATE(R47,1))</f>
        <v>0</v>
      </c>
    </row>
    <row r="48" ht="15.75" customHeight="1">
      <c r="A48" s="22"/>
      <c r="B48" s="16" t="str">
        <f t="shared" si="2"/>
        <v/>
      </c>
      <c r="C48" s="7"/>
      <c r="D48" s="7"/>
      <c r="E48" s="7"/>
      <c r="F48" s="7"/>
      <c r="G48" s="7"/>
      <c r="H48" s="7"/>
      <c r="I48" s="7"/>
      <c r="J48" s="22"/>
      <c r="K48" s="7"/>
      <c r="L48" s="17"/>
      <c r="M48" s="17"/>
      <c r="N48" s="17"/>
      <c r="O48" s="17"/>
      <c r="P48" s="17" t="str">
        <f t="shared" si="1"/>
        <v>R$ 0.00</v>
      </c>
      <c r="R48" s="21">
        <v>46266.0</v>
      </c>
      <c r="S48" s="16" t="str">
        <f>COUNTIFS($A$2:$A300,"&gt;="&amp;R48,$A$2:$A300,"&lt;"&amp;EDATE(R48,1))</f>
        <v>1</v>
      </c>
    </row>
    <row r="49" ht="15.75" customHeight="1">
      <c r="A49" s="22"/>
      <c r="B49" s="16" t="str">
        <f t="shared" si="2"/>
        <v/>
      </c>
      <c r="C49" s="7"/>
      <c r="D49" s="7"/>
      <c r="E49" s="7"/>
      <c r="F49" s="7"/>
      <c r="G49" s="7"/>
      <c r="H49" s="7"/>
      <c r="I49" s="7"/>
      <c r="J49" s="22"/>
      <c r="K49" s="7"/>
      <c r="L49" s="17"/>
      <c r="M49" s="17"/>
      <c r="N49" s="17"/>
      <c r="O49" s="17"/>
      <c r="P49" s="17" t="str">
        <f t="shared" si="1"/>
        <v>R$ 0.00</v>
      </c>
      <c r="R49" s="21">
        <v>46296.0</v>
      </c>
      <c r="S49" s="16" t="str">
        <f>COUNTIFS($A$2:$A300,"&gt;="&amp;R49,$A$2:$A300,"&lt;"&amp;EDATE(R49,1))</f>
        <v>0</v>
      </c>
    </row>
    <row r="50" ht="15.75" customHeight="1">
      <c r="A50" s="22"/>
      <c r="B50" s="16" t="str">
        <f t="shared" si="2"/>
        <v/>
      </c>
      <c r="C50" s="7"/>
      <c r="D50" s="7"/>
      <c r="E50" s="7"/>
      <c r="F50" s="7"/>
      <c r="G50" s="7"/>
      <c r="H50" s="7"/>
      <c r="I50" s="7"/>
      <c r="J50" s="22"/>
      <c r="K50" s="7"/>
      <c r="L50" s="17"/>
      <c r="M50" s="17"/>
      <c r="N50" s="17"/>
      <c r="O50" s="17"/>
      <c r="P50" s="17" t="str">
        <f t="shared" si="1"/>
        <v>R$ 0.00</v>
      </c>
      <c r="R50" s="21">
        <v>46327.0</v>
      </c>
      <c r="S50" s="16" t="str">
        <f>COUNTIFS($A$2:$A300,"&gt;="&amp;R50,$A$2:$A300,"&lt;"&amp;EDATE(R50,1))</f>
        <v>0</v>
      </c>
    </row>
    <row r="51" ht="15.75" customHeight="1">
      <c r="A51" s="22"/>
      <c r="B51" s="16" t="str">
        <f t="shared" si="2"/>
        <v/>
      </c>
      <c r="C51" s="7"/>
      <c r="D51" s="7"/>
      <c r="E51" s="7"/>
      <c r="F51" s="7"/>
      <c r="G51" s="7"/>
      <c r="H51" s="7"/>
      <c r="I51" s="7"/>
      <c r="J51" s="22"/>
      <c r="K51" s="7"/>
      <c r="L51" s="17"/>
      <c r="M51" s="17"/>
      <c r="N51" s="17"/>
      <c r="O51" s="17"/>
      <c r="P51" s="17" t="str">
        <f t="shared" si="1"/>
        <v>R$ 0.00</v>
      </c>
      <c r="R51" s="21">
        <v>46357.0</v>
      </c>
      <c r="S51" s="16" t="str">
        <f>COUNTIFS($A$2:$A300,"&gt;="&amp;R51,$A$2:$A300,"&lt;"&amp;EDATE(R51,1))</f>
        <v>0</v>
      </c>
    </row>
    <row r="52" ht="15.75" customHeight="1">
      <c r="A52" s="22"/>
      <c r="B52" s="16" t="str">
        <f t="shared" si="2"/>
        <v/>
      </c>
      <c r="C52" s="7"/>
      <c r="D52" s="7"/>
      <c r="E52" s="7"/>
      <c r="F52" s="7"/>
      <c r="G52" s="7"/>
      <c r="H52" s="7"/>
      <c r="I52" s="7"/>
      <c r="J52" s="22"/>
      <c r="K52" s="7"/>
      <c r="L52" s="17"/>
      <c r="M52" s="17"/>
      <c r="N52" s="17"/>
      <c r="O52" s="17"/>
      <c r="P52" s="17" t="str">
        <f t="shared" si="1"/>
        <v>R$ 0.00</v>
      </c>
      <c r="R52" s="21">
        <v>46388.0</v>
      </c>
      <c r="S52" s="16" t="str">
        <f>COUNTIFS($A$2:$A300,"&gt;="&amp;R52,$A$2:$A300,"&lt;"&amp;EDATE(R52,1))</f>
        <v>0</v>
      </c>
    </row>
    <row r="53" ht="15.75" customHeight="1">
      <c r="A53" s="22"/>
      <c r="B53" s="16" t="str">
        <f t="shared" si="2"/>
        <v/>
      </c>
      <c r="C53" s="7"/>
      <c r="D53" s="7"/>
      <c r="E53" s="7"/>
      <c r="F53" s="7"/>
      <c r="G53" s="7"/>
      <c r="H53" s="7"/>
      <c r="I53" s="7"/>
      <c r="J53" s="22"/>
      <c r="K53" s="7"/>
      <c r="L53" s="17"/>
      <c r="M53" s="17"/>
      <c r="N53" s="17"/>
      <c r="O53" s="17"/>
      <c r="P53" s="17" t="str">
        <f t="shared" si="1"/>
        <v>R$ 0.00</v>
      </c>
    </row>
    <row r="54" ht="15.75" customHeight="1">
      <c r="A54" s="22"/>
      <c r="B54" s="16" t="str">
        <f t="shared" si="2"/>
        <v/>
      </c>
      <c r="C54" s="7"/>
      <c r="D54" s="7"/>
      <c r="E54" s="7"/>
      <c r="F54" s="7"/>
      <c r="G54" s="7"/>
      <c r="H54" s="7"/>
      <c r="I54" s="7"/>
      <c r="J54" s="22"/>
      <c r="K54" s="7"/>
      <c r="L54" s="17"/>
      <c r="M54" s="17"/>
      <c r="N54" s="17"/>
      <c r="O54" s="17"/>
      <c r="P54" s="17" t="str">
        <f t="shared" si="1"/>
        <v>R$ 0.00</v>
      </c>
      <c r="R54" s="4" t="s">
        <v>185</v>
      </c>
    </row>
    <row r="55" ht="15.75" customHeight="1">
      <c r="A55" s="22"/>
      <c r="B55" s="16" t="str">
        <f t="shared" si="2"/>
        <v/>
      </c>
      <c r="C55" s="7"/>
      <c r="D55" s="7"/>
      <c r="E55" s="7"/>
      <c r="F55" s="7"/>
      <c r="G55" s="7"/>
      <c r="H55" s="7"/>
      <c r="I55" s="7"/>
      <c r="J55" s="22"/>
      <c r="K55" s="7"/>
      <c r="L55" s="17"/>
      <c r="M55" s="17"/>
      <c r="N55" s="17"/>
      <c r="O55" s="17"/>
      <c r="P55" s="17" t="str">
        <f t="shared" si="1"/>
        <v>R$ 0.00</v>
      </c>
    </row>
    <row r="56" ht="15.75" customHeight="1">
      <c r="A56" s="22"/>
      <c r="B56" s="16" t="str">
        <f t="shared" si="2"/>
        <v/>
      </c>
      <c r="C56" s="7"/>
      <c r="D56" s="7"/>
      <c r="E56" s="7"/>
      <c r="F56" s="7"/>
      <c r="G56" s="7"/>
      <c r="H56" s="7"/>
      <c r="I56" s="7"/>
      <c r="J56" s="22"/>
      <c r="K56" s="7"/>
      <c r="L56" s="17"/>
      <c r="M56" s="17"/>
      <c r="N56" s="17"/>
      <c r="O56" s="17"/>
      <c r="P56" s="17" t="str">
        <f t="shared" si="1"/>
        <v>R$ 0.00</v>
      </c>
      <c r="R56" s="5" t="s">
        <v>186</v>
      </c>
    </row>
    <row r="57" ht="15.75" customHeight="1">
      <c r="A57" s="22"/>
      <c r="B57" s="16" t="str">
        <f t="shared" si="2"/>
        <v/>
      </c>
      <c r="C57" s="7"/>
      <c r="D57" s="7"/>
      <c r="E57" s="7"/>
      <c r="F57" s="7"/>
      <c r="G57" s="7"/>
      <c r="H57" s="7"/>
      <c r="I57" s="7"/>
      <c r="J57" s="22"/>
      <c r="K57" s="7"/>
      <c r="L57" s="17"/>
      <c r="M57" s="17"/>
      <c r="N57" s="17"/>
      <c r="O57" s="17"/>
      <c r="P57" s="17" t="str">
        <f t="shared" si="1"/>
        <v>R$ 0.00</v>
      </c>
      <c r="R57" s="6" t="s">
        <v>126</v>
      </c>
      <c r="S57" s="6" t="s">
        <v>98</v>
      </c>
      <c r="T57" s="6" t="s">
        <v>127</v>
      </c>
    </row>
    <row r="58" ht="15.75" customHeight="1">
      <c r="A58" s="22"/>
      <c r="B58" s="16" t="str">
        <f t="shared" si="2"/>
        <v/>
      </c>
      <c r="C58" s="7"/>
      <c r="D58" s="7"/>
      <c r="E58" s="7"/>
      <c r="F58" s="7"/>
      <c r="G58" s="7"/>
      <c r="H58" s="7"/>
      <c r="I58" s="7"/>
      <c r="J58" s="22"/>
      <c r="K58" s="7"/>
      <c r="L58" s="17"/>
      <c r="M58" s="17"/>
      <c r="N58" s="17"/>
      <c r="O58" s="17"/>
      <c r="P58" s="17" t="str">
        <f t="shared" si="1"/>
        <v>R$ 0.00</v>
      </c>
      <c r="R58" s="7" t="str">
        <f t="array" ref="R58">INDEX($R$19:$R$28,MATCH(LARGE($X$19:$X$28,1),$X$19:$X$28,0))</f>
        <v>Hidraulica</v>
      </c>
      <c r="S58" s="16" t="str">
        <f>ROUND(LARGE($X$19:$X$28,1)/1000,0)</f>
        <v>1</v>
      </c>
      <c r="T58" s="24" t="str">
        <f t="shared" ref="T58:T67" si="3">IFERROR(SUM($S$58:S58)/SUM($S$19:$S$28)*100,0)</f>
        <v>100.0</v>
      </c>
    </row>
    <row r="59" ht="15.75" customHeight="1">
      <c r="A59" s="22"/>
      <c r="B59" s="16" t="str">
        <f t="shared" si="2"/>
        <v/>
      </c>
      <c r="C59" s="7"/>
      <c r="D59" s="7"/>
      <c r="E59" s="7"/>
      <c r="F59" s="7"/>
      <c r="G59" s="7"/>
      <c r="H59" s="7"/>
      <c r="I59" s="7"/>
      <c r="J59" s="22"/>
      <c r="K59" s="7"/>
      <c r="L59" s="17"/>
      <c r="M59" s="17"/>
      <c r="N59" s="17"/>
      <c r="O59" s="17"/>
      <c r="P59" s="17" t="str">
        <f t="shared" si="1"/>
        <v>R$ 0.00</v>
      </c>
      <c r="R59" s="7" t="str">
        <f t="array" ref="R59">INDEX($R$19:$R$28,MATCH(LARGE($X$19:$X$28,2),$X$19:$X$28,0))</f>
        <v>Acabamento</v>
      </c>
      <c r="S59" s="16" t="str">
        <f>ROUND(LARGE($X$19:$X$28,2)/1000,0)</f>
        <v>0</v>
      </c>
      <c r="T59" s="24" t="str">
        <f t="shared" si="3"/>
        <v>100.0</v>
      </c>
    </row>
    <row r="60" ht="15.75" customHeight="1">
      <c r="A60" s="22"/>
      <c r="B60" s="16" t="str">
        <f t="shared" si="2"/>
        <v/>
      </c>
      <c r="C60" s="7"/>
      <c r="D60" s="7"/>
      <c r="E60" s="7"/>
      <c r="F60" s="7"/>
      <c r="G60" s="7"/>
      <c r="H60" s="7"/>
      <c r="I60" s="7"/>
      <c r="J60" s="22"/>
      <c r="K60" s="7"/>
      <c r="L60" s="17"/>
      <c r="M60" s="17"/>
      <c r="N60" s="17"/>
      <c r="O60" s="17"/>
      <c r="P60" s="17" t="str">
        <f t="shared" si="1"/>
        <v>R$ 0.00</v>
      </c>
      <c r="R60" s="7" t="str">
        <f t="array" ref="R60">INDEX($R$19:$R$28,MATCH(LARGE($X$19:$X$28,3),$X$19:$X$28,0))</f>
        <v>Embalagem</v>
      </c>
      <c r="S60" s="16" t="str">
        <f>ROUND(LARGE($X$19:$X$28,3)/1000,0)</f>
        <v>0</v>
      </c>
      <c r="T60" s="24" t="str">
        <f t="shared" si="3"/>
        <v>100.0</v>
      </c>
    </row>
    <row r="61" ht="15.75" customHeight="1">
      <c r="A61" s="22"/>
      <c r="B61" s="16" t="str">
        <f t="shared" si="2"/>
        <v/>
      </c>
      <c r="C61" s="7"/>
      <c r="D61" s="7"/>
      <c r="E61" s="7"/>
      <c r="F61" s="7"/>
      <c r="G61" s="7"/>
      <c r="H61" s="7"/>
      <c r="I61" s="7"/>
      <c r="J61" s="22"/>
      <c r="K61" s="7"/>
      <c r="L61" s="17"/>
      <c r="M61" s="17"/>
      <c r="N61" s="17"/>
      <c r="O61" s="17"/>
      <c r="P61" s="17" t="str">
        <f t="shared" si="1"/>
        <v>R$ 0.00</v>
      </c>
      <c r="R61" s="7" t="str">
        <f t="array" ref="R61">INDEX($R$19:$R$28,MATCH(LARGE($X$19:$X$28,4),$X$19:$X$28,0))</f>
        <v>Material</v>
      </c>
      <c r="S61" s="16" t="str">
        <f>ROUND(LARGE($X$19:$X$28,4)/1000,0)</f>
        <v>0</v>
      </c>
      <c r="T61" s="24" t="str">
        <f t="shared" si="3"/>
        <v>100.0</v>
      </c>
    </row>
    <row r="62" ht="15.75" customHeight="1">
      <c r="A62" s="22"/>
      <c r="B62" s="16" t="str">
        <f t="shared" si="2"/>
        <v/>
      </c>
      <c r="C62" s="7"/>
      <c r="D62" s="7"/>
      <c r="E62" s="7"/>
      <c r="F62" s="7"/>
      <c r="G62" s="7"/>
      <c r="H62" s="7"/>
      <c r="I62" s="7"/>
      <c r="J62" s="22"/>
      <c r="K62" s="7"/>
      <c r="L62" s="17"/>
      <c r="M62" s="17"/>
      <c r="N62" s="17"/>
      <c r="O62" s="17"/>
      <c r="P62" s="17" t="str">
        <f t="shared" si="1"/>
        <v>R$ 0.00</v>
      </c>
      <c r="R62" s="7" t="str">
        <f t="array" ref="R62">INDEX($R$19:$R$28,MATCH(LARGE($X$19:$X$28,5),$X$19:$X$28,0))</f>
        <v>Costura</v>
      </c>
      <c r="S62" s="16" t="str">
        <f>ROUND(LARGE($X$19:$X$28,5)/1000,0)</f>
        <v>0</v>
      </c>
      <c r="T62" s="24" t="str">
        <f t="shared" si="3"/>
        <v>100.0</v>
      </c>
    </row>
    <row r="63" ht="15.75" customHeight="1">
      <c r="A63" s="22"/>
      <c r="B63" s="16" t="str">
        <f t="shared" si="2"/>
        <v/>
      </c>
      <c r="C63" s="7"/>
      <c r="D63" s="7"/>
      <c r="E63" s="7"/>
      <c r="F63" s="7"/>
      <c r="G63" s="7"/>
      <c r="H63" s="7"/>
      <c r="I63" s="7"/>
      <c r="J63" s="22"/>
      <c r="K63" s="7"/>
      <c r="L63" s="17"/>
      <c r="M63" s="17"/>
      <c r="N63" s="17"/>
      <c r="O63" s="17"/>
      <c r="P63" s="17" t="str">
        <f t="shared" si="1"/>
        <v>R$ 0.00</v>
      </c>
      <c r="R63" s="7" t="str">
        <f t="array" ref="R63">INDEX($R$19:$R$28,MATCH(LARGE($X$19:$X$28,6),$X$19:$X$28,0))</f>
        <v>Montagem</v>
      </c>
      <c r="S63" s="16" t="str">
        <f>ROUND(LARGE($X$19:$X$28,6)/1000,0)</f>
        <v>0</v>
      </c>
      <c r="T63" s="24" t="str">
        <f t="shared" si="3"/>
        <v>100.0</v>
      </c>
    </row>
    <row r="64" ht="15.75" customHeight="1">
      <c r="A64" s="22"/>
      <c r="B64" s="16" t="str">
        <f t="shared" si="2"/>
        <v/>
      </c>
      <c r="C64" s="7"/>
      <c r="D64" s="7"/>
      <c r="E64" s="7"/>
      <c r="F64" s="7"/>
      <c r="G64" s="7"/>
      <c r="H64" s="7"/>
      <c r="I64" s="7"/>
      <c r="J64" s="22"/>
      <c r="K64" s="7"/>
      <c r="L64" s="17"/>
      <c r="M64" s="17"/>
      <c r="N64" s="17"/>
      <c r="O64" s="17"/>
      <c r="P64" s="17" t="str">
        <f t="shared" si="1"/>
        <v>R$ 0.00</v>
      </c>
      <c r="R64" s="7" t="str">
        <f t="array" ref="R64">INDEX($R$19:$R$28,MATCH(LARGE($X$19:$X$28,7),$X$19:$X$28,0))</f>
        <v>Peca faltante</v>
      </c>
      <c r="S64" s="16" t="str">
        <f>ROUND(LARGE($X$19:$X$28,7)/1000,0)</f>
        <v>0</v>
      </c>
      <c r="T64" s="24" t="str">
        <f t="shared" si="3"/>
        <v>100.0</v>
      </c>
    </row>
    <row r="65" ht="15.75" customHeight="1">
      <c r="A65" s="22"/>
      <c r="B65" s="16" t="str">
        <f t="shared" si="2"/>
        <v/>
      </c>
      <c r="C65" s="7"/>
      <c r="D65" s="7"/>
      <c r="E65" s="7"/>
      <c r="F65" s="7"/>
      <c r="G65" s="7"/>
      <c r="H65" s="7"/>
      <c r="I65" s="7"/>
      <c r="J65" s="22"/>
      <c r="K65" s="7"/>
      <c r="L65" s="17"/>
      <c r="M65" s="17"/>
      <c r="N65" s="17"/>
      <c r="O65" s="17"/>
      <c r="P65" s="17" t="str">
        <f t="shared" si="1"/>
        <v>R$ 0.00</v>
      </c>
      <c r="R65" s="7" t="str">
        <f t="array" ref="R65">INDEX($R$19:$R$28,MATCH(LARGE($X$19:$X$28,8),$X$19:$X$28,0))</f>
        <v>Peca quebrada</v>
      </c>
      <c r="S65" s="16" t="str">
        <f>ROUND(LARGE($X$19:$X$28,8)/1000,0)</f>
        <v>0</v>
      </c>
      <c r="T65" s="24" t="str">
        <f t="shared" si="3"/>
        <v>100.0</v>
      </c>
    </row>
    <row r="66" ht="15.75" customHeight="1">
      <c r="A66" s="22"/>
      <c r="B66" s="16" t="str">
        <f t="shared" si="2"/>
        <v/>
      </c>
      <c r="C66" s="7"/>
      <c r="D66" s="7"/>
      <c r="E66" s="7"/>
      <c r="F66" s="7"/>
      <c r="G66" s="7"/>
      <c r="H66" s="7"/>
      <c r="I66" s="7"/>
      <c r="J66" s="22"/>
      <c r="K66" s="7"/>
      <c r="L66" s="17"/>
      <c r="M66" s="17"/>
      <c r="N66" s="17"/>
      <c r="O66" s="17"/>
      <c r="P66" s="17" t="str">
        <f t="shared" si="1"/>
        <v>R$ 0.00</v>
      </c>
      <c r="R66" s="7" t="str">
        <f t="array" ref="R66">INDEX($R$19:$R$28,MATCH(LARGE($X$19:$X$28,9),$X$19:$X$28,0))</f>
        <v>Dificuldade de montagem</v>
      </c>
      <c r="S66" s="16" t="str">
        <f>ROUND(LARGE($X$19:$X$28,9)/1000,0)</f>
        <v>0</v>
      </c>
      <c r="T66" s="24" t="str">
        <f t="shared" si="3"/>
        <v>100.0</v>
      </c>
    </row>
    <row r="67" ht="15.75" customHeight="1">
      <c r="A67" s="22"/>
      <c r="B67" s="16" t="str">
        <f t="shared" si="2"/>
        <v/>
      </c>
      <c r="C67" s="7"/>
      <c r="D67" s="7"/>
      <c r="E67" s="7"/>
      <c r="F67" s="7"/>
      <c r="G67" s="7"/>
      <c r="H67" s="7"/>
      <c r="I67" s="7"/>
      <c r="J67" s="22"/>
      <c r="K67" s="7"/>
      <c r="L67" s="17"/>
      <c r="M67" s="17"/>
      <c r="N67" s="17"/>
      <c r="O67" s="17"/>
      <c r="P67" s="17" t="str">
        <f t="shared" si="1"/>
        <v>R$ 0.00</v>
      </c>
      <c r="R67" s="7" t="str">
        <f t="array" ref="R67">INDEX($R$19:$R$28,MATCH(LARGE($X$19:$X$28,10),$X$19:$X$28,0))</f>
        <v>Outros</v>
      </c>
      <c r="S67" s="16" t="str">
        <f>ROUND(LARGE($X$19:$X$28,10)/1000,0)</f>
        <v>0</v>
      </c>
      <c r="T67" s="24" t="str">
        <f t="shared" si="3"/>
        <v>100.0</v>
      </c>
    </row>
    <row r="68" ht="15.75" customHeight="1">
      <c r="A68" s="22"/>
      <c r="B68" s="16" t="str">
        <f t="shared" si="2"/>
        <v/>
      </c>
      <c r="C68" s="7"/>
      <c r="D68" s="7"/>
      <c r="E68" s="7"/>
      <c r="F68" s="7"/>
      <c r="G68" s="7"/>
      <c r="H68" s="7"/>
      <c r="I68" s="7"/>
      <c r="J68" s="22"/>
      <c r="K68" s="7"/>
      <c r="L68" s="17"/>
      <c r="M68" s="17"/>
      <c r="N68" s="17"/>
      <c r="O68" s="17"/>
      <c r="P68" s="17" t="str">
        <f t="shared" si="1"/>
        <v>R$ 0.00</v>
      </c>
    </row>
    <row r="69" ht="15.75" customHeight="1">
      <c r="A69" s="22"/>
      <c r="B69" s="16" t="str">
        <f t="shared" si="2"/>
        <v/>
      </c>
      <c r="C69" s="7"/>
      <c r="D69" s="7"/>
      <c r="E69" s="7"/>
      <c r="F69" s="7"/>
      <c r="G69" s="7"/>
      <c r="H69" s="7"/>
      <c r="I69" s="7"/>
      <c r="J69" s="22"/>
      <c r="K69" s="7"/>
      <c r="L69" s="17"/>
      <c r="M69" s="17"/>
      <c r="N69" s="17"/>
      <c r="O69" s="17"/>
      <c r="P69" s="17" t="str">
        <f t="shared" si="1"/>
        <v>R$ 0.00</v>
      </c>
    </row>
    <row r="70" ht="15.75" customHeight="1">
      <c r="A70" s="22"/>
      <c r="B70" s="16" t="str">
        <f t="shared" si="2"/>
        <v/>
      </c>
      <c r="C70" s="7"/>
      <c r="D70" s="7"/>
      <c r="E70" s="7"/>
      <c r="F70" s="7"/>
      <c r="G70" s="7"/>
      <c r="H70" s="7"/>
      <c r="I70" s="7"/>
      <c r="J70" s="22"/>
      <c r="K70" s="7"/>
      <c r="L70" s="17"/>
      <c r="M70" s="17"/>
      <c r="N70" s="17"/>
      <c r="O70" s="17"/>
      <c r="P70" s="17" t="str">
        <f t="shared" si="1"/>
        <v>R$ 0.00</v>
      </c>
    </row>
    <row r="71" ht="15.75" customHeight="1">
      <c r="A71" s="22"/>
      <c r="B71" s="16" t="str">
        <f t="shared" si="2"/>
        <v/>
      </c>
      <c r="C71" s="7"/>
      <c r="D71" s="7"/>
      <c r="E71" s="7"/>
      <c r="F71" s="7"/>
      <c r="G71" s="7"/>
      <c r="H71" s="7"/>
      <c r="I71" s="7"/>
      <c r="J71" s="22"/>
      <c r="K71" s="7"/>
      <c r="L71" s="17"/>
      <c r="M71" s="17"/>
      <c r="N71" s="17"/>
      <c r="O71" s="17"/>
      <c r="P71" s="17" t="str">
        <f t="shared" si="1"/>
        <v>R$ 0.00</v>
      </c>
    </row>
    <row r="72" ht="15.75" customHeight="1">
      <c r="A72" s="22"/>
      <c r="B72" s="16" t="str">
        <f t="shared" si="2"/>
        <v/>
      </c>
      <c r="C72" s="7"/>
      <c r="D72" s="7"/>
      <c r="E72" s="7"/>
      <c r="F72" s="7"/>
      <c r="G72" s="7"/>
      <c r="H72" s="7"/>
      <c r="I72" s="7"/>
      <c r="J72" s="22"/>
      <c r="K72" s="7"/>
      <c r="L72" s="17"/>
      <c r="M72" s="17"/>
      <c r="N72" s="17"/>
      <c r="O72" s="17"/>
      <c r="P72" s="17" t="str">
        <f t="shared" si="1"/>
        <v>R$ 0.00</v>
      </c>
    </row>
    <row r="73" ht="15.75" customHeight="1">
      <c r="A73" s="22"/>
      <c r="B73" s="16" t="str">
        <f t="shared" si="2"/>
        <v/>
      </c>
      <c r="C73" s="7"/>
      <c r="D73" s="7"/>
      <c r="E73" s="7"/>
      <c r="F73" s="7"/>
      <c r="G73" s="7"/>
      <c r="H73" s="7"/>
      <c r="I73" s="7"/>
      <c r="J73" s="22"/>
      <c r="K73" s="7"/>
      <c r="L73" s="17"/>
      <c r="M73" s="17"/>
      <c r="N73" s="17"/>
      <c r="O73" s="17"/>
      <c r="P73" s="17" t="str">
        <f t="shared" si="1"/>
        <v>R$ 0.00</v>
      </c>
    </row>
    <row r="74" ht="15.75" customHeight="1">
      <c r="A74" s="22"/>
      <c r="B74" s="16" t="str">
        <f t="shared" si="2"/>
        <v/>
      </c>
      <c r="C74" s="7"/>
      <c r="D74" s="7"/>
      <c r="E74" s="7"/>
      <c r="F74" s="7"/>
      <c r="G74" s="7"/>
      <c r="H74" s="7"/>
      <c r="I74" s="7"/>
      <c r="J74" s="22"/>
      <c r="K74" s="7"/>
      <c r="L74" s="17"/>
      <c r="M74" s="17"/>
      <c r="N74" s="17"/>
      <c r="O74" s="17"/>
      <c r="P74" s="17" t="str">
        <f t="shared" si="1"/>
        <v>R$ 0.00</v>
      </c>
    </row>
    <row r="75" ht="15.75" customHeight="1">
      <c r="A75" s="22"/>
      <c r="B75" s="16" t="str">
        <f t="shared" si="2"/>
        <v/>
      </c>
      <c r="C75" s="7"/>
      <c r="D75" s="7"/>
      <c r="E75" s="7"/>
      <c r="F75" s="7"/>
      <c r="G75" s="7"/>
      <c r="H75" s="7"/>
      <c r="I75" s="7"/>
      <c r="J75" s="22"/>
      <c r="K75" s="7"/>
      <c r="L75" s="17"/>
      <c r="M75" s="17"/>
      <c r="N75" s="17"/>
      <c r="O75" s="17"/>
      <c r="P75" s="17" t="str">
        <f t="shared" si="1"/>
        <v>R$ 0.00</v>
      </c>
    </row>
    <row r="76" ht="15.75" customHeight="1">
      <c r="A76" s="22"/>
      <c r="B76" s="16" t="str">
        <f t="shared" si="2"/>
        <v/>
      </c>
      <c r="C76" s="7"/>
      <c r="D76" s="7"/>
      <c r="E76" s="7"/>
      <c r="F76" s="7"/>
      <c r="G76" s="7"/>
      <c r="H76" s="7"/>
      <c r="I76" s="7"/>
      <c r="J76" s="22"/>
      <c r="K76" s="7"/>
      <c r="L76" s="17"/>
      <c r="M76" s="17"/>
      <c r="N76" s="17"/>
      <c r="O76" s="17"/>
      <c r="P76" s="17" t="str">
        <f t="shared" si="1"/>
        <v>R$ 0.00</v>
      </c>
    </row>
    <row r="77" ht="15.75" customHeight="1">
      <c r="A77" s="22"/>
      <c r="B77" s="16" t="str">
        <f t="shared" si="2"/>
        <v/>
      </c>
      <c r="C77" s="7"/>
      <c r="D77" s="7"/>
      <c r="E77" s="7"/>
      <c r="F77" s="7"/>
      <c r="G77" s="7"/>
      <c r="H77" s="7"/>
      <c r="I77" s="7"/>
      <c r="J77" s="22"/>
      <c r="K77" s="7"/>
      <c r="L77" s="17"/>
      <c r="M77" s="17"/>
      <c r="N77" s="17"/>
      <c r="O77" s="17"/>
      <c r="P77" s="17" t="str">
        <f t="shared" si="1"/>
        <v>R$ 0.00</v>
      </c>
    </row>
    <row r="78" ht="15.75" customHeight="1">
      <c r="A78" s="22"/>
      <c r="B78" s="16" t="str">
        <f t="shared" si="2"/>
        <v/>
      </c>
      <c r="C78" s="7"/>
      <c r="D78" s="7"/>
      <c r="E78" s="7"/>
      <c r="F78" s="7"/>
      <c r="G78" s="7"/>
      <c r="H78" s="7"/>
      <c r="I78" s="7"/>
      <c r="J78" s="22"/>
      <c r="K78" s="7"/>
      <c r="L78" s="17"/>
      <c r="M78" s="17"/>
      <c r="N78" s="17"/>
      <c r="O78" s="17"/>
      <c r="P78" s="17" t="str">
        <f t="shared" si="1"/>
        <v>R$ 0.00</v>
      </c>
    </row>
    <row r="79" ht="15.75" customHeight="1">
      <c r="A79" s="22"/>
      <c r="B79" s="16" t="str">
        <f t="shared" si="2"/>
        <v/>
      </c>
      <c r="C79" s="7"/>
      <c r="D79" s="7"/>
      <c r="E79" s="7"/>
      <c r="F79" s="7"/>
      <c r="G79" s="7"/>
      <c r="H79" s="7"/>
      <c r="I79" s="7"/>
      <c r="J79" s="22"/>
      <c r="K79" s="7"/>
      <c r="L79" s="17"/>
      <c r="M79" s="17"/>
      <c r="N79" s="17"/>
      <c r="O79" s="17"/>
      <c r="P79" s="17" t="str">
        <f t="shared" si="1"/>
        <v>R$ 0.00</v>
      </c>
    </row>
    <row r="80" ht="15.75" customHeight="1">
      <c r="A80" s="22"/>
      <c r="B80" s="16" t="str">
        <f t="shared" si="2"/>
        <v/>
      </c>
      <c r="C80" s="7"/>
      <c r="D80" s="7"/>
      <c r="E80" s="7"/>
      <c r="F80" s="7"/>
      <c r="G80" s="7"/>
      <c r="H80" s="7"/>
      <c r="I80" s="7"/>
      <c r="J80" s="22"/>
      <c r="K80" s="7"/>
      <c r="L80" s="17"/>
      <c r="M80" s="17"/>
      <c r="N80" s="17"/>
      <c r="O80" s="17"/>
      <c r="P80" s="17" t="str">
        <f t="shared" si="1"/>
        <v>R$ 0.00</v>
      </c>
    </row>
    <row r="81" ht="15.75" customHeight="1">
      <c r="A81" s="22"/>
      <c r="B81" s="16" t="str">
        <f t="shared" si="2"/>
        <v/>
      </c>
      <c r="C81" s="7"/>
      <c r="D81" s="7"/>
      <c r="E81" s="7"/>
      <c r="F81" s="7"/>
      <c r="G81" s="7"/>
      <c r="H81" s="7"/>
      <c r="I81" s="7"/>
      <c r="J81" s="22"/>
      <c r="K81" s="7"/>
      <c r="L81" s="17"/>
      <c r="M81" s="17"/>
      <c r="N81" s="17"/>
      <c r="O81" s="17"/>
      <c r="P81" s="17" t="str">
        <f t="shared" si="1"/>
        <v>R$ 0.00</v>
      </c>
    </row>
    <row r="82" ht="15.75" customHeight="1">
      <c r="A82" s="22"/>
      <c r="B82" s="16" t="str">
        <f t="shared" si="2"/>
        <v/>
      </c>
      <c r="C82" s="7"/>
      <c r="D82" s="7"/>
      <c r="E82" s="7"/>
      <c r="F82" s="7"/>
      <c r="G82" s="7"/>
      <c r="H82" s="7"/>
      <c r="I82" s="7"/>
      <c r="J82" s="22"/>
      <c r="K82" s="7"/>
      <c r="L82" s="17"/>
      <c r="M82" s="17"/>
      <c r="N82" s="17"/>
      <c r="O82" s="17"/>
      <c r="P82" s="17" t="str">
        <f t="shared" si="1"/>
        <v>R$ 0.00</v>
      </c>
    </row>
    <row r="83" ht="15.75" customHeight="1">
      <c r="A83" s="22"/>
      <c r="B83" s="16" t="str">
        <f t="shared" si="2"/>
        <v/>
      </c>
      <c r="C83" s="7"/>
      <c r="D83" s="7"/>
      <c r="E83" s="7"/>
      <c r="F83" s="7"/>
      <c r="G83" s="7"/>
      <c r="H83" s="7"/>
      <c r="I83" s="7"/>
      <c r="J83" s="22"/>
      <c r="K83" s="7"/>
      <c r="L83" s="17"/>
      <c r="M83" s="17"/>
      <c r="N83" s="17"/>
      <c r="O83" s="17"/>
      <c r="P83" s="17" t="str">
        <f t="shared" si="1"/>
        <v>R$ 0.00</v>
      </c>
    </row>
    <row r="84" ht="15.75" customHeight="1">
      <c r="A84" s="22"/>
      <c r="B84" s="16" t="str">
        <f t="shared" si="2"/>
        <v/>
      </c>
      <c r="C84" s="7"/>
      <c r="D84" s="7"/>
      <c r="E84" s="7"/>
      <c r="F84" s="7"/>
      <c r="G84" s="7"/>
      <c r="H84" s="7"/>
      <c r="I84" s="7"/>
      <c r="J84" s="22"/>
      <c r="K84" s="7"/>
      <c r="L84" s="17"/>
      <c r="M84" s="17"/>
      <c r="N84" s="17"/>
      <c r="O84" s="17"/>
      <c r="P84" s="17" t="str">
        <f t="shared" si="1"/>
        <v>R$ 0.00</v>
      </c>
    </row>
    <row r="85" ht="15.75" customHeight="1">
      <c r="A85" s="22"/>
      <c r="B85" s="16" t="str">
        <f t="shared" si="2"/>
        <v/>
      </c>
      <c r="C85" s="7"/>
      <c r="D85" s="7"/>
      <c r="E85" s="7"/>
      <c r="F85" s="7"/>
      <c r="G85" s="7"/>
      <c r="H85" s="7"/>
      <c r="I85" s="7"/>
      <c r="J85" s="22"/>
      <c r="K85" s="7"/>
      <c r="L85" s="17"/>
      <c r="M85" s="17"/>
      <c r="N85" s="17"/>
      <c r="O85" s="17"/>
      <c r="P85" s="17" t="str">
        <f t="shared" si="1"/>
        <v>R$ 0.00</v>
      </c>
    </row>
    <row r="86" ht="15.75" customHeight="1">
      <c r="A86" s="22"/>
      <c r="B86" s="16" t="str">
        <f t="shared" si="2"/>
        <v/>
      </c>
      <c r="C86" s="7"/>
      <c r="D86" s="7"/>
      <c r="E86" s="7"/>
      <c r="F86" s="7"/>
      <c r="G86" s="7"/>
      <c r="H86" s="7"/>
      <c r="I86" s="7"/>
      <c r="J86" s="22"/>
      <c r="K86" s="7"/>
      <c r="L86" s="17"/>
      <c r="M86" s="17"/>
      <c r="N86" s="17"/>
      <c r="O86" s="17"/>
      <c r="P86" s="17" t="str">
        <f t="shared" si="1"/>
        <v>R$ 0.00</v>
      </c>
    </row>
    <row r="87" ht="15.75" customHeight="1">
      <c r="A87" s="22"/>
      <c r="B87" s="16" t="str">
        <f t="shared" si="2"/>
        <v/>
      </c>
      <c r="C87" s="7"/>
      <c r="D87" s="7"/>
      <c r="E87" s="7"/>
      <c r="F87" s="7"/>
      <c r="G87" s="7"/>
      <c r="H87" s="7"/>
      <c r="I87" s="7"/>
      <c r="J87" s="22"/>
      <c r="K87" s="7"/>
      <c r="L87" s="17"/>
      <c r="M87" s="17"/>
      <c r="N87" s="17"/>
      <c r="O87" s="17"/>
      <c r="P87" s="17" t="str">
        <f t="shared" si="1"/>
        <v>R$ 0.00</v>
      </c>
    </row>
    <row r="88" ht="15.75" customHeight="1">
      <c r="A88" s="22"/>
      <c r="B88" s="16" t="str">
        <f t="shared" si="2"/>
        <v/>
      </c>
      <c r="C88" s="7"/>
      <c r="D88" s="7"/>
      <c r="E88" s="7"/>
      <c r="F88" s="7"/>
      <c r="G88" s="7"/>
      <c r="H88" s="7"/>
      <c r="I88" s="7"/>
      <c r="J88" s="22"/>
      <c r="K88" s="7"/>
      <c r="L88" s="17"/>
      <c r="M88" s="17"/>
      <c r="N88" s="17"/>
      <c r="O88" s="17"/>
      <c r="P88" s="17" t="str">
        <f t="shared" si="1"/>
        <v>R$ 0.00</v>
      </c>
    </row>
    <row r="89" ht="15.75" customHeight="1">
      <c r="A89" s="22"/>
      <c r="B89" s="16" t="str">
        <f t="shared" si="2"/>
        <v/>
      </c>
      <c r="C89" s="7"/>
      <c r="D89" s="7"/>
      <c r="E89" s="7"/>
      <c r="F89" s="7"/>
      <c r="G89" s="7"/>
      <c r="H89" s="7"/>
      <c r="I89" s="7"/>
      <c r="J89" s="22"/>
      <c r="K89" s="7"/>
      <c r="L89" s="17"/>
      <c r="M89" s="17"/>
      <c r="N89" s="17"/>
      <c r="O89" s="17"/>
      <c r="P89" s="17" t="str">
        <f t="shared" si="1"/>
        <v>R$ 0.00</v>
      </c>
    </row>
    <row r="90" ht="15.75" customHeight="1">
      <c r="A90" s="22"/>
      <c r="B90" s="16" t="str">
        <f t="shared" si="2"/>
        <v/>
      </c>
      <c r="C90" s="7"/>
      <c r="D90" s="7"/>
      <c r="E90" s="7"/>
      <c r="F90" s="7"/>
      <c r="G90" s="7"/>
      <c r="H90" s="7"/>
      <c r="I90" s="7"/>
      <c r="J90" s="22"/>
      <c r="K90" s="7"/>
      <c r="L90" s="17"/>
      <c r="M90" s="17"/>
      <c r="N90" s="17"/>
      <c r="O90" s="17"/>
      <c r="P90" s="17" t="str">
        <f t="shared" si="1"/>
        <v>R$ 0.00</v>
      </c>
    </row>
    <row r="91" ht="15.75" customHeight="1">
      <c r="A91" s="22"/>
      <c r="B91" s="16" t="str">
        <f t="shared" si="2"/>
        <v/>
      </c>
      <c r="C91" s="7"/>
      <c r="D91" s="7"/>
      <c r="E91" s="7"/>
      <c r="F91" s="7"/>
      <c r="G91" s="7"/>
      <c r="H91" s="7"/>
      <c r="I91" s="7"/>
      <c r="J91" s="22"/>
      <c r="K91" s="7"/>
      <c r="L91" s="17"/>
      <c r="M91" s="17"/>
      <c r="N91" s="17"/>
      <c r="O91" s="17"/>
      <c r="P91" s="17" t="str">
        <f t="shared" si="1"/>
        <v>R$ 0.00</v>
      </c>
    </row>
    <row r="92" ht="15.75" customHeight="1">
      <c r="A92" s="22"/>
      <c r="B92" s="16" t="str">
        <f t="shared" si="2"/>
        <v/>
      </c>
      <c r="C92" s="7"/>
      <c r="D92" s="7"/>
      <c r="E92" s="7"/>
      <c r="F92" s="7"/>
      <c r="G92" s="7"/>
      <c r="H92" s="7"/>
      <c r="I92" s="7"/>
      <c r="J92" s="22"/>
      <c r="K92" s="7"/>
      <c r="L92" s="17"/>
      <c r="M92" s="17"/>
      <c r="N92" s="17"/>
      <c r="O92" s="17"/>
      <c r="P92" s="17" t="str">
        <f t="shared" si="1"/>
        <v>R$ 0.00</v>
      </c>
    </row>
    <row r="93" ht="15.75" customHeight="1">
      <c r="A93" s="22"/>
      <c r="B93" s="16" t="str">
        <f t="shared" si="2"/>
        <v/>
      </c>
      <c r="C93" s="7"/>
      <c r="D93" s="7"/>
      <c r="E93" s="7"/>
      <c r="F93" s="7"/>
      <c r="G93" s="7"/>
      <c r="H93" s="7"/>
      <c r="I93" s="7"/>
      <c r="J93" s="22"/>
      <c r="K93" s="7"/>
      <c r="L93" s="17"/>
      <c r="M93" s="17"/>
      <c r="N93" s="17"/>
      <c r="O93" s="17"/>
      <c r="P93" s="17" t="str">
        <f t="shared" si="1"/>
        <v>R$ 0.00</v>
      </c>
    </row>
    <row r="94" ht="15.75" customHeight="1">
      <c r="A94" s="22"/>
      <c r="B94" s="16" t="str">
        <f t="shared" si="2"/>
        <v/>
      </c>
      <c r="C94" s="7"/>
      <c r="D94" s="7"/>
      <c r="E94" s="7"/>
      <c r="F94" s="7"/>
      <c r="G94" s="7"/>
      <c r="H94" s="7"/>
      <c r="I94" s="7"/>
      <c r="J94" s="22"/>
      <c r="K94" s="7"/>
      <c r="L94" s="17"/>
      <c r="M94" s="17"/>
      <c r="N94" s="17"/>
      <c r="O94" s="17"/>
      <c r="P94" s="17" t="str">
        <f t="shared" si="1"/>
        <v>R$ 0.00</v>
      </c>
    </row>
    <row r="95" ht="15.75" customHeight="1">
      <c r="A95" s="22"/>
      <c r="B95" s="16" t="str">
        <f t="shared" si="2"/>
        <v/>
      </c>
      <c r="C95" s="7"/>
      <c r="D95" s="7"/>
      <c r="E95" s="7"/>
      <c r="F95" s="7"/>
      <c r="G95" s="7"/>
      <c r="H95" s="7"/>
      <c r="I95" s="7"/>
      <c r="J95" s="22"/>
      <c r="K95" s="7"/>
      <c r="L95" s="17"/>
      <c r="M95" s="17"/>
      <c r="N95" s="17"/>
      <c r="O95" s="17"/>
      <c r="P95" s="17" t="str">
        <f t="shared" si="1"/>
        <v>R$ 0.00</v>
      </c>
    </row>
    <row r="96" ht="15.75" customHeight="1">
      <c r="A96" s="22"/>
      <c r="B96" s="16" t="str">
        <f t="shared" si="2"/>
        <v/>
      </c>
      <c r="C96" s="7"/>
      <c r="D96" s="7"/>
      <c r="E96" s="7"/>
      <c r="F96" s="7"/>
      <c r="G96" s="7"/>
      <c r="H96" s="7"/>
      <c r="I96" s="7"/>
      <c r="J96" s="22"/>
      <c r="K96" s="7"/>
      <c r="L96" s="17"/>
      <c r="M96" s="17"/>
      <c r="N96" s="17"/>
      <c r="O96" s="17"/>
      <c r="P96" s="17" t="str">
        <f t="shared" si="1"/>
        <v>R$ 0.00</v>
      </c>
    </row>
    <row r="97" ht="15.75" customHeight="1">
      <c r="A97" s="22"/>
      <c r="B97" s="16" t="str">
        <f t="shared" si="2"/>
        <v/>
      </c>
      <c r="C97" s="7"/>
      <c r="D97" s="7"/>
      <c r="E97" s="7"/>
      <c r="F97" s="7"/>
      <c r="G97" s="7"/>
      <c r="H97" s="7"/>
      <c r="I97" s="7"/>
      <c r="J97" s="22"/>
      <c r="K97" s="7"/>
      <c r="L97" s="17"/>
      <c r="M97" s="17"/>
      <c r="N97" s="17"/>
      <c r="O97" s="17"/>
      <c r="P97" s="17" t="str">
        <f t="shared" si="1"/>
        <v>R$ 0.00</v>
      </c>
    </row>
    <row r="98" ht="15.75" customHeight="1">
      <c r="A98" s="22"/>
      <c r="B98" s="16" t="str">
        <f t="shared" si="2"/>
        <v/>
      </c>
      <c r="C98" s="7"/>
      <c r="D98" s="7"/>
      <c r="E98" s="7"/>
      <c r="F98" s="7"/>
      <c r="G98" s="7"/>
      <c r="H98" s="7"/>
      <c r="I98" s="7"/>
      <c r="J98" s="22"/>
      <c r="K98" s="7"/>
      <c r="L98" s="17"/>
      <c r="M98" s="17"/>
      <c r="N98" s="17"/>
      <c r="O98" s="17"/>
      <c r="P98" s="17" t="str">
        <f t="shared" si="1"/>
        <v>R$ 0.00</v>
      </c>
    </row>
    <row r="99" ht="15.75" customHeight="1">
      <c r="A99" s="22"/>
      <c r="B99" s="16" t="str">
        <f t="shared" si="2"/>
        <v/>
      </c>
      <c r="C99" s="7"/>
      <c r="D99" s="7"/>
      <c r="E99" s="7"/>
      <c r="F99" s="7"/>
      <c r="G99" s="7"/>
      <c r="H99" s="7"/>
      <c r="I99" s="7"/>
      <c r="J99" s="22"/>
      <c r="K99" s="7"/>
      <c r="L99" s="17"/>
      <c r="M99" s="17"/>
      <c r="N99" s="17"/>
      <c r="O99" s="17"/>
      <c r="P99" s="17" t="str">
        <f t="shared" si="1"/>
        <v>R$ 0.00</v>
      </c>
    </row>
    <row r="100" ht="15.75" customHeight="1">
      <c r="A100" s="22"/>
      <c r="B100" s="16" t="str">
        <f t="shared" si="2"/>
        <v/>
      </c>
      <c r="C100" s="7"/>
      <c r="D100" s="7"/>
      <c r="E100" s="7"/>
      <c r="F100" s="7"/>
      <c r="G100" s="7"/>
      <c r="H100" s="7"/>
      <c r="I100" s="7"/>
      <c r="J100" s="22"/>
      <c r="K100" s="7"/>
      <c r="L100" s="17"/>
      <c r="M100" s="17"/>
      <c r="N100" s="17"/>
      <c r="O100" s="17"/>
      <c r="P100" s="17" t="str">
        <f t="shared" si="1"/>
        <v>R$ 0.00</v>
      </c>
    </row>
    <row r="101" ht="15.75" customHeight="1">
      <c r="A101" s="22"/>
      <c r="B101" s="16" t="str">
        <f t="shared" si="2"/>
        <v/>
      </c>
      <c r="C101" s="7"/>
      <c r="D101" s="7"/>
      <c r="E101" s="7"/>
      <c r="F101" s="7"/>
      <c r="G101" s="7"/>
      <c r="H101" s="7"/>
      <c r="I101" s="7"/>
      <c r="J101" s="22"/>
      <c r="K101" s="7"/>
      <c r="L101" s="17"/>
      <c r="M101" s="17"/>
      <c r="N101" s="17"/>
      <c r="O101" s="17"/>
      <c r="P101" s="17" t="str">
        <f t="shared" si="1"/>
        <v>R$ 0.00</v>
      </c>
    </row>
    <row r="102" ht="15.75" customHeight="1">
      <c r="A102" s="22"/>
      <c r="B102" s="16" t="str">
        <f t="shared" si="2"/>
        <v/>
      </c>
      <c r="C102" s="7"/>
      <c r="D102" s="7"/>
      <c r="E102" s="7"/>
      <c r="F102" s="7"/>
      <c r="G102" s="7"/>
      <c r="H102" s="7"/>
      <c r="I102" s="7"/>
      <c r="J102" s="22"/>
      <c r="K102" s="7"/>
      <c r="L102" s="17"/>
      <c r="M102" s="17"/>
      <c r="N102" s="17"/>
      <c r="O102" s="17"/>
      <c r="P102" s="17" t="str">
        <f t="shared" si="1"/>
        <v>R$ 0.00</v>
      </c>
    </row>
    <row r="103" ht="15.75" customHeight="1">
      <c r="A103" s="22"/>
      <c r="B103" s="16" t="str">
        <f t="shared" si="2"/>
        <v/>
      </c>
      <c r="C103" s="7"/>
      <c r="D103" s="7"/>
      <c r="E103" s="7"/>
      <c r="F103" s="7"/>
      <c r="G103" s="7"/>
      <c r="H103" s="7"/>
      <c r="I103" s="7"/>
      <c r="J103" s="22"/>
      <c r="K103" s="7"/>
      <c r="L103" s="17"/>
      <c r="M103" s="17"/>
      <c r="N103" s="17"/>
      <c r="O103" s="17"/>
      <c r="P103" s="17" t="str">
        <f t="shared" si="1"/>
        <v>R$ 0.00</v>
      </c>
    </row>
    <row r="104" ht="15.75" customHeight="1">
      <c r="A104" s="22"/>
      <c r="B104" s="16" t="str">
        <f t="shared" si="2"/>
        <v/>
      </c>
      <c r="C104" s="7"/>
      <c r="D104" s="7"/>
      <c r="E104" s="7"/>
      <c r="F104" s="7"/>
      <c r="G104" s="7"/>
      <c r="H104" s="7"/>
      <c r="I104" s="7"/>
      <c r="J104" s="22"/>
      <c r="K104" s="7"/>
      <c r="L104" s="17"/>
      <c r="M104" s="17"/>
      <c r="N104" s="17"/>
      <c r="O104" s="17"/>
      <c r="P104" s="17" t="str">
        <f t="shared" si="1"/>
        <v>R$ 0.00</v>
      </c>
    </row>
    <row r="105" ht="15.75" customHeight="1">
      <c r="A105" s="22"/>
      <c r="B105" s="16" t="str">
        <f t="shared" si="2"/>
        <v/>
      </c>
      <c r="C105" s="7"/>
      <c r="D105" s="7"/>
      <c r="E105" s="7"/>
      <c r="F105" s="7"/>
      <c r="G105" s="7"/>
      <c r="H105" s="7"/>
      <c r="I105" s="7"/>
      <c r="J105" s="22"/>
      <c r="K105" s="7"/>
      <c r="L105" s="17"/>
      <c r="M105" s="17"/>
      <c r="N105" s="17"/>
      <c r="O105" s="17"/>
      <c r="P105" s="17" t="str">
        <f t="shared" si="1"/>
        <v>R$ 0.00</v>
      </c>
    </row>
    <row r="106" ht="15.75" customHeight="1">
      <c r="A106" s="22"/>
      <c r="B106" s="16" t="str">
        <f t="shared" si="2"/>
        <v/>
      </c>
      <c r="C106" s="7"/>
      <c r="D106" s="7"/>
      <c r="E106" s="7"/>
      <c r="F106" s="7"/>
      <c r="G106" s="7"/>
      <c r="H106" s="7"/>
      <c r="I106" s="7"/>
      <c r="J106" s="22"/>
      <c r="K106" s="7"/>
      <c r="L106" s="17"/>
      <c r="M106" s="17"/>
      <c r="N106" s="17"/>
      <c r="O106" s="17"/>
      <c r="P106" s="17" t="str">
        <f t="shared" si="1"/>
        <v>R$ 0.00</v>
      </c>
    </row>
    <row r="107" ht="15.75" customHeight="1">
      <c r="A107" s="22"/>
      <c r="B107" s="16" t="str">
        <f t="shared" si="2"/>
        <v/>
      </c>
      <c r="C107" s="7"/>
      <c r="D107" s="7"/>
      <c r="E107" s="7"/>
      <c r="F107" s="7"/>
      <c r="G107" s="7"/>
      <c r="H107" s="7"/>
      <c r="I107" s="7"/>
      <c r="J107" s="22"/>
      <c r="K107" s="7"/>
      <c r="L107" s="17"/>
      <c r="M107" s="17"/>
      <c r="N107" s="17"/>
      <c r="O107" s="17"/>
      <c r="P107" s="17" t="str">
        <f t="shared" si="1"/>
        <v>R$ 0.00</v>
      </c>
    </row>
    <row r="108" ht="15.75" customHeight="1">
      <c r="A108" s="22"/>
      <c r="B108" s="16" t="str">
        <f t="shared" si="2"/>
        <v/>
      </c>
      <c r="C108" s="7"/>
      <c r="D108" s="7"/>
      <c r="E108" s="7"/>
      <c r="F108" s="7"/>
      <c r="G108" s="7"/>
      <c r="H108" s="7"/>
      <c r="I108" s="7"/>
      <c r="J108" s="22"/>
      <c r="K108" s="7"/>
      <c r="L108" s="17"/>
      <c r="M108" s="17"/>
      <c r="N108" s="17"/>
      <c r="O108" s="17"/>
      <c r="P108" s="17" t="str">
        <f t="shared" si="1"/>
        <v>R$ 0.00</v>
      </c>
    </row>
    <row r="109" ht="15.75" customHeight="1">
      <c r="A109" s="22"/>
      <c r="B109" s="16" t="str">
        <f t="shared" si="2"/>
        <v/>
      </c>
      <c r="C109" s="7"/>
      <c r="D109" s="7"/>
      <c r="E109" s="7"/>
      <c r="F109" s="7"/>
      <c r="G109" s="7"/>
      <c r="H109" s="7"/>
      <c r="I109" s="7"/>
      <c r="J109" s="22"/>
      <c r="K109" s="7"/>
      <c r="L109" s="17"/>
      <c r="M109" s="17"/>
      <c r="N109" s="17"/>
      <c r="O109" s="17"/>
      <c r="P109" s="17" t="str">
        <f t="shared" si="1"/>
        <v>R$ 0.00</v>
      </c>
    </row>
    <row r="110" ht="15.75" customHeight="1">
      <c r="A110" s="22"/>
      <c r="B110" s="16" t="str">
        <f t="shared" si="2"/>
        <v/>
      </c>
      <c r="C110" s="7"/>
      <c r="D110" s="7"/>
      <c r="E110" s="7"/>
      <c r="F110" s="7"/>
      <c r="G110" s="7"/>
      <c r="H110" s="7"/>
      <c r="I110" s="7"/>
      <c r="J110" s="22"/>
      <c r="K110" s="7"/>
      <c r="L110" s="17"/>
      <c r="M110" s="17"/>
      <c r="N110" s="17"/>
      <c r="O110" s="17"/>
      <c r="P110" s="17" t="str">
        <f t="shared" si="1"/>
        <v>R$ 0.00</v>
      </c>
    </row>
    <row r="111" ht="15.75" customHeight="1">
      <c r="A111" s="22"/>
      <c r="B111" s="16" t="str">
        <f t="shared" si="2"/>
        <v/>
      </c>
      <c r="C111" s="7"/>
      <c r="D111" s="7"/>
      <c r="E111" s="7"/>
      <c r="F111" s="7"/>
      <c r="G111" s="7"/>
      <c r="H111" s="7"/>
      <c r="I111" s="7"/>
      <c r="J111" s="22"/>
      <c r="K111" s="7"/>
      <c r="L111" s="17"/>
      <c r="M111" s="17"/>
      <c r="N111" s="17"/>
      <c r="O111" s="17"/>
      <c r="P111" s="17" t="str">
        <f t="shared" si="1"/>
        <v>R$ 0.00</v>
      </c>
    </row>
    <row r="112" ht="15.75" customHeight="1">
      <c r="A112" s="22"/>
      <c r="B112" s="16" t="str">
        <f t="shared" si="2"/>
        <v/>
      </c>
      <c r="C112" s="7"/>
      <c r="D112" s="7"/>
      <c r="E112" s="7"/>
      <c r="F112" s="7"/>
      <c r="G112" s="7"/>
      <c r="H112" s="7"/>
      <c r="I112" s="7"/>
      <c r="J112" s="22"/>
      <c r="K112" s="7"/>
      <c r="L112" s="17"/>
      <c r="M112" s="17"/>
      <c r="N112" s="17"/>
      <c r="O112" s="17"/>
      <c r="P112" s="17" t="str">
        <f t="shared" si="1"/>
        <v>R$ 0.00</v>
      </c>
    </row>
    <row r="113" ht="15.75" customHeight="1">
      <c r="A113" s="22"/>
      <c r="B113" s="16" t="str">
        <f t="shared" si="2"/>
        <v/>
      </c>
      <c r="C113" s="7"/>
      <c r="D113" s="7"/>
      <c r="E113" s="7"/>
      <c r="F113" s="7"/>
      <c r="G113" s="7"/>
      <c r="H113" s="7"/>
      <c r="I113" s="7"/>
      <c r="J113" s="22"/>
      <c r="K113" s="7"/>
      <c r="L113" s="17"/>
      <c r="M113" s="17"/>
      <c r="N113" s="17"/>
      <c r="O113" s="17"/>
      <c r="P113" s="17" t="str">
        <f t="shared" si="1"/>
        <v>R$ 0.00</v>
      </c>
    </row>
    <row r="114" ht="15.75" customHeight="1">
      <c r="A114" s="22"/>
      <c r="B114" s="16" t="str">
        <f t="shared" si="2"/>
        <v/>
      </c>
      <c r="C114" s="7"/>
      <c r="D114" s="7"/>
      <c r="E114" s="7"/>
      <c r="F114" s="7"/>
      <c r="G114" s="7"/>
      <c r="H114" s="7"/>
      <c r="I114" s="7"/>
      <c r="J114" s="22"/>
      <c r="K114" s="7"/>
      <c r="L114" s="17"/>
      <c r="M114" s="17"/>
      <c r="N114" s="17"/>
      <c r="O114" s="17"/>
      <c r="P114" s="17" t="str">
        <f t="shared" si="1"/>
        <v>R$ 0.00</v>
      </c>
    </row>
    <row r="115" ht="15.75" customHeight="1">
      <c r="A115" s="22"/>
      <c r="B115" s="16" t="str">
        <f t="shared" si="2"/>
        <v/>
      </c>
      <c r="C115" s="7"/>
      <c r="D115" s="7"/>
      <c r="E115" s="7"/>
      <c r="F115" s="7"/>
      <c r="G115" s="7"/>
      <c r="H115" s="7"/>
      <c r="I115" s="7"/>
      <c r="J115" s="22"/>
      <c r="K115" s="7"/>
      <c r="L115" s="17"/>
      <c r="M115" s="17"/>
      <c r="N115" s="17"/>
      <c r="O115" s="17"/>
      <c r="P115" s="17" t="str">
        <f t="shared" si="1"/>
        <v>R$ 0.00</v>
      </c>
    </row>
    <row r="116" ht="15.75" customHeight="1">
      <c r="A116" s="22"/>
      <c r="B116" s="16" t="str">
        <f t="shared" si="2"/>
        <v/>
      </c>
      <c r="C116" s="7"/>
      <c r="D116" s="7"/>
      <c r="E116" s="7"/>
      <c r="F116" s="7"/>
      <c r="G116" s="7"/>
      <c r="H116" s="7"/>
      <c r="I116" s="7"/>
      <c r="J116" s="22"/>
      <c r="K116" s="7"/>
      <c r="L116" s="17"/>
      <c r="M116" s="17"/>
      <c r="N116" s="17"/>
      <c r="O116" s="17"/>
      <c r="P116" s="17" t="str">
        <f t="shared" si="1"/>
        <v>R$ 0.00</v>
      </c>
    </row>
    <row r="117" ht="15.75" customHeight="1">
      <c r="A117" s="22"/>
      <c r="B117" s="16" t="str">
        <f t="shared" si="2"/>
        <v/>
      </c>
      <c r="C117" s="7"/>
      <c r="D117" s="7"/>
      <c r="E117" s="7"/>
      <c r="F117" s="7"/>
      <c r="G117" s="7"/>
      <c r="H117" s="7"/>
      <c r="I117" s="7"/>
      <c r="J117" s="22"/>
      <c r="K117" s="7"/>
      <c r="L117" s="17"/>
      <c r="M117" s="17"/>
      <c r="N117" s="17"/>
      <c r="O117" s="17"/>
      <c r="P117" s="17" t="str">
        <f t="shared" si="1"/>
        <v>R$ 0.00</v>
      </c>
    </row>
    <row r="118" ht="15.75" customHeight="1">
      <c r="A118" s="22"/>
      <c r="B118" s="16" t="str">
        <f t="shared" si="2"/>
        <v/>
      </c>
      <c r="C118" s="7"/>
      <c r="D118" s="7"/>
      <c r="E118" s="7"/>
      <c r="F118" s="7"/>
      <c r="G118" s="7"/>
      <c r="H118" s="7"/>
      <c r="I118" s="7"/>
      <c r="J118" s="22"/>
      <c r="K118" s="7"/>
      <c r="L118" s="17"/>
      <c r="M118" s="17"/>
      <c r="N118" s="17"/>
      <c r="O118" s="17"/>
      <c r="P118" s="17" t="str">
        <f t="shared" si="1"/>
        <v>R$ 0.00</v>
      </c>
    </row>
    <row r="119" ht="15.75" customHeight="1">
      <c r="A119" s="22"/>
      <c r="B119" s="16" t="str">
        <f t="shared" si="2"/>
        <v/>
      </c>
      <c r="C119" s="7"/>
      <c r="D119" s="7"/>
      <c r="E119" s="7"/>
      <c r="F119" s="7"/>
      <c r="G119" s="7"/>
      <c r="H119" s="7"/>
      <c r="I119" s="7"/>
      <c r="J119" s="22"/>
      <c r="K119" s="7"/>
      <c r="L119" s="17"/>
      <c r="M119" s="17"/>
      <c r="N119" s="17"/>
      <c r="O119" s="17"/>
      <c r="P119" s="17" t="str">
        <f t="shared" si="1"/>
        <v>R$ 0.00</v>
      </c>
    </row>
    <row r="120" ht="15.75" customHeight="1">
      <c r="A120" s="22"/>
      <c r="B120" s="16" t="str">
        <f t="shared" si="2"/>
        <v/>
      </c>
      <c r="C120" s="7"/>
      <c r="D120" s="7"/>
      <c r="E120" s="7"/>
      <c r="F120" s="7"/>
      <c r="G120" s="7"/>
      <c r="H120" s="7"/>
      <c r="I120" s="7"/>
      <c r="J120" s="22"/>
      <c r="K120" s="7"/>
      <c r="L120" s="17"/>
      <c r="M120" s="17"/>
      <c r="N120" s="17"/>
      <c r="O120" s="17"/>
      <c r="P120" s="17" t="str">
        <f t="shared" si="1"/>
        <v>R$ 0.00</v>
      </c>
    </row>
    <row r="121" ht="15.75" customHeight="1">
      <c r="A121" s="22"/>
      <c r="B121" s="16" t="str">
        <f t="shared" si="2"/>
        <v/>
      </c>
      <c r="C121" s="7"/>
      <c r="D121" s="7"/>
      <c r="E121" s="7"/>
      <c r="F121" s="7"/>
      <c r="G121" s="7"/>
      <c r="H121" s="7"/>
      <c r="I121" s="7"/>
      <c r="J121" s="22"/>
      <c r="K121" s="7"/>
      <c r="L121" s="17"/>
      <c r="M121" s="17"/>
      <c r="N121" s="17"/>
      <c r="O121" s="17"/>
      <c r="P121" s="17" t="str">
        <f t="shared" si="1"/>
        <v>R$ 0.00</v>
      </c>
    </row>
    <row r="122" ht="15.75" customHeight="1">
      <c r="A122" s="22"/>
      <c r="B122" s="16" t="str">
        <f t="shared" si="2"/>
        <v/>
      </c>
      <c r="C122" s="7"/>
      <c r="D122" s="7"/>
      <c r="E122" s="7"/>
      <c r="F122" s="7"/>
      <c r="G122" s="7"/>
      <c r="H122" s="7"/>
      <c r="I122" s="7"/>
      <c r="J122" s="22"/>
      <c r="K122" s="7"/>
      <c r="L122" s="17"/>
      <c r="M122" s="17"/>
      <c r="N122" s="17"/>
      <c r="O122" s="17"/>
      <c r="P122" s="17" t="str">
        <f t="shared" si="1"/>
        <v>R$ 0.00</v>
      </c>
    </row>
    <row r="123" ht="15.75" customHeight="1">
      <c r="A123" s="22"/>
      <c r="B123" s="16" t="str">
        <f t="shared" si="2"/>
        <v/>
      </c>
      <c r="C123" s="7"/>
      <c r="D123" s="7"/>
      <c r="E123" s="7"/>
      <c r="F123" s="7"/>
      <c r="G123" s="7"/>
      <c r="H123" s="7"/>
      <c r="I123" s="7"/>
      <c r="J123" s="22"/>
      <c r="K123" s="7"/>
      <c r="L123" s="17"/>
      <c r="M123" s="17"/>
      <c r="N123" s="17"/>
      <c r="O123" s="17"/>
      <c r="P123" s="17" t="str">
        <f t="shared" si="1"/>
        <v>R$ 0.00</v>
      </c>
    </row>
    <row r="124" ht="15.75" customHeight="1">
      <c r="A124" s="22"/>
      <c r="B124" s="16" t="str">
        <f t="shared" si="2"/>
        <v/>
      </c>
      <c r="C124" s="7"/>
      <c r="D124" s="7"/>
      <c r="E124" s="7"/>
      <c r="F124" s="7"/>
      <c r="G124" s="7"/>
      <c r="H124" s="7"/>
      <c r="I124" s="7"/>
      <c r="J124" s="22"/>
      <c r="K124" s="7"/>
      <c r="L124" s="17"/>
      <c r="M124" s="17"/>
      <c r="N124" s="17"/>
      <c r="O124" s="17"/>
      <c r="P124" s="17" t="str">
        <f t="shared" si="1"/>
        <v>R$ 0.00</v>
      </c>
    </row>
    <row r="125" ht="15.75" customHeight="1">
      <c r="A125" s="22"/>
      <c r="B125" s="16" t="str">
        <f t="shared" si="2"/>
        <v/>
      </c>
      <c r="C125" s="7"/>
      <c r="D125" s="7"/>
      <c r="E125" s="7"/>
      <c r="F125" s="7"/>
      <c r="G125" s="7"/>
      <c r="H125" s="7"/>
      <c r="I125" s="7"/>
      <c r="J125" s="22"/>
      <c r="K125" s="7"/>
      <c r="L125" s="17"/>
      <c r="M125" s="17"/>
      <c r="N125" s="17"/>
      <c r="O125" s="17"/>
      <c r="P125" s="17" t="str">
        <f t="shared" si="1"/>
        <v>R$ 0.00</v>
      </c>
    </row>
    <row r="126" ht="15.75" customHeight="1">
      <c r="A126" s="22"/>
      <c r="B126" s="16" t="str">
        <f t="shared" si="2"/>
        <v/>
      </c>
      <c r="C126" s="7"/>
      <c r="D126" s="7"/>
      <c r="E126" s="7"/>
      <c r="F126" s="7"/>
      <c r="G126" s="7"/>
      <c r="H126" s="7"/>
      <c r="I126" s="7"/>
      <c r="J126" s="22"/>
      <c r="K126" s="7"/>
      <c r="L126" s="17"/>
      <c r="M126" s="17"/>
      <c r="N126" s="17"/>
      <c r="O126" s="17"/>
      <c r="P126" s="17" t="str">
        <f t="shared" si="1"/>
        <v>R$ 0.00</v>
      </c>
    </row>
    <row r="127" ht="15.75" customHeight="1">
      <c r="A127" s="22"/>
      <c r="B127" s="16" t="str">
        <f t="shared" si="2"/>
        <v/>
      </c>
      <c r="C127" s="7"/>
      <c r="D127" s="7"/>
      <c r="E127" s="7"/>
      <c r="F127" s="7"/>
      <c r="G127" s="7"/>
      <c r="H127" s="7"/>
      <c r="I127" s="7"/>
      <c r="J127" s="22"/>
      <c r="K127" s="7"/>
      <c r="L127" s="17"/>
      <c r="M127" s="17"/>
      <c r="N127" s="17"/>
      <c r="O127" s="17"/>
      <c r="P127" s="17" t="str">
        <f t="shared" si="1"/>
        <v>R$ 0.00</v>
      </c>
    </row>
    <row r="128" ht="15.75" customHeight="1">
      <c r="A128" s="22"/>
      <c r="B128" s="16" t="str">
        <f t="shared" si="2"/>
        <v/>
      </c>
      <c r="C128" s="7"/>
      <c r="D128" s="7"/>
      <c r="E128" s="7"/>
      <c r="F128" s="7"/>
      <c r="G128" s="7"/>
      <c r="H128" s="7"/>
      <c r="I128" s="7"/>
      <c r="J128" s="22"/>
      <c r="K128" s="7"/>
      <c r="L128" s="17"/>
      <c r="M128" s="17"/>
      <c r="N128" s="17"/>
      <c r="O128" s="17"/>
      <c r="P128" s="17" t="str">
        <f t="shared" si="1"/>
        <v>R$ 0.00</v>
      </c>
    </row>
    <row r="129" ht="15.75" customHeight="1">
      <c r="A129" s="22"/>
      <c r="B129" s="16" t="str">
        <f t="shared" si="2"/>
        <v/>
      </c>
      <c r="C129" s="7"/>
      <c r="D129" s="7"/>
      <c r="E129" s="7"/>
      <c r="F129" s="7"/>
      <c r="G129" s="7"/>
      <c r="H129" s="7"/>
      <c r="I129" s="7"/>
      <c r="J129" s="22"/>
      <c r="K129" s="7"/>
      <c r="L129" s="17"/>
      <c r="M129" s="17"/>
      <c r="N129" s="17"/>
      <c r="O129" s="17"/>
      <c r="P129" s="17" t="str">
        <f t="shared" si="1"/>
        <v>R$ 0.00</v>
      </c>
    </row>
    <row r="130" ht="15.75" customHeight="1">
      <c r="A130" s="22"/>
      <c r="B130" s="16" t="str">
        <f t="shared" si="2"/>
        <v/>
      </c>
      <c r="C130" s="7"/>
      <c r="D130" s="7"/>
      <c r="E130" s="7"/>
      <c r="F130" s="7"/>
      <c r="G130" s="7"/>
      <c r="H130" s="7"/>
      <c r="I130" s="7"/>
      <c r="J130" s="22"/>
      <c r="K130" s="7"/>
      <c r="L130" s="17"/>
      <c r="M130" s="17"/>
      <c r="N130" s="17"/>
      <c r="O130" s="17"/>
      <c r="P130" s="17" t="str">
        <f t="shared" si="1"/>
        <v>R$ 0.00</v>
      </c>
    </row>
    <row r="131" ht="15.75" customHeight="1">
      <c r="A131" s="22"/>
      <c r="B131" s="16" t="str">
        <f t="shared" si="2"/>
        <v/>
      </c>
      <c r="C131" s="7"/>
      <c r="D131" s="7"/>
      <c r="E131" s="7"/>
      <c r="F131" s="7"/>
      <c r="G131" s="7"/>
      <c r="H131" s="7"/>
      <c r="I131" s="7"/>
      <c r="J131" s="22"/>
      <c r="K131" s="7"/>
      <c r="L131" s="17"/>
      <c r="M131" s="17"/>
      <c r="N131" s="17"/>
      <c r="O131" s="17"/>
      <c r="P131" s="17" t="str">
        <f t="shared" si="1"/>
        <v>R$ 0.00</v>
      </c>
    </row>
    <row r="132" ht="15.75" customHeight="1">
      <c r="A132" s="22"/>
      <c r="B132" s="16" t="str">
        <f t="shared" si="2"/>
        <v/>
      </c>
      <c r="C132" s="7"/>
      <c r="D132" s="7"/>
      <c r="E132" s="7"/>
      <c r="F132" s="7"/>
      <c r="G132" s="7"/>
      <c r="H132" s="7"/>
      <c r="I132" s="7"/>
      <c r="J132" s="22"/>
      <c r="K132" s="7"/>
      <c r="L132" s="17"/>
      <c r="M132" s="17"/>
      <c r="N132" s="17"/>
      <c r="O132" s="17"/>
      <c r="P132" s="17" t="str">
        <f t="shared" si="1"/>
        <v>R$ 0.00</v>
      </c>
    </row>
    <row r="133" ht="15.75" customHeight="1">
      <c r="A133" s="22"/>
      <c r="B133" s="16" t="str">
        <f t="shared" si="2"/>
        <v/>
      </c>
      <c r="C133" s="7"/>
      <c r="D133" s="7"/>
      <c r="E133" s="7"/>
      <c r="F133" s="7"/>
      <c r="G133" s="7"/>
      <c r="H133" s="7"/>
      <c r="I133" s="7"/>
      <c r="J133" s="22"/>
      <c r="K133" s="7"/>
      <c r="L133" s="17"/>
      <c r="M133" s="17"/>
      <c r="N133" s="17"/>
      <c r="O133" s="17"/>
      <c r="P133" s="17" t="str">
        <f t="shared" si="1"/>
        <v>R$ 0.00</v>
      </c>
    </row>
    <row r="134" ht="15.75" customHeight="1">
      <c r="A134" s="22"/>
      <c r="B134" s="16" t="str">
        <f t="shared" si="2"/>
        <v/>
      </c>
      <c r="C134" s="7"/>
      <c r="D134" s="7"/>
      <c r="E134" s="7"/>
      <c r="F134" s="7"/>
      <c r="G134" s="7"/>
      <c r="H134" s="7"/>
      <c r="I134" s="7"/>
      <c r="J134" s="22"/>
      <c r="K134" s="7"/>
      <c r="L134" s="17"/>
      <c r="M134" s="17"/>
      <c r="N134" s="17"/>
      <c r="O134" s="17"/>
      <c r="P134" s="17" t="str">
        <f t="shared" si="1"/>
        <v>R$ 0.00</v>
      </c>
    </row>
    <row r="135" ht="15.75" customHeight="1">
      <c r="A135" s="22"/>
      <c r="B135" s="16" t="str">
        <f t="shared" si="2"/>
        <v/>
      </c>
      <c r="C135" s="7"/>
      <c r="D135" s="7"/>
      <c r="E135" s="7"/>
      <c r="F135" s="7"/>
      <c r="G135" s="7"/>
      <c r="H135" s="7"/>
      <c r="I135" s="7"/>
      <c r="J135" s="22"/>
      <c r="K135" s="7"/>
      <c r="L135" s="17"/>
      <c r="M135" s="17"/>
      <c r="N135" s="17"/>
      <c r="O135" s="17"/>
      <c r="P135" s="17" t="str">
        <f t="shared" si="1"/>
        <v>R$ 0.00</v>
      </c>
    </row>
    <row r="136" ht="15.75" customHeight="1">
      <c r="A136" s="22"/>
      <c r="B136" s="16" t="str">
        <f t="shared" si="2"/>
        <v/>
      </c>
      <c r="C136" s="7"/>
      <c r="D136" s="7"/>
      <c r="E136" s="7"/>
      <c r="F136" s="7"/>
      <c r="G136" s="7"/>
      <c r="H136" s="7"/>
      <c r="I136" s="7"/>
      <c r="J136" s="22"/>
      <c r="K136" s="7"/>
      <c r="L136" s="17"/>
      <c r="M136" s="17"/>
      <c r="N136" s="17"/>
      <c r="O136" s="17"/>
      <c r="P136" s="17" t="str">
        <f t="shared" si="1"/>
        <v>R$ 0.00</v>
      </c>
    </row>
    <row r="137" ht="15.75" customHeight="1">
      <c r="A137" s="22"/>
      <c r="B137" s="16" t="str">
        <f t="shared" si="2"/>
        <v/>
      </c>
      <c r="C137" s="7"/>
      <c r="D137" s="7"/>
      <c r="E137" s="7"/>
      <c r="F137" s="7"/>
      <c r="G137" s="7"/>
      <c r="H137" s="7"/>
      <c r="I137" s="7"/>
      <c r="J137" s="22"/>
      <c r="K137" s="7"/>
      <c r="L137" s="17"/>
      <c r="M137" s="17"/>
      <c r="N137" s="17"/>
      <c r="O137" s="17"/>
      <c r="P137" s="17" t="str">
        <f t="shared" si="1"/>
        <v>R$ 0.00</v>
      </c>
    </row>
    <row r="138" ht="15.75" customHeight="1">
      <c r="A138" s="22"/>
      <c r="B138" s="16" t="str">
        <f t="shared" si="2"/>
        <v/>
      </c>
      <c r="C138" s="7"/>
      <c r="D138" s="7"/>
      <c r="E138" s="7"/>
      <c r="F138" s="7"/>
      <c r="G138" s="7"/>
      <c r="H138" s="7"/>
      <c r="I138" s="7"/>
      <c r="J138" s="22"/>
      <c r="K138" s="7"/>
      <c r="L138" s="17"/>
      <c r="M138" s="17"/>
      <c r="N138" s="17"/>
      <c r="O138" s="17"/>
      <c r="P138" s="17" t="str">
        <f t="shared" si="1"/>
        <v>R$ 0.00</v>
      </c>
    </row>
    <row r="139" ht="15.75" customHeight="1">
      <c r="A139" s="22"/>
      <c r="B139" s="16" t="str">
        <f t="shared" si="2"/>
        <v/>
      </c>
      <c r="C139" s="7"/>
      <c r="D139" s="7"/>
      <c r="E139" s="7"/>
      <c r="F139" s="7"/>
      <c r="G139" s="7"/>
      <c r="H139" s="7"/>
      <c r="I139" s="7"/>
      <c r="J139" s="22"/>
      <c r="K139" s="7"/>
      <c r="L139" s="17"/>
      <c r="M139" s="17"/>
      <c r="N139" s="17"/>
      <c r="O139" s="17"/>
      <c r="P139" s="17" t="str">
        <f t="shared" si="1"/>
        <v>R$ 0.00</v>
      </c>
    </row>
    <row r="140" ht="15.75" customHeight="1">
      <c r="A140" s="22"/>
      <c r="B140" s="16" t="str">
        <f t="shared" si="2"/>
        <v/>
      </c>
      <c r="C140" s="7"/>
      <c r="D140" s="7"/>
      <c r="E140" s="7"/>
      <c r="F140" s="7"/>
      <c r="G140" s="7"/>
      <c r="H140" s="7"/>
      <c r="I140" s="7"/>
      <c r="J140" s="22"/>
      <c r="K140" s="7"/>
      <c r="L140" s="17"/>
      <c r="M140" s="17"/>
      <c r="N140" s="17"/>
      <c r="O140" s="17"/>
      <c r="P140" s="17" t="str">
        <f t="shared" si="1"/>
        <v>R$ 0.00</v>
      </c>
    </row>
    <row r="141" ht="15.75" customHeight="1">
      <c r="A141" s="22"/>
      <c r="B141" s="16" t="str">
        <f t="shared" si="2"/>
        <v/>
      </c>
      <c r="C141" s="7"/>
      <c r="D141" s="7"/>
      <c r="E141" s="7"/>
      <c r="F141" s="7"/>
      <c r="G141" s="7"/>
      <c r="H141" s="7"/>
      <c r="I141" s="7"/>
      <c r="J141" s="22"/>
      <c r="K141" s="7"/>
      <c r="L141" s="17"/>
      <c r="M141" s="17"/>
      <c r="N141" s="17"/>
      <c r="O141" s="17"/>
      <c r="P141" s="17" t="str">
        <f t="shared" si="1"/>
        <v>R$ 0.00</v>
      </c>
    </row>
    <row r="142" ht="15.75" customHeight="1">
      <c r="A142" s="22"/>
      <c r="B142" s="16" t="str">
        <f t="shared" si="2"/>
        <v/>
      </c>
      <c r="C142" s="7"/>
      <c r="D142" s="7"/>
      <c r="E142" s="7"/>
      <c r="F142" s="7"/>
      <c r="G142" s="7"/>
      <c r="H142" s="7"/>
      <c r="I142" s="7"/>
      <c r="J142" s="22"/>
      <c r="K142" s="7"/>
      <c r="L142" s="17"/>
      <c r="M142" s="17"/>
      <c r="N142" s="17"/>
      <c r="O142" s="17"/>
      <c r="P142" s="17" t="str">
        <f t="shared" si="1"/>
        <v>R$ 0.00</v>
      </c>
    </row>
    <row r="143" ht="15.75" customHeight="1">
      <c r="A143" s="22"/>
      <c r="B143" s="16" t="str">
        <f t="shared" si="2"/>
        <v/>
      </c>
      <c r="C143" s="7"/>
      <c r="D143" s="7"/>
      <c r="E143" s="7"/>
      <c r="F143" s="7"/>
      <c r="G143" s="7"/>
      <c r="H143" s="7"/>
      <c r="I143" s="7"/>
      <c r="J143" s="22"/>
      <c r="K143" s="7"/>
      <c r="L143" s="17"/>
      <c r="M143" s="17"/>
      <c r="N143" s="17"/>
      <c r="O143" s="17"/>
      <c r="P143" s="17" t="str">
        <f t="shared" si="1"/>
        <v>R$ 0.00</v>
      </c>
    </row>
    <row r="144" ht="15.75" customHeight="1">
      <c r="A144" s="22"/>
      <c r="B144" s="16" t="str">
        <f t="shared" si="2"/>
        <v/>
      </c>
      <c r="C144" s="7"/>
      <c r="D144" s="7"/>
      <c r="E144" s="7"/>
      <c r="F144" s="7"/>
      <c r="G144" s="7"/>
      <c r="H144" s="7"/>
      <c r="I144" s="7"/>
      <c r="J144" s="22"/>
      <c r="K144" s="7"/>
      <c r="L144" s="17"/>
      <c r="M144" s="17"/>
      <c r="N144" s="17"/>
      <c r="O144" s="17"/>
      <c r="P144" s="17" t="str">
        <f t="shared" si="1"/>
        <v>R$ 0.00</v>
      </c>
    </row>
    <row r="145" ht="15.75" customHeight="1">
      <c r="A145" s="22"/>
      <c r="B145" s="16" t="str">
        <f t="shared" si="2"/>
        <v/>
      </c>
      <c r="C145" s="7"/>
      <c r="D145" s="7"/>
      <c r="E145" s="7"/>
      <c r="F145" s="7"/>
      <c r="G145" s="7"/>
      <c r="H145" s="7"/>
      <c r="I145" s="7"/>
      <c r="J145" s="22"/>
      <c r="K145" s="7"/>
      <c r="L145" s="17"/>
      <c r="M145" s="17"/>
      <c r="N145" s="17"/>
      <c r="O145" s="17"/>
      <c r="P145" s="17" t="str">
        <f t="shared" si="1"/>
        <v>R$ 0.00</v>
      </c>
    </row>
    <row r="146" ht="15.75" customHeight="1">
      <c r="A146" s="22"/>
      <c r="B146" s="16" t="str">
        <f t="shared" si="2"/>
        <v/>
      </c>
      <c r="C146" s="7"/>
      <c r="D146" s="7"/>
      <c r="E146" s="7"/>
      <c r="F146" s="7"/>
      <c r="G146" s="7"/>
      <c r="H146" s="7"/>
      <c r="I146" s="7"/>
      <c r="J146" s="22"/>
      <c r="K146" s="7"/>
      <c r="L146" s="17"/>
      <c r="M146" s="17"/>
      <c r="N146" s="17"/>
      <c r="O146" s="17"/>
      <c r="P146" s="17" t="str">
        <f t="shared" si="1"/>
        <v>R$ 0.00</v>
      </c>
    </row>
    <row r="147" ht="15.75" customHeight="1">
      <c r="A147" s="22"/>
      <c r="B147" s="16" t="str">
        <f t="shared" si="2"/>
        <v/>
      </c>
      <c r="C147" s="7"/>
      <c r="D147" s="7"/>
      <c r="E147" s="7"/>
      <c r="F147" s="7"/>
      <c r="G147" s="7"/>
      <c r="H147" s="7"/>
      <c r="I147" s="7"/>
      <c r="J147" s="22"/>
      <c r="K147" s="7"/>
      <c r="L147" s="17"/>
      <c r="M147" s="17"/>
      <c r="N147" s="17"/>
      <c r="O147" s="17"/>
      <c r="P147" s="17" t="str">
        <f t="shared" si="1"/>
        <v>R$ 0.00</v>
      </c>
    </row>
    <row r="148" ht="15.75" customHeight="1">
      <c r="A148" s="22"/>
      <c r="B148" s="16" t="str">
        <f t="shared" si="2"/>
        <v/>
      </c>
      <c r="C148" s="7"/>
      <c r="D148" s="7"/>
      <c r="E148" s="7"/>
      <c r="F148" s="7"/>
      <c r="G148" s="7"/>
      <c r="H148" s="7"/>
      <c r="I148" s="7"/>
      <c r="J148" s="22"/>
      <c r="K148" s="7"/>
      <c r="L148" s="17"/>
      <c r="M148" s="17"/>
      <c r="N148" s="17"/>
      <c r="O148" s="17"/>
      <c r="P148" s="17" t="str">
        <f t="shared" si="1"/>
        <v>R$ 0.00</v>
      </c>
    </row>
    <row r="149" ht="15.75" customHeight="1">
      <c r="A149" s="22"/>
      <c r="B149" s="16" t="str">
        <f t="shared" si="2"/>
        <v/>
      </c>
      <c r="C149" s="7"/>
      <c r="D149" s="7"/>
      <c r="E149" s="7"/>
      <c r="F149" s="7"/>
      <c r="G149" s="7"/>
      <c r="H149" s="7"/>
      <c r="I149" s="7"/>
      <c r="J149" s="22"/>
      <c r="K149" s="7"/>
      <c r="L149" s="17"/>
      <c r="M149" s="17"/>
      <c r="N149" s="17"/>
      <c r="O149" s="17"/>
      <c r="P149" s="17" t="str">
        <f t="shared" si="1"/>
        <v>R$ 0.00</v>
      </c>
    </row>
    <row r="150" ht="15.75" customHeight="1">
      <c r="A150" s="22"/>
      <c r="B150" s="16" t="str">
        <f t="shared" si="2"/>
        <v/>
      </c>
      <c r="C150" s="7"/>
      <c r="D150" s="7"/>
      <c r="E150" s="7"/>
      <c r="F150" s="7"/>
      <c r="G150" s="7"/>
      <c r="H150" s="7"/>
      <c r="I150" s="7"/>
      <c r="J150" s="22"/>
      <c r="K150" s="7"/>
      <c r="L150" s="17"/>
      <c r="M150" s="17"/>
      <c r="N150" s="17"/>
      <c r="O150" s="17"/>
      <c r="P150" s="17" t="str">
        <f t="shared" si="1"/>
        <v>R$ 0.00</v>
      </c>
    </row>
    <row r="151" ht="15.75" customHeight="1">
      <c r="A151" s="22"/>
      <c r="B151" s="16" t="str">
        <f t="shared" si="2"/>
        <v/>
      </c>
      <c r="C151" s="7"/>
      <c r="D151" s="7"/>
      <c r="E151" s="7"/>
      <c r="F151" s="7"/>
      <c r="G151" s="7"/>
      <c r="H151" s="7"/>
      <c r="I151" s="7"/>
      <c r="J151" s="22"/>
      <c r="K151" s="7"/>
      <c r="L151" s="17"/>
      <c r="M151" s="17"/>
      <c r="N151" s="17"/>
      <c r="O151" s="17"/>
      <c r="P151" s="17" t="str">
        <f t="shared" si="1"/>
        <v>R$ 0.00</v>
      </c>
    </row>
    <row r="152" ht="15.75" customHeight="1">
      <c r="A152" s="22"/>
      <c r="B152" s="16" t="str">
        <f t="shared" si="2"/>
        <v/>
      </c>
      <c r="C152" s="7"/>
      <c r="D152" s="7"/>
      <c r="E152" s="7"/>
      <c r="F152" s="7"/>
      <c r="G152" s="7"/>
      <c r="H152" s="7"/>
      <c r="I152" s="7"/>
      <c r="J152" s="22"/>
      <c r="K152" s="7"/>
      <c r="L152" s="17"/>
      <c r="M152" s="17"/>
      <c r="N152" s="17"/>
      <c r="O152" s="17"/>
      <c r="P152" s="17" t="str">
        <f t="shared" si="1"/>
        <v>R$ 0.00</v>
      </c>
    </row>
    <row r="153" ht="15.75" customHeight="1">
      <c r="A153" s="22"/>
      <c r="B153" s="16" t="str">
        <f t="shared" si="2"/>
        <v/>
      </c>
      <c r="C153" s="7"/>
      <c r="D153" s="7"/>
      <c r="E153" s="7"/>
      <c r="F153" s="7"/>
      <c r="G153" s="7"/>
      <c r="H153" s="7"/>
      <c r="I153" s="7"/>
      <c r="J153" s="22"/>
      <c r="K153" s="7"/>
      <c r="L153" s="17"/>
      <c r="M153" s="17"/>
      <c r="N153" s="17"/>
      <c r="O153" s="17"/>
      <c r="P153" s="17" t="str">
        <f t="shared" si="1"/>
        <v>R$ 0.00</v>
      </c>
    </row>
    <row r="154" ht="15.75" customHeight="1">
      <c r="A154" s="22"/>
      <c r="B154" s="16" t="str">
        <f t="shared" si="2"/>
        <v/>
      </c>
      <c r="C154" s="7"/>
      <c r="D154" s="7"/>
      <c r="E154" s="7"/>
      <c r="F154" s="7"/>
      <c r="G154" s="7"/>
      <c r="H154" s="7"/>
      <c r="I154" s="7"/>
      <c r="J154" s="22"/>
      <c r="K154" s="7"/>
      <c r="L154" s="17"/>
      <c r="M154" s="17"/>
      <c r="N154" s="17"/>
      <c r="O154" s="17"/>
      <c r="P154" s="17" t="str">
        <f t="shared" si="1"/>
        <v>R$ 0.00</v>
      </c>
    </row>
    <row r="155" ht="15.75" customHeight="1">
      <c r="A155" s="22"/>
      <c r="B155" s="16" t="str">
        <f t="shared" si="2"/>
        <v/>
      </c>
      <c r="C155" s="7"/>
      <c r="D155" s="7"/>
      <c r="E155" s="7"/>
      <c r="F155" s="7"/>
      <c r="G155" s="7"/>
      <c r="H155" s="7"/>
      <c r="I155" s="7"/>
      <c r="J155" s="22"/>
      <c r="K155" s="7"/>
      <c r="L155" s="17"/>
      <c r="M155" s="17"/>
      <c r="N155" s="17"/>
      <c r="O155" s="17"/>
      <c r="P155" s="17" t="str">
        <f t="shared" si="1"/>
        <v>R$ 0.00</v>
      </c>
    </row>
    <row r="156" ht="15.75" customHeight="1">
      <c r="A156" s="22"/>
      <c r="B156" s="16" t="str">
        <f t="shared" si="2"/>
        <v/>
      </c>
      <c r="C156" s="7"/>
      <c r="D156" s="7"/>
      <c r="E156" s="7"/>
      <c r="F156" s="7"/>
      <c r="G156" s="7"/>
      <c r="H156" s="7"/>
      <c r="I156" s="7"/>
      <c r="J156" s="22"/>
      <c r="K156" s="7"/>
      <c r="L156" s="17"/>
      <c r="M156" s="17"/>
      <c r="N156" s="17"/>
      <c r="O156" s="17"/>
      <c r="P156" s="17" t="str">
        <f t="shared" si="1"/>
        <v>R$ 0.00</v>
      </c>
    </row>
    <row r="157" ht="15.75" customHeight="1">
      <c r="A157" s="22"/>
      <c r="B157" s="16" t="str">
        <f t="shared" si="2"/>
        <v/>
      </c>
      <c r="C157" s="7"/>
      <c r="D157" s="7"/>
      <c r="E157" s="7"/>
      <c r="F157" s="7"/>
      <c r="G157" s="7"/>
      <c r="H157" s="7"/>
      <c r="I157" s="7"/>
      <c r="J157" s="22"/>
      <c r="K157" s="7"/>
      <c r="L157" s="17"/>
      <c r="M157" s="17"/>
      <c r="N157" s="17"/>
      <c r="O157" s="17"/>
      <c r="P157" s="17" t="str">
        <f t="shared" si="1"/>
        <v>R$ 0.00</v>
      </c>
    </row>
    <row r="158" ht="15.75" customHeight="1">
      <c r="A158" s="22"/>
      <c r="B158" s="16" t="str">
        <f t="shared" si="2"/>
        <v/>
      </c>
      <c r="C158" s="7"/>
      <c r="D158" s="7"/>
      <c r="E158" s="7"/>
      <c r="F158" s="7"/>
      <c r="G158" s="7"/>
      <c r="H158" s="7"/>
      <c r="I158" s="7"/>
      <c r="J158" s="22"/>
      <c r="K158" s="7"/>
      <c r="L158" s="17"/>
      <c r="M158" s="17"/>
      <c r="N158" s="17"/>
      <c r="O158" s="17"/>
      <c r="P158" s="17" t="str">
        <f t="shared" si="1"/>
        <v>R$ 0.00</v>
      </c>
    </row>
    <row r="159" ht="15.75" customHeight="1">
      <c r="A159" s="22"/>
      <c r="B159" s="16" t="str">
        <f t="shared" si="2"/>
        <v/>
      </c>
      <c r="C159" s="7"/>
      <c r="D159" s="7"/>
      <c r="E159" s="7"/>
      <c r="F159" s="7"/>
      <c r="G159" s="7"/>
      <c r="H159" s="7"/>
      <c r="I159" s="7"/>
      <c r="J159" s="22"/>
      <c r="K159" s="7"/>
      <c r="L159" s="17"/>
      <c r="M159" s="17"/>
      <c r="N159" s="17"/>
      <c r="O159" s="17"/>
      <c r="P159" s="17" t="str">
        <f t="shared" si="1"/>
        <v>R$ 0.00</v>
      </c>
    </row>
    <row r="160" ht="15.75" customHeight="1">
      <c r="A160" s="22"/>
      <c r="B160" s="16" t="str">
        <f t="shared" si="2"/>
        <v/>
      </c>
      <c r="C160" s="7"/>
      <c r="D160" s="7"/>
      <c r="E160" s="7"/>
      <c r="F160" s="7"/>
      <c r="G160" s="7"/>
      <c r="H160" s="7"/>
      <c r="I160" s="7"/>
      <c r="J160" s="22"/>
      <c r="K160" s="7"/>
      <c r="L160" s="17"/>
      <c r="M160" s="17"/>
      <c r="N160" s="17"/>
      <c r="O160" s="17"/>
      <c r="P160" s="17" t="str">
        <f t="shared" si="1"/>
        <v>R$ 0.00</v>
      </c>
    </row>
    <row r="161" ht="15.75" customHeight="1">
      <c r="A161" s="22"/>
      <c r="B161" s="16" t="str">
        <f t="shared" si="2"/>
        <v/>
      </c>
      <c r="C161" s="7"/>
      <c r="D161" s="7"/>
      <c r="E161" s="7"/>
      <c r="F161" s="7"/>
      <c r="G161" s="7"/>
      <c r="H161" s="7"/>
      <c r="I161" s="7"/>
      <c r="J161" s="22"/>
      <c r="K161" s="7"/>
      <c r="L161" s="17"/>
      <c r="M161" s="17"/>
      <c r="N161" s="17"/>
      <c r="O161" s="17"/>
      <c r="P161" s="17" t="str">
        <f t="shared" si="1"/>
        <v>R$ 0.00</v>
      </c>
    </row>
    <row r="162" ht="15.75" customHeight="1">
      <c r="A162" s="22"/>
      <c r="B162" s="16" t="str">
        <f t="shared" si="2"/>
        <v/>
      </c>
      <c r="C162" s="7"/>
      <c r="D162" s="7"/>
      <c r="E162" s="7"/>
      <c r="F162" s="7"/>
      <c r="G162" s="7"/>
      <c r="H162" s="7"/>
      <c r="I162" s="7"/>
      <c r="J162" s="22"/>
      <c r="K162" s="7"/>
      <c r="L162" s="17"/>
      <c r="M162" s="17"/>
      <c r="N162" s="17"/>
      <c r="O162" s="17"/>
      <c r="P162" s="17" t="str">
        <f t="shared" si="1"/>
        <v>R$ 0.00</v>
      </c>
    </row>
    <row r="163" ht="15.75" customHeight="1">
      <c r="A163" s="22"/>
      <c r="B163" s="16" t="str">
        <f t="shared" si="2"/>
        <v/>
      </c>
      <c r="C163" s="7"/>
      <c r="D163" s="7"/>
      <c r="E163" s="7"/>
      <c r="F163" s="7"/>
      <c r="G163" s="7"/>
      <c r="H163" s="7"/>
      <c r="I163" s="7"/>
      <c r="J163" s="22"/>
      <c r="K163" s="7"/>
      <c r="L163" s="17"/>
      <c r="M163" s="17"/>
      <c r="N163" s="17"/>
      <c r="O163" s="17"/>
      <c r="P163" s="17" t="str">
        <f t="shared" si="1"/>
        <v>R$ 0.00</v>
      </c>
    </row>
    <row r="164" ht="15.75" customHeight="1">
      <c r="A164" s="22"/>
      <c r="B164" s="16" t="str">
        <f t="shared" si="2"/>
        <v/>
      </c>
      <c r="C164" s="7"/>
      <c r="D164" s="7"/>
      <c r="E164" s="7"/>
      <c r="F164" s="7"/>
      <c r="G164" s="7"/>
      <c r="H164" s="7"/>
      <c r="I164" s="7"/>
      <c r="J164" s="22"/>
      <c r="K164" s="7"/>
      <c r="L164" s="17"/>
      <c r="M164" s="17"/>
      <c r="N164" s="17"/>
      <c r="O164" s="17"/>
      <c r="P164" s="17" t="str">
        <f t="shared" si="1"/>
        <v>R$ 0.00</v>
      </c>
    </row>
    <row r="165" ht="15.75" customHeight="1">
      <c r="A165" s="22"/>
      <c r="B165" s="16" t="str">
        <f t="shared" si="2"/>
        <v/>
      </c>
      <c r="C165" s="7"/>
      <c r="D165" s="7"/>
      <c r="E165" s="7"/>
      <c r="F165" s="7"/>
      <c r="G165" s="7"/>
      <c r="H165" s="7"/>
      <c r="I165" s="7"/>
      <c r="J165" s="22"/>
      <c r="K165" s="7"/>
      <c r="L165" s="17"/>
      <c r="M165" s="17"/>
      <c r="N165" s="17"/>
      <c r="O165" s="17"/>
      <c r="P165" s="17" t="str">
        <f t="shared" si="1"/>
        <v>R$ 0.00</v>
      </c>
    </row>
    <row r="166" ht="15.75" customHeight="1">
      <c r="A166" s="22"/>
      <c r="B166" s="16" t="str">
        <f t="shared" si="2"/>
        <v/>
      </c>
      <c r="C166" s="7"/>
      <c r="D166" s="7"/>
      <c r="E166" s="7"/>
      <c r="F166" s="7"/>
      <c r="G166" s="7"/>
      <c r="H166" s="7"/>
      <c r="I166" s="7"/>
      <c r="J166" s="22"/>
      <c r="K166" s="7"/>
      <c r="L166" s="17"/>
      <c r="M166" s="17"/>
      <c r="N166" s="17"/>
      <c r="O166" s="17"/>
      <c r="P166" s="17" t="str">
        <f t="shared" si="1"/>
        <v>R$ 0.00</v>
      </c>
    </row>
    <row r="167" ht="15.75" customHeight="1">
      <c r="A167" s="22"/>
      <c r="B167" s="16" t="str">
        <f t="shared" si="2"/>
        <v/>
      </c>
      <c r="C167" s="7"/>
      <c r="D167" s="7"/>
      <c r="E167" s="7"/>
      <c r="F167" s="7"/>
      <c r="G167" s="7"/>
      <c r="H167" s="7"/>
      <c r="I167" s="7"/>
      <c r="J167" s="22"/>
      <c r="K167" s="7"/>
      <c r="L167" s="17"/>
      <c r="M167" s="17"/>
      <c r="N167" s="17"/>
      <c r="O167" s="17"/>
      <c r="P167" s="17" t="str">
        <f t="shared" si="1"/>
        <v>R$ 0.00</v>
      </c>
    </row>
    <row r="168" ht="15.75" customHeight="1">
      <c r="A168" s="22"/>
      <c r="B168" s="16" t="str">
        <f t="shared" si="2"/>
        <v/>
      </c>
      <c r="C168" s="7"/>
      <c r="D168" s="7"/>
      <c r="E168" s="7"/>
      <c r="F168" s="7"/>
      <c r="G168" s="7"/>
      <c r="H168" s="7"/>
      <c r="I168" s="7"/>
      <c r="J168" s="22"/>
      <c r="K168" s="7"/>
      <c r="L168" s="17"/>
      <c r="M168" s="17"/>
      <c r="N168" s="17"/>
      <c r="O168" s="17"/>
      <c r="P168" s="17" t="str">
        <f t="shared" si="1"/>
        <v>R$ 0.00</v>
      </c>
    </row>
    <row r="169" ht="15.75" customHeight="1">
      <c r="A169" s="22"/>
      <c r="B169" s="16" t="str">
        <f t="shared" si="2"/>
        <v/>
      </c>
      <c r="C169" s="7"/>
      <c r="D169" s="7"/>
      <c r="E169" s="7"/>
      <c r="F169" s="7"/>
      <c r="G169" s="7"/>
      <c r="H169" s="7"/>
      <c r="I169" s="7"/>
      <c r="J169" s="22"/>
      <c r="K169" s="7"/>
      <c r="L169" s="17"/>
      <c r="M169" s="17"/>
      <c r="N169" s="17"/>
      <c r="O169" s="17"/>
      <c r="P169" s="17" t="str">
        <f t="shared" si="1"/>
        <v>R$ 0.00</v>
      </c>
    </row>
    <row r="170" ht="15.75" customHeight="1">
      <c r="A170" s="22"/>
      <c r="B170" s="16" t="str">
        <f t="shared" si="2"/>
        <v/>
      </c>
      <c r="C170" s="7"/>
      <c r="D170" s="7"/>
      <c r="E170" s="7"/>
      <c r="F170" s="7"/>
      <c r="G170" s="7"/>
      <c r="H170" s="7"/>
      <c r="I170" s="7"/>
      <c r="J170" s="22"/>
      <c r="K170" s="7"/>
      <c r="L170" s="17"/>
      <c r="M170" s="17"/>
      <c r="N170" s="17"/>
      <c r="O170" s="17"/>
      <c r="P170" s="17" t="str">
        <f t="shared" si="1"/>
        <v>R$ 0.00</v>
      </c>
    </row>
    <row r="171" ht="15.75" customHeight="1">
      <c r="A171" s="22"/>
      <c r="B171" s="16" t="str">
        <f t="shared" si="2"/>
        <v/>
      </c>
      <c r="C171" s="7"/>
      <c r="D171" s="7"/>
      <c r="E171" s="7"/>
      <c r="F171" s="7"/>
      <c r="G171" s="7"/>
      <c r="H171" s="7"/>
      <c r="I171" s="7"/>
      <c r="J171" s="22"/>
      <c r="K171" s="7"/>
      <c r="L171" s="17"/>
      <c r="M171" s="17"/>
      <c r="N171" s="17"/>
      <c r="O171" s="17"/>
      <c r="P171" s="17" t="str">
        <f t="shared" si="1"/>
        <v>R$ 0.00</v>
      </c>
    </row>
    <row r="172" ht="15.75" customHeight="1">
      <c r="A172" s="22"/>
      <c r="B172" s="16" t="str">
        <f t="shared" si="2"/>
        <v/>
      </c>
      <c r="C172" s="7"/>
      <c r="D172" s="7"/>
      <c r="E172" s="7"/>
      <c r="F172" s="7"/>
      <c r="G172" s="7"/>
      <c r="H172" s="7"/>
      <c r="I172" s="7"/>
      <c r="J172" s="22"/>
      <c r="K172" s="7"/>
      <c r="L172" s="17"/>
      <c r="M172" s="17"/>
      <c r="N172" s="17"/>
      <c r="O172" s="17"/>
      <c r="P172" s="17" t="str">
        <f t="shared" si="1"/>
        <v>R$ 0.00</v>
      </c>
    </row>
    <row r="173" ht="15.75" customHeight="1">
      <c r="A173" s="22"/>
      <c r="B173" s="16" t="str">
        <f t="shared" si="2"/>
        <v/>
      </c>
      <c r="C173" s="7"/>
      <c r="D173" s="7"/>
      <c r="E173" s="7"/>
      <c r="F173" s="7"/>
      <c r="G173" s="7"/>
      <c r="H173" s="7"/>
      <c r="I173" s="7"/>
      <c r="J173" s="22"/>
      <c r="K173" s="7"/>
      <c r="L173" s="17"/>
      <c r="M173" s="17"/>
      <c r="N173" s="17"/>
      <c r="O173" s="17"/>
      <c r="P173" s="17" t="str">
        <f t="shared" si="1"/>
        <v>R$ 0.00</v>
      </c>
    </row>
    <row r="174" ht="15.75" customHeight="1">
      <c r="A174" s="22"/>
      <c r="B174" s="16" t="str">
        <f t="shared" si="2"/>
        <v/>
      </c>
      <c r="C174" s="7"/>
      <c r="D174" s="7"/>
      <c r="E174" s="7"/>
      <c r="F174" s="7"/>
      <c r="G174" s="7"/>
      <c r="H174" s="7"/>
      <c r="I174" s="7"/>
      <c r="J174" s="22"/>
      <c r="K174" s="7"/>
      <c r="L174" s="17"/>
      <c r="M174" s="17"/>
      <c r="N174" s="17"/>
      <c r="O174" s="17"/>
      <c r="P174" s="17" t="str">
        <f t="shared" si="1"/>
        <v>R$ 0.00</v>
      </c>
    </row>
    <row r="175" ht="15.75" customHeight="1">
      <c r="A175" s="22"/>
      <c r="B175" s="16" t="str">
        <f t="shared" si="2"/>
        <v/>
      </c>
      <c r="C175" s="7"/>
      <c r="D175" s="7"/>
      <c r="E175" s="7"/>
      <c r="F175" s="7"/>
      <c r="G175" s="7"/>
      <c r="H175" s="7"/>
      <c r="I175" s="7"/>
      <c r="J175" s="22"/>
      <c r="K175" s="7"/>
      <c r="L175" s="17"/>
      <c r="M175" s="17"/>
      <c r="N175" s="17"/>
      <c r="O175" s="17"/>
      <c r="P175" s="17" t="str">
        <f t="shared" si="1"/>
        <v>R$ 0.00</v>
      </c>
    </row>
    <row r="176" ht="15.75" customHeight="1">
      <c r="A176" s="22"/>
      <c r="B176" s="16" t="str">
        <f t="shared" si="2"/>
        <v/>
      </c>
      <c r="C176" s="7"/>
      <c r="D176" s="7"/>
      <c r="E176" s="7"/>
      <c r="F176" s="7"/>
      <c r="G176" s="7"/>
      <c r="H176" s="7"/>
      <c r="I176" s="7"/>
      <c r="J176" s="22"/>
      <c r="K176" s="7"/>
      <c r="L176" s="17"/>
      <c r="M176" s="17"/>
      <c r="N176" s="17"/>
      <c r="O176" s="17"/>
      <c r="P176" s="17" t="str">
        <f t="shared" si="1"/>
        <v>R$ 0.00</v>
      </c>
    </row>
    <row r="177" ht="15.75" customHeight="1">
      <c r="A177" s="22"/>
      <c r="B177" s="16" t="str">
        <f t="shared" si="2"/>
        <v/>
      </c>
      <c r="C177" s="7"/>
      <c r="D177" s="7"/>
      <c r="E177" s="7"/>
      <c r="F177" s="7"/>
      <c r="G177" s="7"/>
      <c r="H177" s="7"/>
      <c r="I177" s="7"/>
      <c r="J177" s="22"/>
      <c r="K177" s="7"/>
      <c r="L177" s="17"/>
      <c r="M177" s="17"/>
      <c r="N177" s="17"/>
      <c r="O177" s="17"/>
      <c r="P177" s="17" t="str">
        <f t="shared" si="1"/>
        <v>R$ 0.00</v>
      </c>
    </row>
    <row r="178" ht="15.75" customHeight="1">
      <c r="A178" s="22"/>
      <c r="B178" s="16" t="str">
        <f t="shared" si="2"/>
        <v/>
      </c>
      <c r="C178" s="7"/>
      <c r="D178" s="7"/>
      <c r="E178" s="7"/>
      <c r="F178" s="7"/>
      <c r="G178" s="7"/>
      <c r="H178" s="7"/>
      <c r="I178" s="7"/>
      <c r="J178" s="22"/>
      <c r="K178" s="7"/>
      <c r="L178" s="17"/>
      <c r="M178" s="17"/>
      <c r="N178" s="17"/>
      <c r="O178" s="17"/>
      <c r="P178" s="17" t="str">
        <f t="shared" si="1"/>
        <v>R$ 0.00</v>
      </c>
    </row>
    <row r="179" ht="15.75" customHeight="1">
      <c r="A179" s="22"/>
      <c r="B179" s="16" t="str">
        <f t="shared" si="2"/>
        <v/>
      </c>
      <c r="C179" s="7"/>
      <c r="D179" s="7"/>
      <c r="E179" s="7"/>
      <c r="F179" s="7"/>
      <c r="G179" s="7"/>
      <c r="H179" s="7"/>
      <c r="I179" s="7"/>
      <c r="J179" s="22"/>
      <c r="K179" s="7"/>
      <c r="L179" s="17"/>
      <c r="M179" s="17"/>
      <c r="N179" s="17"/>
      <c r="O179" s="17"/>
      <c r="P179" s="17" t="str">
        <f t="shared" si="1"/>
        <v>R$ 0.00</v>
      </c>
    </row>
    <row r="180" ht="15.75" customHeight="1">
      <c r="A180" s="22"/>
      <c r="B180" s="16" t="str">
        <f t="shared" si="2"/>
        <v/>
      </c>
      <c r="C180" s="7"/>
      <c r="D180" s="7"/>
      <c r="E180" s="7"/>
      <c r="F180" s="7"/>
      <c r="G180" s="7"/>
      <c r="H180" s="7"/>
      <c r="I180" s="7"/>
      <c r="J180" s="22"/>
      <c r="K180" s="7"/>
      <c r="L180" s="17"/>
      <c r="M180" s="17"/>
      <c r="N180" s="17"/>
      <c r="O180" s="17"/>
      <c r="P180" s="17" t="str">
        <f t="shared" si="1"/>
        <v>R$ 0.00</v>
      </c>
    </row>
    <row r="181" ht="15.75" customHeight="1">
      <c r="A181" s="22"/>
      <c r="B181" s="16" t="str">
        <f t="shared" si="2"/>
        <v/>
      </c>
      <c r="C181" s="7"/>
      <c r="D181" s="7"/>
      <c r="E181" s="7"/>
      <c r="F181" s="7"/>
      <c r="G181" s="7"/>
      <c r="H181" s="7"/>
      <c r="I181" s="7"/>
      <c r="J181" s="22"/>
      <c r="K181" s="7"/>
      <c r="L181" s="17"/>
      <c r="M181" s="17"/>
      <c r="N181" s="17"/>
      <c r="O181" s="17"/>
      <c r="P181" s="17" t="str">
        <f t="shared" si="1"/>
        <v>R$ 0.00</v>
      </c>
    </row>
    <row r="182" ht="15.75" customHeight="1">
      <c r="A182" s="22"/>
      <c r="B182" s="16" t="str">
        <f t="shared" si="2"/>
        <v/>
      </c>
      <c r="C182" s="7"/>
      <c r="D182" s="7"/>
      <c r="E182" s="7"/>
      <c r="F182" s="7"/>
      <c r="G182" s="7"/>
      <c r="H182" s="7"/>
      <c r="I182" s="7"/>
      <c r="J182" s="22"/>
      <c r="K182" s="7"/>
      <c r="L182" s="17"/>
      <c r="M182" s="17"/>
      <c r="N182" s="17"/>
      <c r="O182" s="17"/>
      <c r="P182" s="17" t="str">
        <f t="shared" si="1"/>
        <v>R$ 0.00</v>
      </c>
    </row>
    <row r="183" ht="15.75" customHeight="1">
      <c r="A183" s="22"/>
      <c r="B183" s="16" t="str">
        <f t="shared" si="2"/>
        <v/>
      </c>
      <c r="C183" s="7"/>
      <c r="D183" s="7"/>
      <c r="E183" s="7"/>
      <c r="F183" s="7"/>
      <c r="G183" s="7"/>
      <c r="H183" s="7"/>
      <c r="I183" s="7"/>
      <c r="J183" s="22"/>
      <c r="K183" s="7"/>
      <c r="L183" s="17"/>
      <c r="M183" s="17"/>
      <c r="N183" s="17"/>
      <c r="O183" s="17"/>
      <c r="P183" s="17" t="str">
        <f t="shared" si="1"/>
        <v>R$ 0.00</v>
      </c>
    </row>
    <row r="184" ht="15.75" customHeight="1">
      <c r="A184" s="22"/>
      <c r="B184" s="16" t="str">
        <f t="shared" si="2"/>
        <v/>
      </c>
      <c r="C184" s="7"/>
      <c r="D184" s="7"/>
      <c r="E184" s="7"/>
      <c r="F184" s="7"/>
      <c r="G184" s="7"/>
      <c r="H184" s="7"/>
      <c r="I184" s="7"/>
      <c r="J184" s="22"/>
      <c r="K184" s="7"/>
      <c r="L184" s="17"/>
      <c r="M184" s="17"/>
      <c r="N184" s="17"/>
      <c r="O184" s="17"/>
      <c r="P184" s="17" t="str">
        <f t="shared" si="1"/>
        <v>R$ 0.00</v>
      </c>
    </row>
    <row r="185" ht="15.75" customHeight="1">
      <c r="A185" s="22"/>
      <c r="B185" s="16" t="str">
        <f t="shared" si="2"/>
        <v/>
      </c>
      <c r="C185" s="7"/>
      <c r="D185" s="7"/>
      <c r="E185" s="7"/>
      <c r="F185" s="7"/>
      <c r="G185" s="7"/>
      <c r="H185" s="7"/>
      <c r="I185" s="7"/>
      <c r="J185" s="22"/>
      <c r="K185" s="7"/>
      <c r="L185" s="17"/>
      <c r="M185" s="17"/>
      <c r="N185" s="17"/>
      <c r="O185" s="17"/>
      <c r="P185" s="17" t="str">
        <f t="shared" si="1"/>
        <v>R$ 0.00</v>
      </c>
    </row>
    <row r="186" ht="15.75" customHeight="1">
      <c r="A186" s="22"/>
      <c r="B186" s="16" t="str">
        <f t="shared" si="2"/>
        <v/>
      </c>
      <c r="C186" s="7"/>
      <c r="D186" s="7"/>
      <c r="E186" s="7"/>
      <c r="F186" s="7"/>
      <c r="G186" s="7"/>
      <c r="H186" s="7"/>
      <c r="I186" s="7"/>
      <c r="J186" s="22"/>
      <c r="K186" s="7"/>
      <c r="L186" s="17"/>
      <c r="M186" s="17"/>
      <c r="N186" s="17"/>
      <c r="O186" s="17"/>
      <c r="P186" s="17" t="str">
        <f t="shared" si="1"/>
        <v>R$ 0.00</v>
      </c>
    </row>
    <row r="187" ht="15.75" customHeight="1">
      <c r="A187" s="22"/>
      <c r="B187" s="16" t="str">
        <f t="shared" si="2"/>
        <v/>
      </c>
      <c r="C187" s="7"/>
      <c r="D187" s="7"/>
      <c r="E187" s="7"/>
      <c r="F187" s="7"/>
      <c r="G187" s="7"/>
      <c r="H187" s="7"/>
      <c r="I187" s="7"/>
      <c r="J187" s="22"/>
      <c r="K187" s="7"/>
      <c r="L187" s="17"/>
      <c r="M187" s="17"/>
      <c r="N187" s="17"/>
      <c r="O187" s="17"/>
      <c r="P187" s="17" t="str">
        <f t="shared" si="1"/>
        <v>R$ 0.00</v>
      </c>
    </row>
    <row r="188" ht="15.75" customHeight="1">
      <c r="A188" s="22"/>
      <c r="B188" s="16" t="str">
        <f t="shared" si="2"/>
        <v/>
      </c>
      <c r="C188" s="7"/>
      <c r="D188" s="7"/>
      <c r="E188" s="7"/>
      <c r="F188" s="7"/>
      <c r="G188" s="7"/>
      <c r="H188" s="7"/>
      <c r="I188" s="7"/>
      <c r="J188" s="22"/>
      <c r="K188" s="7"/>
      <c r="L188" s="17"/>
      <c r="M188" s="17"/>
      <c r="N188" s="17"/>
      <c r="O188" s="17"/>
      <c r="P188" s="17" t="str">
        <f t="shared" si="1"/>
        <v>R$ 0.00</v>
      </c>
    </row>
    <row r="189" ht="15.75" customHeight="1">
      <c r="A189" s="22"/>
      <c r="B189" s="16" t="str">
        <f t="shared" si="2"/>
        <v/>
      </c>
      <c r="C189" s="7"/>
      <c r="D189" s="7"/>
      <c r="E189" s="7"/>
      <c r="F189" s="7"/>
      <c r="G189" s="7"/>
      <c r="H189" s="7"/>
      <c r="I189" s="7"/>
      <c r="J189" s="22"/>
      <c r="K189" s="7"/>
      <c r="L189" s="17"/>
      <c r="M189" s="17"/>
      <c r="N189" s="17"/>
      <c r="O189" s="17"/>
      <c r="P189" s="17" t="str">
        <f t="shared" si="1"/>
        <v>R$ 0.00</v>
      </c>
    </row>
    <row r="190" ht="15.75" customHeight="1">
      <c r="A190" s="22"/>
      <c r="B190" s="16" t="str">
        <f t="shared" si="2"/>
        <v/>
      </c>
      <c r="C190" s="7"/>
      <c r="D190" s="7"/>
      <c r="E190" s="7"/>
      <c r="F190" s="7"/>
      <c r="G190" s="7"/>
      <c r="H190" s="7"/>
      <c r="I190" s="7"/>
      <c r="J190" s="22"/>
      <c r="K190" s="7"/>
      <c r="L190" s="17"/>
      <c r="M190" s="17"/>
      <c r="N190" s="17"/>
      <c r="O190" s="17"/>
      <c r="P190" s="17" t="str">
        <f t="shared" si="1"/>
        <v>R$ 0.00</v>
      </c>
    </row>
    <row r="191" ht="15.75" customHeight="1">
      <c r="A191" s="22"/>
      <c r="B191" s="16" t="str">
        <f t="shared" si="2"/>
        <v/>
      </c>
      <c r="C191" s="7"/>
      <c r="D191" s="7"/>
      <c r="E191" s="7"/>
      <c r="F191" s="7"/>
      <c r="G191" s="7"/>
      <c r="H191" s="7"/>
      <c r="I191" s="7"/>
      <c r="J191" s="22"/>
      <c r="K191" s="7"/>
      <c r="L191" s="17"/>
      <c r="M191" s="17"/>
      <c r="N191" s="17"/>
      <c r="O191" s="17"/>
      <c r="P191" s="17" t="str">
        <f t="shared" si="1"/>
        <v>R$ 0.00</v>
      </c>
    </row>
    <row r="192" ht="15.75" customHeight="1">
      <c r="A192" s="22"/>
      <c r="B192" s="16" t="str">
        <f t="shared" si="2"/>
        <v/>
      </c>
      <c r="C192" s="7"/>
      <c r="D192" s="7"/>
      <c r="E192" s="7"/>
      <c r="F192" s="7"/>
      <c r="G192" s="7"/>
      <c r="H192" s="7"/>
      <c r="I192" s="7"/>
      <c r="J192" s="22"/>
      <c r="K192" s="7"/>
      <c r="L192" s="17"/>
      <c r="M192" s="17"/>
      <c r="N192" s="17"/>
      <c r="O192" s="17"/>
      <c r="P192" s="17" t="str">
        <f t="shared" si="1"/>
        <v>R$ 0.00</v>
      </c>
    </row>
    <row r="193" ht="15.75" customHeight="1">
      <c r="A193" s="22"/>
      <c r="B193" s="16" t="str">
        <f t="shared" si="2"/>
        <v/>
      </c>
      <c r="C193" s="7"/>
      <c r="D193" s="7"/>
      <c r="E193" s="7"/>
      <c r="F193" s="7"/>
      <c r="G193" s="7"/>
      <c r="H193" s="7"/>
      <c r="I193" s="7"/>
      <c r="J193" s="22"/>
      <c r="K193" s="7"/>
      <c r="L193" s="17"/>
      <c r="M193" s="17"/>
      <c r="N193" s="17"/>
      <c r="O193" s="17"/>
      <c r="P193" s="17" t="str">
        <f t="shared" si="1"/>
        <v>R$ 0.00</v>
      </c>
    </row>
    <row r="194" ht="15.75" customHeight="1">
      <c r="A194" s="22"/>
      <c r="B194" s="16" t="str">
        <f t="shared" si="2"/>
        <v/>
      </c>
      <c r="C194" s="7"/>
      <c r="D194" s="7"/>
      <c r="E194" s="7"/>
      <c r="F194" s="7"/>
      <c r="G194" s="7"/>
      <c r="H194" s="7"/>
      <c r="I194" s="7"/>
      <c r="J194" s="22"/>
      <c r="K194" s="7"/>
      <c r="L194" s="17"/>
      <c r="M194" s="17"/>
      <c r="N194" s="17"/>
      <c r="O194" s="17"/>
      <c r="P194" s="17" t="str">
        <f t="shared" si="1"/>
        <v>R$ 0.00</v>
      </c>
    </row>
    <row r="195" ht="15.75" customHeight="1">
      <c r="A195" s="22"/>
      <c r="B195" s="16" t="str">
        <f t="shared" si="2"/>
        <v/>
      </c>
      <c r="C195" s="7"/>
      <c r="D195" s="7"/>
      <c r="E195" s="7"/>
      <c r="F195" s="7"/>
      <c r="G195" s="7"/>
      <c r="H195" s="7"/>
      <c r="I195" s="7"/>
      <c r="J195" s="22"/>
      <c r="K195" s="7"/>
      <c r="L195" s="17"/>
      <c r="M195" s="17"/>
      <c r="N195" s="17"/>
      <c r="O195" s="17"/>
      <c r="P195" s="17" t="str">
        <f t="shared" si="1"/>
        <v>R$ 0.00</v>
      </c>
    </row>
    <row r="196" ht="15.75" customHeight="1">
      <c r="A196" s="22"/>
      <c r="B196" s="16" t="str">
        <f t="shared" si="2"/>
        <v/>
      </c>
      <c r="C196" s="7"/>
      <c r="D196" s="7"/>
      <c r="E196" s="7"/>
      <c r="F196" s="7"/>
      <c r="G196" s="7"/>
      <c r="H196" s="7"/>
      <c r="I196" s="7"/>
      <c r="J196" s="22"/>
      <c r="K196" s="7"/>
      <c r="L196" s="17"/>
      <c r="M196" s="17"/>
      <c r="N196" s="17"/>
      <c r="O196" s="17"/>
      <c r="P196" s="17" t="str">
        <f t="shared" si="1"/>
        <v>R$ 0.00</v>
      </c>
    </row>
    <row r="197" ht="15.75" customHeight="1">
      <c r="A197" s="22"/>
      <c r="B197" s="16" t="str">
        <f t="shared" si="2"/>
        <v/>
      </c>
      <c r="C197" s="7"/>
      <c r="D197" s="7"/>
      <c r="E197" s="7"/>
      <c r="F197" s="7"/>
      <c r="G197" s="7"/>
      <c r="H197" s="7"/>
      <c r="I197" s="7"/>
      <c r="J197" s="22"/>
      <c r="K197" s="7"/>
      <c r="L197" s="17"/>
      <c r="M197" s="17"/>
      <c r="N197" s="17"/>
      <c r="O197" s="17"/>
      <c r="P197" s="17" t="str">
        <f t="shared" si="1"/>
        <v>R$ 0.00</v>
      </c>
    </row>
    <row r="198" ht="15.75" customHeight="1">
      <c r="A198" s="22"/>
      <c r="B198" s="16" t="str">
        <f t="shared" si="2"/>
        <v/>
      </c>
      <c r="C198" s="7"/>
      <c r="D198" s="7"/>
      <c r="E198" s="7"/>
      <c r="F198" s="7"/>
      <c r="G198" s="7"/>
      <c r="H198" s="7"/>
      <c r="I198" s="7"/>
      <c r="J198" s="22"/>
      <c r="K198" s="7"/>
      <c r="L198" s="17"/>
      <c r="M198" s="17"/>
      <c r="N198" s="17"/>
      <c r="O198" s="17"/>
      <c r="P198" s="17" t="str">
        <f t="shared" si="1"/>
        <v>R$ 0.00</v>
      </c>
    </row>
    <row r="199" ht="15.75" customHeight="1">
      <c r="A199" s="22"/>
      <c r="B199" s="16" t="str">
        <f t="shared" si="2"/>
        <v/>
      </c>
      <c r="C199" s="7"/>
      <c r="D199" s="7"/>
      <c r="E199" s="7"/>
      <c r="F199" s="7"/>
      <c r="G199" s="7"/>
      <c r="H199" s="7"/>
      <c r="I199" s="7"/>
      <c r="J199" s="22"/>
      <c r="K199" s="7"/>
      <c r="L199" s="17"/>
      <c r="M199" s="17"/>
      <c r="N199" s="17"/>
      <c r="O199" s="17"/>
      <c r="P199" s="17" t="str">
        <f t="shared" si="1"/>
        <v>R$ 0.00</v>
      </c>
    </row>
    <row r="200" ht="15.75" customHeight="1">
      <c r="A200" s="22"/>
      <c r="B200" s="16" t="str">
        <f t="shared" si="2"/>
        <v/>
      </c>
      <c r="C200" s="7"/>
      <c r="D200" s="7"/>
      <c r="E200" s="7"/>
      <c r="F200" s="7"/>
      <c r="G200" s="7"/>
      <c r="H200" s="7"/>
      <c r="I200" s="7"/>
      <c r="J200" s="22"/>
      <c r="K200" s="7"/>
      <c r="L200" s="17"/>
      <c r="M200" s="17"/>
      <c r="N200" s="17"/>
      <c r="O200" s="17"/>
      <c r="P200" s="17" t="str">
        <f t="shared" si="1"/>
        <v>R$ 0.00</v>
      </c>
    </row>
    <row r="201" ht="15.75" customHeight="1">
      <c r="A201" s="22"/>
      <c r="B201" s="16" t="str">
        <f t="shared" si="2"/>
        <v/>
      </c>
      <c r="C201" s="7"/>
      <c r="D201" s="7"/>
      <c r="E201" s="7"/>
      <c r="F201" s="7"/>
      <c r="G201" s="7"/>
      <c r="H201" s="7"/>
      <c r="I201" s="7"/>
      <c r="J201" s="22"/>
      <c r="K201" s="7"/>
      <c r="L201" s="17"/>
      <c r="M201" s="17"/>
      <c r="N201" s="17"/>
      <c r="O201" s="17"/>
      <c r="P201" s="17" t="str">
        <f t="shared" si="1"/>
        <v>R$ 0.00</v>
      </c>
    </row>
    <row r="202" ht="15.75" customHeight="1">
      <c r="A202" s="22"/>
      <c r="B202" s="16" t="str">
        <f t="shared" si="2"/>
        <v/>
      </c>
      <c r="C202" s="7"/>
      <c r="D202" s="7"/>
      <c r="E202" s="7"/>
      <c r="F202" s="7"/>
      <c r="G202" s="7"/>
      <c r="H202" s="7"/>
      <c r="I202" s="7"/>
      <c r="J202" s="22"/>
      <c r="K202" s="7"/>
      <c r="L202" s="17"/>
      <c r="M202" s="17"/>
      <c r="N202" s="17"/>
      <c r="O202" s="17"/>
      <c r="P202" s="17" t="str">
        <f t="shared" si="1"/>
        <v>R$ 0.00</v>
      </c>
    </row>
    <row r="203" ht="15.75" customHeight="1">
      <c r="A203" s="22"/>
      <c r="B203" s="16" t="str">
        <f t="shared" si="2"/>
        <v/>
      </c>
      <c r="C203" s="7"/>
      <c r="D203" s="7"/>
      <c r="E203" s="7"/>
      <c r="F203" s="7"/>
      <c r="G203" s="7"/>
      <c r="H203" s="7"/>
      <c r="I203" s="7"/>
      <c r="J203" s="22"/>
      <c r="K203" s="7"/>
      <c r="L203" s="17"/>
      <c r="M203" s="17"/>
      <c r="N203" s="17"/>
      <c r="O203" s="17"/>
      <c r="P203" s="17" t="str">
        <f t="shared" si="1"/>
        <v>R$ 0.00</v>
      </c>
    </row>
    <row r="204" ht="15.75" customHeight="1">
      <c r="A204" s="22"/>
      <c r="B204" s="16" t="str">
        <f t="shared" si="2"/>
        <v/>
      </c>
      <c r="C204" s="7"/>
      <c r="D204" s="7"/>
      <c r="E204" s="7"/>
      <c r="F204" s="7"/>
      <c r="G204" s="7"/>
      <c r="H204" s="7"/>
      <c r="I204" s="7"/>
      <c r="J204" s="22"/>
      <c r="K204" s="7"/>
      <c r="L204" s="17"/>
      <c r="M204" s="17"/>
      <c r="N204" s="17"/>
      <c r="O204" s="17"/>
      <c r="P204" s="17" t="str">
        <f t="shared" si="1"/>
        <v>R$ 0.00</v>
      </c>
    </row>
    <row r="205" ht="15.75" customHeight="1">
      <c r="A205" s="22"/>
      <c r="B205" s="16" t="str">
        <f t="shared" si="2"/>
        <v/>
      </c>
      <c r="C205" s="7"/>
      <c r="D205" s="7"/>
      <c r="E205" s="7"/>
      <c r="F205" s="7"/>
      <c r="G205" s="7"/>
      <c r="H205" s="7"/>
      <c r="I205" s="7"/>
      <c r="J205" s="22"/>
      <c r="K205" s="7"/>
      <c r="L205" s="17"/>
      <c r="M205" s="17"/>
      <c r="N205" s="17"/>
      <c r="O205" s="17"/>
      <c r="P205" s="17" t="str">
        <f t="shared" si="1"/>
        <v>R$ 0.00</v>
      </c>
    </row>
    <row r="206" ht="15.75" customHeight="1">
      <c r="A206" s="22"/>
      <c r="B206" s="16" t="str">
        <f t="shared" si="2"/>
        <v/>
      </c>
      <c r="C206" s="7"/>
      <c r="D206" s="7"/>
      <c r="E206" s="7"/>
      <c r="F206" s="7"/>
      <c r="G206" s="7"/>
      <c r="H206" s="7"/>
      <c r="I206" s="7"/>
      <c r="J206" s="22"/>
      <c r="K206" s="7"/>
      <c r="L206" s="17"/>
      <c r="M206" s="17"/>
      <c r="N206" s="17"/>
      <c r="O206" s="17"/>
      <c r="P206" s="17" t="str">
        <f t="shared" si="1"/>
        <v>R$ 0.00</v>
      </c>
    </row>
    <row r="207" ht="15.75" customHeight="1">
      <c r="A207" s="22"/>
      <c r="B207" s="16" t="str">
        <f t="shared" si="2"/>
        <v/>
      </c>
      <c r="C207" s="7"/>
      <c r="D207" s="7"/>
      <c r="E207" s="7"/>
      <c r="F207" s="7"/>
      <c r="G207" s="7"/>
      <c r="H207" s="7"/>
      <c r="I207" s="7"/>
      <c r="J207" s="22"/>
      <c r="K207" s="7"/>
      <c r="L207" s="17"/>
      <c r="M207" s="17"/>
      <c r="N207" s="17"/>
      <c r="O207" s="17"/>
      <c r="P207" s="17" t="str">
        <f t="shared" si="1"/>
        <v>R$ 0.00</v>
      </c>
    </row>
    <row r="208" ht="15.75" customHeight="1">
      <c r="A208" s="22"/>
      <c r="B208" s="16" t="str">
        <f t="shared" si="2"/>
        <v/>
      </c>
      <c r="C208" s="7"/>
      <c r="D208" s="7"/>
      <c r="E208" s="7"/>
      <c r="F208" s="7"/>
      <c r="G208" s="7"/>
      <c r="H208" s="7"/>
      <c r="I208" s="7"/>
      <c r="J208" s="22"/>
      <c r="K208" s="7"/>
      <c r="L208" s="17"/>
      <c r="M208" s="17"/>
      <c r="N208" s="17"/>
      <c r="O208" s="17"/>
      <c r="P208" s="17" t="str">
        <f t="shared" si="1"/>
        <v>R$ 0.00</v>
      </c>
    </row>
    <row r="209" ht="15.75" customHeight="1">
      <c r="A209" s="22"/>
      <c r="B209" s="16" t="str">
        <f t="shared" si="2"/>
        <v/>
      </c>
      <c r="C209" s="7"/>
      <c r="D209" s="7"/>
      <c r="E209" s="7"/>
      <c r="F209" s="7"/>
      <c r="G209" s="7"/>
      <c r="H209" s="7"/>
      <c r="I209" s="7"/>
      <c r="J209" s="22"/>
      <c r="K209" s="7"/>
      <c r="L209" s="17"/>
      <c r="M209" s="17"/>
      <c r="N209" s="17"/>
      <c r="O209" s="17"/>
      <c r="P209" s="17" t="str">
        <f t="shared" si="1"/>
        <v>R$ 0.00</v>
      </c>
    </row>
    <row r="210" ht="15.75" customHeight="1">
      <c r="A210" s="22"/>
      <c r="B210" s="16" t="str">
        <f t="shared" si="2"/>
        <v/>
      </c>
      <c r="C210" s="7"/>
      <c r="D210" s="7"/>
      <c r="E210" s="7"/>
      <c r="F210" s="7"/>
      <c r="G210" s="7"/>
      <c r="H210" s="7"/>
      <c r="I210" s="7"/>
      <c r="J210" s="22"/>
      <c r="K210" s="7"/>
      <c r="L210" s="17"/>
      <c r="M210" s="17"/>
      <c r="N210" s="17"/>
      <c r="O210" s="17"/>
      <c r="P210" s="17" t="str">
        <f t="shared" si="1"/>
        <v>R$ 0.00</v>
      </c>
    </row>
    <row r="211" ht="15.75" customHeight="1">
      <c r="A211" s="22"/>
      <c r="B211" s="16" t="str">
        <f t="shared" si="2"/>
        <v/>
      </c>
      <c r="C211" s="7"/>
      <c r="D211" s="7"/>
      <c r="E211" s="7"/>
      <c r="F211" s="7"/>
      <c r="G211" s="7"/>
      <c r="H211" s="7"/>
      <c r="I211" s="7"/>
      <c r="J211" s="22"/>
      <c r="K211" s="7"/>
      <c r="L211" s="17"/>
      <c r="M211" s="17"/>
      <c r="N211" s="17"/>
      <c r="O211" s="17"/>
      <c r="P211" s="17" t="str">
        <f t="shared" si="1"/>
        <v>R$ 0.00</v>
      </c>
    </row>
    <row r="212" ht="15.75" customHeight="1">
      <c r="A212" s="22"/>
      <c r="B212" s="16" t="str">
        <f t="shared" si="2"/>
        <v/>
      </c>
      <c r="C212" s="7"/>
      <c r="D212" s="7"/>
      <c r="E212" s="7"/>
      <c r="F212" s="7"/>
      <c r="G212" s="7"/>
      <c r="H212" s="7"/>
      <c r="I212" s="7"/>
      <c r="J212" s="22"/>
      <c r="K212" s="7"/>
      <c r="L212" s="17"/>
      <c r="M212" s="17"/>
      <c r="N212" s="17"/>
      <c r="O212" s="17"/>
      <c r="P212" s="17" t="str">
        <f t="shared" si="1"/>
        <v>R$ 0.00</v>
      </c>
    </row>
    <row r="213" ht="15.75" customHeight="1">
      <c r="A213" s="22"/>
      <c r="B213" s="16" t="str">
        <f t="shared" si="2"/>
        <v/>
      </c>
      <c r="C213" s="7"/>
      <c r="D213" s="7"/>
      <c r="E213" s="7"/>
      <c r="F213" s="7"/>
      <c r="G213" s="7"/>
      <c r="H213" s="7"/>
      <c r="I213" s="7"/>
      <c r="J213" s="22"/>
      <c r="K213" s="7"/>
      <c r="L213" s="17"/>
      <c r="M213" s="17"/>
      <c r="N213" s="17"/>
      <c r="O213" s="17"/>
      <c r="P213" s="17" t="str">
        <f t="shared" si="1"/>
        <v>R$ 0.00</v>
      </c>
    </row>
    <row r="214" ht="15.75" customHeight="1">
      <c r="A214" s="22"/>
      <c r="B214" s="16" t="str">
        <f t="shared" si="2"/>
        <v/>
      </c>
      <c r="C214" s="7"/>
      <c r="D214" s="7"/>
      <c r="E214" s="7"/>
      <c r="F214" s="7"/>
      <c r="G214" s="7"/>
      <c r="H214" s="7"/>
      <c r="I214" s="7"/>
      <c r="J214" s="22"/>
      <c r="K214" s="7"/>
      <c r="L214" s="17"/>
      <c r="M214" s="17"/>
      <c r="N214" s="17"/>
      <c r="O214" s="17"/>
      <c r="P214" s="17" t="str">
        <f t="shared" si="1"/>
        <v>R$ 0.00</v>
      </c>
    </row>
    <row r="215" ht="15.75" customHeight="1">
      <c r="A215" s="22"/>
      <c r="B215" s="16" t="str">
        <f t="shared" si="2"/>
        <v/>
      </c>
      <c r="C215" s="7"/>
      <c r="D215" s="7"/>
      <c r="E215" s="7"/>
      <c r="F215" s="7"/>
      <c r="G215" s="7"/>
      <c r="H215" s="7"/>
      <c r="I215" s="7"/>
      <c r="J215" s="22"/>
      <c r="K215" s="7"/>
      <c r="L215" s="17"/>
      <c r="M215" s="17"/>
      <c r="N215" s="17"/>
      <c r="O215" s="17"/>
      <c r="P215" s="17" t="str">
        <f t="shared" si="1"/>
        <v>R$ 0.00</v>
      </c>
    </row>
    <row r="216" ht="15.75" customHeight="1">
      <c r="A216" s="22"/>
      <c r="B216" s="16" t="str">
        <f t="shared" si="2"/>
        <v/>
      </c>
      <c r="C216" s="7"/>
      <c r="D216" s="7"/>
      <c r="E216" s="7"/>
      <c r="F216" s="7"/>
      <c r="G216" s="7"/>
      <c r="H216" s="7"/>
      <c r="I216" s="7"/>
      <c r="J216" s="22"/>
      <c r="K216" s="7"/>
      <c r="L216" s="17"/>
      <c r="M216" s="17"/>
      <c r="N216" s="17"/>
      <c r="O216" s="17"/>
      <c r="P216" s="17" t="str">
        <f t="shared" si="1"/>
        <v>R$ 0.00</v>
      </c>
    </row>
    <row r="217" ht="15.75" customHeight="1">
      <c r="A217" s="22"/>
      <c r="B217" s="16" t="str">
        <f t="shared" si="2"/>
        <v/>
      </c>
      <c r="C217" s="7"/>
      <c r="D217" s="7"/>
      <c r="E217" s="7"/>
      <c r="F217" s="7"/>
      <c r="G217" s="7"/>
      <c r="H217" s="7"/>
      <c r="I217" s="7"/>
      <c r="J217" s="22"/>
      <c r="K217" s="7"/>
      <c r="L217" s="17"/>
      <c r="M217" s="17"/>
      <c r="N217" s="17"/>
      <c r="O217" s="17"/>
      <c r="P217" s="17" t="str">
        <f t="shared" si="1"/>
        <v>R$ 0.00</v>
      </c>
    </row>
    <row r="218" ht="15.75" customHeight="1">
      <c r="A218" s="22"/>
      <c r="B218" s="16" t="str">
        <f t="shared" si="2"/>
        <v/>
      </c>
      <c r="C218" s="7"/>
      <c r="D218" s="7"/>
      <c r="E218" s="7"/>
      <c r="F218" s="7"/>
      <c r="G218" s="7"/>
      <c r="H218" s="7"/>
      <c r="I218" s="7"/>
      <c r="J218" s="22"/>
      <c r="K218" s="7"/>
      <c r="L218" s="17"/>
      <c r="M218" s="17"/>
      <c r="N218" s="17"/>
      <c r="O218" s="17"/>
      <c r="P218" s="17" t="str">
        <f t="shared" si="1"/>
        <v>R$ 0.00</v>
      </c>
    </row>
    <row r="219" ht="15.75" customHeight="1">
      <c r="A219" s="22"/>
      <c r="B219" s="16" t="str">
        <f t="shared" si="2"/>
        <v/>
      </c>
      <c r="C219" s="7"/>
      <c r="D219" s="7"/>
      <c r="E219" s="7"/>
      <c r="F219" s="7"/>
      <c r="G219" s="7"/>
      <c r="H219" s="7"/>
      <c r="I219" s="7"/>
      <c r="J219" s="22"/>
      <c r="K219" s="7"/>
      <c r="L219" s="17"/>
      <c r="M219" s="17"/>
      <c r="N219" s="17"/>
      <c r="O219" s="17"/>
      <c r="P219" s="17" t="str">
        <f t="shared" si="1"/>
        <v>R$ 0.00</v>
      </c>
    </row>
    <row r="220" ht="15.75" customHeight="1">
      <c r="A220" s="22"/>
      <c r="B220" s="16" t="str">
        <f t="shared" si="2"/>
        <v/>
      </c>
      <c r="C220" s="7"/>
      <c r="D220" s="7"/>
      <c r="E220" s="7"/>
      <c r="F220" s="7"/>
      <c r="G220" s="7"/>
      <c r="H220" s="7"/>
      <c r="I220" s="7"/>
      <c r="J220" s="22"/>
      <c r="K220" s="7"/>
      <c r="L220" s="17"/>
      <c r="M220" s="17"/>
      <c r="N220" s="17"/>
      <c r="O220" s="17"/>
      <c r="P220" s="17" t="str">
        <f t="shared" si="1"/>
        <v>R$ 0.00</v>
      </c>
    </row>
    <row r="221" ht="15.75" customHeight="1">
      <c r="A221" s="22"/>
      <c r="B221" s="16" t="str">
        <f t="shared" si="2"/>
        <v/>
      </c>
      <c r="C221" s="7"/>
      <c r="D221" s="7"/>
      <c r="E221" s="7"/>
      <c r="F221" s="7"/>
      <c r="G221" s="7"/>
      <c r="H221" s="7"/>
      <c r="I221" s="7"/>
      <c r="J221" s="22"/>
      <c r="K221" s="7"/>
      <c r="L221" s="17"/>
      <c r="M221" s="17"/>
      <c r="N221" s="17"/>
      <c r="O221" s="17"/>
      <c r="P221" s="17" t="str">
        <f t="shared" si="1"/>
        <v>R$ 0.00</v>
      </c>
    </row>
    <row r="222" ht="15.75" customHeight="1">
      <c r="A222" s="22"/>
      <c r="B222" s="16" t="str">
        <f t="shared" si="2"/>
        <v/>
      </c>
      <c r="C222" s="7"/>
      <c r="D222" s="7"/>
      <c r="E222" s="7"/>
      <c r="F222" s="7"/>
      <c r="G222" s="7"/>
      <c r="H222" s="7"/>
      <c r="I222" s="7"/>
      <c r="J222" s="22"/>
      <c r="K222" s="7"/>
      <c r="L222" s="17"/>
      <c r="M222" s="17"/>
      <c r="N222" s="17"/>
      <c r="O222" s="17"/>
      <c r="P222" s="17" t="str">
        <f t="shared" si="1"/>
        <v>R$ 0.00</v>
      </c>
    </row>
    <row r="223" ht="15.75" customHeight="1">
      <c r="A223" s="22"/>
      <c r="B223" s="16" t="str">
        <f t="shared" si="2"/>
        <v/>
      </c>
      <c r="C223" s="7"/>
      <c r="D223" s="7"/>
      <c r="E223" s="7"/>
      <c r="F223" s="7"/>
      <c r="G223" s="7"/>
      <c r="H223" s="7"/>
      <c r="I223" s="7"/>
      <c r="J223" s="22"/>
      <c r="K223" s="7"/>
      <c r="L223" s="17"/>
      <c r="M223" s="17"/>
      <c r="N223" s="17"/>
      <c r="O223" s="17"/>
      <c r="P223" s="17" t="str">
        <f t="shared" si="1"/>
        <v>R$ 0.00</v>
      </c>
    </row>
    <row r="224" ht="15.75" customHeight="1">
      <c r="A224" s="22"/>
      <c r="B224" s="16" t="str">
        <f t="shared" si="2"/>
        <v/>
      </c>
      <c r="C224" s="7"/>
      <c r="D224" s="7"/>
      <c r="E224" s="7"/>
      <c r="F224" s="7"/>
      <c r="G224" s="7"/>
      <c r="H224" s="7"/>
      <c r="I224" s="7"/>
      <c r="J224" s="22"/>
      <c r="K224" s="7"/>
      <c r="L224" s="17"/>
      <c r="M224" s="17"/>
      <c r="N224" s="17"/>
      <c r="O224" s="17"/>
      <c r="P224" s="17" t="str">
        <f t="shared" si="1"/>
        <v>R$ 0.00</v>
      </c>
    </row>
    <row r="225" ht="15.75" customHeight="1">
      <c r="A225" s="22"/>
      <c r="B225" s="16" t="str">
        <f t="shared" si="2"/>
        <v/>
      </c>
      <c r="C225" s="7"/>
      <c r="D225" s="7"/>
      <c r="E225" s="7"/>
      <c r="F225" s="7"/>
      <c r="G225" s="7"/>
      <c r="H225" s="7"/>
      <c r="I225" s="7"/>
      <c r="J225" s="22"/>
      <c r="K225" s="7"/>
      <c r="L225" s="17"/>
      <c r="M225" s="17"/>
      <c r="N225" s="17"/>
      <c r="O225" s="17"/>
      <c r="P225" s="17" t="str">
        <f t="shared" si="1"/>
        <v>R$ 0.00</v>
      </c>
    </row>
    <row r="226" ht="15.75" customHeight="1">
      <c r="A226" s="22"/>
      <c r="B226" s="16" t="str">
        <f t="shared" si="2"/>
        <v/>
      </c>
      <c r="C226" s="7"/>
      <c r="D226" s="7"/>
      <c r="E226" s="7"/>
      <c r="F226" s="7"/>
      <c r="G226" s="7"/>
      <c r="H226" s="7"/>
      <c r="I226" s="7"/>
      <c r="J226" s="22"/>
      <c r="K226" s="7"/>
      <c r="L226" s="17"/>
      <c r="M226" s="17"/>
      <c r="N226" s="17"/>
      <c r="O226" s="17"/>
      <c r="P226" s="17" t="str">
        <f t="shared" si="1"/>
        <v>R$ 0.00</v>
      </c>
    </row>
    <row r="227" ht="15.75" customHeight="1">
      <c r="A227" s="22"/>
      <c r="B227" s="16" t="str">
        <f t="shared" si="2"/>
        <v/>
      </c>
      <c r="C227" s="7"/>
      <c r="D227" s="7"/>
      <c r="E227" s="7"/>
      <c r="F227" s="7"/>
      <c r="G227" s="7"/>
      <c r="H227" s="7"/>
      <c r="I227" s="7"/>
      <c r="J227" s="22"/>
      <c r="K227" s="7"/>
      <c r="L227" s="17"/>
      <c r="M227" s="17"/>
      <c r="N227" s="17"/>
      <c r="O227" s="17"/>
      <c r="P227" s="17" t="str">
        <f t="shared" si="1"/>
        <v>R$ 0.00</v>
      </c>
    </row>
    <row r="228" ht="15.75" customHeight="1">
      <c r="A228" s="22"/>
      <c r="B228" s="16" t="str">
        <f t="shared" si="2"/>
        <v/>
      </c>
      <c r="C228" s="7"/>
      <c r="D228" s="7"/>
      <c r="E228" s="7"/>
      <c r="F228" s="7"/>
      <c r="G228" s="7"/>
      <c r="H228" s="7"/>
      <c r="I228" s="7"/>
      <c r="J228" s="22"/>
      <c r="K228" s="7"/>
      <c r="L228" s="17"/>
      <c r="M228" s="17"/>
      <c r="N228" s="17"/>
      <c r="O228" s="17"/>
      <c r="P228" s="17" t="str">
        <f t="shared" si="1"/>
        <v>R$ 0.00</v>
      </c>
    </row>
    <row r="229" ht="15.75" customHeight="1">
      <c r="A229" s="22"/>
      <c r="B229" s="16" t="str">
        <f t="shared" si="2"/>
        <v/>
      </c>
      <c r="C229" s="7"/>
      <c r="D229" s="7"/>
      <c r="E229" s="7"/>
      <c r="F229" s="7"/>
      <c r="G229" s="7"/>
      <c r="H229" s="7"/>
      <c r="I229" s="7"/>
      <c r="J229" s="22"/>
      <c r="K229" s="7"/>
      <c r="L229" s="17"/>
      <c r="M229" s="17"/>
      <c r="N229" s="17"/>
      <c r="O229" s="17"/>
      <c r="P229" s="17" t="str">
        <f t="shared" si="1"/>
        <v>R$ 0.00</v>
      </c>
    </row>
    <row r="230" ht="15.75" customHeight="1">
      <c r="A230" s="22"/>
      <c r="B230" s="16" t="str">
        <f t="shared" si="2"/>
        <v/>
      </c>
      <c r="C230" s="7"/>
      <c r="D230" s="7"/>
      <c r="E230" s="7"/>
      <c r="F230" s="7"/>
      <c r="G230" s="7"/>
      <c r="H230" s="7"/>
      <c r="I230" s="7"/>
      <c r="J230" s="22"/>
      <c r="K230" s="7"/>
      <c r="L230" s="17"/>
      <c r="M230" s="17"/>
      <c r="N230" s="17"/>
      <c r="O230" s="17"/>
      <c r="P230" s="17" t="str">
        <f t="shared" si="1"/>
        <v>R$ 0.00</v>
      </c>
    </row>
    <row r="231" ht="15.75" customHeight="1">
      <c r="A231" s="22"/>
      <c r="B231" s="16" t="str">
        <f t="shared" si="2"/>
        <v/>
      </c>
      <c r="C231" s="7"/>
      <c r="D231" s="7"/>
      <c r="E231" s="7"/>
      <c r="F231" s="7"/>
      <c r="G231" s="7"/>
      <c r="H231" s="7"/>
      <c r="I231" s="7"/>
      <c r="J231" s="22"/>
      <c r="K231" s="7"/>
      <c r="L231" s="17"/>
      <c r="M231" s="17"/>
      <c r="N231" s="17"/>
      <c r="O231" s="17"/>
      <c r="P231" s="17" t="str">
        <f t="shared" si="1"/>
        <v>R$ 0.00</v>
      </c>
    </row>
    <row r="232" ht="15.75" customHeight="1">
      <c r="A232" s="22"/>
      <c r="B232" s="16" t="str">
        <f t="shared" si="2"/>
        <v/>
      </c>
      <c r="C232" s="7"/>
      <c r="D232" s="7"/>
      <c r="E232" s="7"/>
      <c r="F232" s="7"/>
      <c r="G232" s="7"/>
      <c r="H232" s="7"/>
      <c r="I232" s="7"/>
      <c r="J232" s="22"/>
      <c r="K232" s="7"/>
      <c r="L232" s="17"/>
      <c r="M232" s="17"/>
      <c r="N232" s="17"/>
      <c r="O232" s="17"/>
      <c r="P232" s="17" t="str">
        <f t="shared" si="1"/>
        <v>R$ 0.00</v>
      </c>
    </row>
    <row r="233" ht="15.75" customHeight="1">
      <c r="A233" s="22"/>
      <c r="B233" s="16" t="str">
        <f t="shared" si="2"/>
        <v/>
      </c>
      <c r="C233" s="7"/>
      <c r="D233" s="7"/>
      <c r="E233" s="7"/>
      <c r="F233" s="7"/>
      <c r="G233" s="7"/>
      <c r="H233" s="7"/>
      <c r="I233" s="7"/>
      <c r="J233" s="22"/>
      <c r="K233" s="7"/>
      <c r="L233" s="17"/>
      <c r="M233" s="17"/>
      <c r="N233" s="17"/>
      <c r="O233" s="17"/>
      <c r="P233" s="17" t="str">
        <f t="shared" si="1"/>
        <v>R$ 0.00</v>
      </c>
    </row>
    <row r="234" ht="15.75" customHeight="1">
      <c r="A234" s="22"/>
      <c r="B234" s="16" t="str">
        <f t="shared" si="2"/>
        <v/>
      </c>
      <c r="C234" s="7"/>
      <c r="D234" s="7"/>
      <c r="E234" s="7"/>
      <c r="F234" s="7"/>
      <c r="G234" s="7"/>
      <c r="H234" s="7"/>
      <c r="I234" s="7"/>
      <c r="J234" s="22"/>
      <c r="K234" s="7"/>
      <c r="L234" s="17"/>
      <c r="M234" s="17"/>
      <c r="N234" s="17"/>
      <c r="O234" s="17"/>
      <c r="P234" s="17" t="str">
        <f t="shared" si="1"/>
        <v>R$ 0.00</v>
      </c>
    </row>
    <row r="235" ht="15.75" customHeight="1">
      <c r="A235" s="22"/>
      <c r="B235" s="16" t="str">
        <f t="shared" si="2"/>
        <v/>
      </c>
      <c r="C235" s="7"/>
      <c r="D235" s="7"/>
      <c r="E235" s="7"/>
      <c r="F235" s="7"/>
      <c r="G235" s="7"/>
      <c r="H235" s="7"/>
      <c r="I235" s="7"/>
      <c r="J235" s="22"/>
      <c r="K235" s="7"/>
      <c r="L235" s="17"/>
      <c r="M235" s="17"/>
      <c r="N235" s="17"/>
      <c r="O235" s="17"/>
      <c r="P235" s="17" t="str">
        <f t="shared" si="1"/>
        <v>R$ 0.00</v>
      </c>
    </row>
    <row r="236" ht="15.75" customHeight="1">
      <c r="A236" s="22"/>
      <c r="B236" s="16" t="str">
        <f t="shared" si="2"/>
        <v/>
      </c>
      <c r="C236" s="7"/>
      <c r="D236" s="7"/>
      <c r="E236" s="7"/>
      <c r="F236" s="7"/>
      <c r="G236" s="7"/>
      <c r="H236" s="7"/>
      <c r="I236" s="7"/>
      <c r="J236" s="22"/>
      <c r="K236" s="7"/>
      <c r="L236" s="17"/>
      <c r="M236" s="17"/>
      <c r="N236" s="17"/>
      <c r="O236" s="17"/>
      <c r="P236" s="17" t="str">
        <f t="shared" si="1"/>
        <v>R$ 0.00</v>
      </c>
    </row>
    <row r="237" ht="15.75" customHeight="1">
      <c r="A237" s="22"/>
      <c r="B237" s="16" t="str">
        <f t="shared" si="2"/>
        <v/>
      </c>
      <c r="C237" s="7"/>
      <c r="D237" s="7"/>
      <c r="E237" s="7"/>
      <c r="F237" s="7"/>
      <c r="G237" s="7"/>
      <c r="H237" s="7"/>
      <c r="I237" s="7"/>
      <c r="J237" s="22"/>
      <c r="K237" s="7"/>
      <c r="L237" s="17"/>
      <c r="M237" s="17"/>
      <c r="N237" s="17"/>
      <c r="O237" s="17"/>
      <c r="P237" s="17" t="str">
        <f t="shared" si="1"/>
        <v>R$ 0.00</v>
      </c>
    </row>
    <row r="238" ht="15.75" customHeight="1">
      <c r="A238" s="22"/>
      <c r="B238" s="16" t="str">
        <f t="shared" si="2"/>
        <v/>
      </c>
      <c r="C238" s="7"/>
      <c r="D238" s="7"/>
      <c r="E238" s="7"/>
      <c r="F238" s="7"/>
      <c r="G238" s="7"/>
      <c r="H238" s="7"/>
      <c r="I238" s="7"/>
      <c r="J238" s="22"/>
      <c r="K238" s="7"/>
      <c r="L238" s="17"/>
      <c r="M238" s="17"/>
      <c r="N238" s="17"/>
      <c r="O238" s="17"/>
      <c r="P238" s="17" t="str">
        <f t="shared" si="1"/>
        <v>R$ 0.00</v>
      </c>
    </row>
    <row r="239" ht="15.75" customHeight="1">
      <c r="A239" s="22"/>
      <c r="B239" s="16" t="str">
        <f t="shared" si="2"/>
        <v/>
      </c>
      <c r="C239" s="7"/>
      <c r="D239" s="7"/>
      <c r="E239" s="7"/>
      <c r="F239" s="7"/>
      <c r="G239" s="7"/>
      <c r="H239" s="7"/>
      <c r="I239" s="7"/>
      <c r="J239" s="22"/>
      <c r="K239" s="7"/>
      <c r="L239" s="17"/>
      <c r="M239" s="17"/>
      <c r="N239" s="17"/>
      <c r="O239" s="17"/>
      <c r="P239" s="17" t="str">
        <f t="shared" si="1"/>
        <v>R$ 0.00</v>
      </c>
    </row>
    <row r="240" ht="15.75" customHeight="1">
      <c r="A240" s="22"/>
      <c r="B240" s="16" t="str">
        <f t="shared" si="2"/>
        <v/>
      </c>
      <c r="C240" s="7"/>
      <c r="D240" s="7"/>
      <c r="E240" s="7"/>
      <c r="F240" s="7"/>
      <c r="G240" s="7"/>
      <c r="H240" s="7"/>
      <c r="I240" s="7"/>
      <c r="J240" s="22"/>
      <c r="K240" s="7"/>
      <c r="L240" s="17"/>
      <c r="M240" s="17"/>
      <c r="N240" s="17"/>
      <c r="O240" s="17"/>
      <c r="P240" s="17" t="str">
        <f t="shared" si="1"/>
        <v>R$ 0.00</v>
      </c>
    </row>
    <row r="241" ht="15.75" customHeight="1">
      <c r="A241" s="22"/>
      <c r="B241" s="16" t="str">
        <f t="shared" si="2"/>
        <v/>
      </c>
      <c r="C241" s="7"/>
      <c r="D241" s="7"/>
      <c r="E241" s="7"/>
      <c r="F241" s="7"/>
      <c r="G241" s="7"/>
      <c r="H241" s="7"/>
      <c r="I241" s="7"/>
      <c r="J241" s="22"/>
      <c r="K241" s="7"/>
      <c r="L241" s="17"/>
      <c r="M241" s="17"/>
      <c r="N241" s="17"/>
      <c r="O241" s="17"/>
      <c r="P241" s="17" t="str">
        <f t="shared" si="1"/>
        <v>R$ 0.00</v>
      </c>
    </row>
    <row r="242" ht="15.75" customHeight="1">
      <c r="A242" s="22"/>
      <c r="B242" s="16" t="str">
        <f t="shared" si="2"/>
        <v/>
      </c>
      <c r="C242" s="7"/>
      <c r="D242" s="7"/>
      <c r="E242" s="7"/>
      <c r="F242" s="7"/>
      <c r="G242" s="7"/>
      <c r="H242" s="7"/>
      <c r="I242" s="7"/>
      <c r="J242" s="22"/>
      <c r="K242" s="7"/>
      <c r="L242" s="17"/>
      <c r="M242" s="17"/>
      <c r="N242" s="17"/>
      <c r="O242" s="17"/>
      <c r="P242" s="17" t="str">
        <f t="shared" si="1"/>
        <v>R$ 0.00</v>
      </c>
    </row>
    <row r="243" ht="15.75" customHeight="1">
      <c r="A243" s="22"/>
      <c r="B243" s="16" t="str">
        <f t="shared" si="2"/>
        <v/>
      </c>
      <c r="C243" s="7"/>
      <c r="D243" s="7"/>
      <c r="E243" s="7"/>
      <c r="F243" s="7"/>
      <c r="G243" s="7"/>
      <c r="H243" s="7"/>
      <c r="I243" s="7"/>
      <c r="J243" s="22"/>
      <c r="K243" s="7"/>
      <c r="L243" s="17"/>
      <c r="M243" s="17"/>
      <c r="N243" s="17"/>
      <c r="O243" s="17"/>
      <c r="P243" s="17" t="str">
        <f t="shared" si="1"/>
        <v>R$ 0.00</v>
      </c>
    </row>
    <row r="244" ht="15.75" customHeight="1">
      <c r="A244" s="22"/>
      <c r="B244" s="16" t="str">
        <f t="shared" si="2"/>
        <v/>
      </c>
      <c r="C244" s="7"/>
      <c r="D244" s="7"/>
      <c r="E244" s="7"/>
      <c r="F244" s="7"/>
      <c r="G244" s="7"/>
      <c r="H244" s="7"/>
      <c r="I244" s="7"/>
      <c r="J244" s="22"/>
      <c r="K244" s="7"/>
      <c r="L244" s="17"/>
      <c r="M244" s="17"/>
      <c r="N244" s="17"/>
      <c r="O244" s="17"/>
      <c r="P244" s="17" t="str">
        <f t="shared" si="1"/>
        <v>R$ 0.00</v>
      </c>
    </row>
    <row r="245" ht="15.75" customHeight="1">
      <c r="A245" s="22"/>
      <c r="B245" s="16" t="str">
        <f t="shared" si="2"/>
        <v/>
      </c>
      <c r="C245" s="7"/>
      <c r="D245" s="7"/>
      <c r="E245" s="7"/>
      <c r="F245" s="7"/>
      <c r="G245" s="7"/>
      <c r="H245" s="7"/>
      <c r="I245" s="7"/>
      <c r="J245" s="22"/>
      <c r="K245" s="7"/>
      <c r="L245" s="17"/>
      <c r="M245" s="17"/>
      <c r="N245" s="17"/>
      <c r="O245" s="17"/>
      <c r="P245" s="17" t="str">
        <f t="shared" si="1"/>
        <v>R$ 0.00</v>
      </c>
    </row>
    <row r="246" ht="15.75" customHeight="1">
      <c r="A246" s="22"/>
      <c r="B246" s="16" t="str">
        <f t="shared" si="2"/>
        <v/>
      </c>
      <c r="C246" s="7"/>
      <c r="D246" s="7"/>
      <c r="E246" s="7"/>
      <c r="F246" s="7"/>
      <c r="G246" s="7"/>
      <c r="H246" s="7"/>
      <c r="I246" s="7"/>
      <c r="J246" s="22"/>
      <c r="K246" s="7"/>
      <c r="L246" s="17"/>
      <c r="M246" s="17"/>
      <c r="N246" s="17"/>
      <c r="O246" s="17"/>
      <c r="P246" s="17" t="str">
        <f t="shared" si="1"/>
        <v>R$ 0.00</v>
      </c>
    </row>
    <row r="247" ht="15.75" customHeight="1">
      <c r="A247" s="22"/>
      <c r="B247" s="16" t="str">
        <f t="shared" si="2"/>
        <v/>
      </c>
      <c r="C247" s="7"/>
      <c r="D247" s="7"/>
      <c r="E247" s="7"/>
      <c r="F247" s="7"/>
      <c r="G247" s="7"/>
      <c r="H247" s="7"/>
      <c r="I247" s="7"/>
      <c r="J247" s="22"/>
      <c r="K247" s="7"/>
      <c r="L247" s="17"/>
      <c r="M247" s="17"/>
      <c r="N247" s="17"/>
      <c r="O247" s="17"/>
      <c r="P247" s="17" t="str">
        <f t="shared" si="1"/>
        <v>R$ 0.00</v>
      </c>
    </row>
    <row r="248" ht="15.75" customHeight="1">
      <c r="A248" s="22"/>
      <c r="B248" s="16" t="str">
        <f t="shared" si="2"/>
        <v/>
      </c>
      <c r="C248" s="7"/>
      <c r="D248" s="7"/>
      <c r="E248" s="7"/>
      <c r="F248" s="7"/>
      <c r="G248" s="7"/>
      <c r="H248" s="7"/>
      <c r="I248" s="7"/>
      <c r="J248" s="22"/>
      <c r="K248" s="7"/>
      <c r="L248" s="17"/>
      <c r="M248" s="17"/>
      <c r="N248" s="17"/>
      <c r="O248" s="17"/>
      <c r="P248" s="17" t="str">
        <f t="shared" si="1"/>
        <v>R$ 0.00</v>
      </c>
    </row>
    <row r="249" ht="15.75" customHeight="1">
      <c r="A249" s="22"/>
      <c r="B249" s="16" t="str">
        <f t="shared" si="2"/>
        <v/>
      </c>
      <c r="C249" s="7"/>
      <c r="D249" s="7"/>
      <c r="E249" s="7"/>
      <c r="F249" s="7"/>
      <c r="G249" s="7"/>
      <c r="H249" s="7"/>
      <c r="I249" s="7"/>
      <c r="J249" s="22"/>
      <c r="K249" s="7"/>
      <c r="L249" s="17"/>
      <c r="M249" s="17"/>
      <c r="N249" s="17"/>
      <c r="O249" s="17"/>
      <c r="P249" s="17" t="str">
        <f t="shared" si="1"/>
        <v>R$ 0.00</v>
      </c>
    </row>
    <row r="250" ht="15.75" customHeight="1">
      <c r="A250" s="22"/>
      <c r="B250" s="16" t="str">
        <f t="shared" si="2"/>
        <v/>
      </c>
      <c r="C250" s="7"/>
      <c r="D250" s="7"/>
      <c r="E250" s="7"/>
      <c r="F250" s="7"/>
      <c r="G250" s="7"/>
      <c r="H250" s="7"/>
      <c r="I250" s="7"/>
      <c r="J250" s="22"/>
      <c r="K250" s="7"/>
      <c r="L250" s="17"/>
      <c r="M250" s="17"/>
      <c r="N250" s="17"/>
      <c r="O250" s="17"/>
      <c r="P250" s="17" t="str">
        <f t="shared" si="1"/>
        <v>R$ 0.00</v>
      </c>
    </row>
    <row r="251" ht="15.75" customHeight="1">
      <c r="A251" s="22"/>
      <c r="B251" s="16" t="str">
        <f t="shared" si="2"/>
        <v/>
      </c>
      <c r="C251" s="7"/>
      <c r="D251" s="7"/>
      <c r="E251" s="7"/>
      <c r="F251" s="7"/>
      <c r="G251" s="7"/>
      <c r="H251" s="7"/>
      <c r="I251" s="7"/>
      <c r="J251" s="22"/>
      <c r="K251" s="7"/>
      <c r="L251" s="17"/>
      <c r="M251" s="17"/>
      <c r="N251" s="17"/>
      <c r="O251" s="17"/>
      <c r="P251" s="17" t="str">
        <f t="shared" si="1"/>
        <v>R$ 0.00</v>
      </c>
    </row>
    <row r="252" ht="15.75" customHeight="1">
      <c r="A252" s="22"/>
      <c r="B252" s="16" t="str">
        <f t="shared" si="2"/>
        <v/>
      </c>
      <c r="C252" s="7"/>
      <c r="D252" s="7"/>
      <c r="E252" s="7"/>
      <c r="F252" s="7"/>
      <c r="G252" s="7"/>
      <c r="H252" s="7"/>
      <c r="I252" s="7"/>
      <c r="J252" s="22"/>
      <c r="K252" s="7"/>
      <c r="L252" s="17"/>
      <c r="M252" s="17"/>
      <c r="N252" s="17"/>
      <c r="O252" s="17"/>
      <c r="P252" s="17" t="str">
        <f t="shared" si="1"/>
        <v>R$ 0.00</v>
      </c>
    </row>
    <row r="253" ht="15.75" customHeight="1">
      <c r="A253" s="22"/>
      <c r="B253" s="16" t="str">
        <f t="shared" si="2"/>
        <v/>
      </c>
      <c r="C253" s="7"/>
      <c r="D253" s="7"/>
      <c r="E253" s="7"/>
      <c r="F253" s="7"/>
      <c r="G253" s="7"/>
      <c r="H253" s="7"/>
      <c r="I253" s="7"/>
      <c r="J253" s="22"/>
      <c r="K253" s="7"/>
      <c r="L253" s="17"/>
      <c r="M253" s="17"/>
      <c r="N253" s="17"/>
      <c r="O253" s="17"/>
      <c r="P253" s="17" t="str">
        <f t="shared" si="1"/>
        <v>R$ 0.00</v>
      </c>
    </row>
    <row r="254" ht="15.75" customHeight="1">
      <c r="A254" s="22"/>
      <c r="B254" s="16" t="str">
        <f t="shared" si="2"/>
        <v/>
      </c>
      <c r="C254" s="7"/>
      <c r="D254" s="7"/>
      <c r="E254" s="7"/>
      <c r="F254" s="7"/>
      <c r="G254" s="7"/>
      <c r="H254" s="7"/>
      <c r="I254" s="7"/>
      <c r="J254" s="22"/>
      <c r="K254" s="7"/>
      <c r="L254" s="17"/>
      <c r="M254" s="17"/>
      <c r="N254" s="17"/>
      <c r="O254" s="17"/>
      <c r="P254" s="17" t="str">
        <f t="shared" si="1"/>
        <v>R$ 0.00</v>
      </c>
    </row>
    <row r="255" ht="15.75" customHeight="1">
      <c r="A255" s="22"/>
      <c r="B255" s="16" t="str">
        <f t="shared" si="2"/>
        <v/>
      </c>
      <c r="C255" s="7"/>
      <c r="D255" s="7"/>
      <c r="E255" s="7"/>
      <c r="F255" s="7"/>
      <c r="G255" s="7"/>
      <c r="H255" s="7"/>
      <c r="I255" s="7"/>
      <c r="J255" s="22"/>
      <c r="K255" s="7"/>
      <c r="L255" s="17"/>
      <c r="M255" s="17"/>
      <c r="N255" s="17"/>
      <c r="O255" s="17"/>
      <c r="P255" s="17" t="str">
        <f t="shared" si="1"/>
        <v>R$ 0.00</v>
      </c>
    </row>
    <row r="256" ht="15.75" customHeight="1">
      <c r="A256" s="22"/>
      <c r="B256" s="16" t="str">
        <f t="shared" si="2"/>
        <v/>
      </c>
      <c r="C256" s="7"/>
      <c r="D256" s="7"/>
      <c r="E256" s="7"/>
      <c r="F256" s="7"/>
      <c r="G256" s="7"/>
      <c r="H256" s="7"/>
      <c r="I256" s="7"/>
      <c r="J256" s="22"/>
      <c r="K256" s="7"/>
      <c r="L256" s="17"/>
      <c r="M256" s="17"/>
      <c r="N256" s="17"/>
      <c r="O256" s="17"/>
      <c r="P256" s="17" t="str">
        <f t="shared" si="1"/>
        <v>R$ 0.00</v>
      </c>
    </row>
    <row r="257" ht="15.75" customHeight="1">
      <c r="A257" s="22"/>
      <c r="B257" s="16" t="str">
        <f t="shared" si="2"/>
        <v/>
      </c>
      <c r="C257" s="7"/>
      <c r="D257" s="7"/>
      <c r="E257" s="7"/>
      <c r="F257" s="7"/>
      <c r="G257" s="7"/>
      <c r="H257" s="7"/>
      <c r="I257" s="7"/>
      <c r="J257" s="22"/>
      <c r="K257" s="7"/>
      <c r="L257" s="17"/>
      <c r="M257" s="17"/>
      <c r="N257" s="17"/>
      <c r="O257" s="17"/>
      <c r="P257" s="17" t="str">
        <f t="shared" si="1"/>
        <v>R$ 0.00</v>
      </c>
    </row>
    <row r="258" ht="15.75" customHeight="1">
      <c r="A258" s="22"/>
      <c r="B258" s="16" t="str">
        <f t="shared" si="2"/>
        <v/>
      </c>
      <c r="C258" s="7"/>
      <c r="D258" s="7"/>
      <c r="E258" s="7"/>
      <c r="F258" s="7"/>
      <c r="G258" s="7"/>
      <c r="H258" s="7"/>
      <c r="I258" s="7"/>
      <c r="J258" s="22"/>
      <c r="K258" s="7"/>
      <c r="L258" s="17"/>
      <c r="M258" s="17"/>
      <c r="N258" s="17"/>
      <c r="O258" s="17"/>
      <c r="P258" s="17" t="str">
        <f t="shared" si="1"/>
        <v>R$ 0.00</v>
      </c>
    </row>
    <row r="259" ht="15.75" customHeight="1">
      <c r="A259" s="22"/>
      <c r="B259" s="16" t="str">
        <f t="shared" si="2"/>
        <v/>
      </c>
      <c r="C259" s="7"/>
      <c r="D259" s="7"/>
      <c r="E259" s="7"/>
      <c r="F259" s="7"/>
      <c r="G259" s="7"/>
      <c r="H259" s="7"/>
      <c r="I259" s="7"/>
      <c r="J259" s="22"/>
      <c r="K259" s="7"/>
      <c r="L259" s="17"/>
      <c r="M259" s="17"/>
      <c r="N259" s="17"/>
      <c r="O259" s="17"/>
      <c r="P259" s="17" t="str">
        <f t="shared" si="1"/>
        <v>R$ 0.00</v>
      </c>
    </row>
    <row r="260" ht="15.75" customHeight="1">
      <c r="A260" s="22"/>
      <c r="B260" s="16" t="str">
        <f t="shared" si="2"/>
        <v/>
      </c>
      <c r="C260" s="7"/>
      <c r="D260" s="7"/>
      <c r="E260" s="7"/>
      <c r="F260" s="7"/>
      <c r="G260" s="7"/>
      <c r="H260" s="7"/>
      <c r="I260" s="7"/>
      <c r="J260" s="22"/>
      <c r="K260" s="7"/>
      <c r="L260" s="17"/>
      <c r="M260" s="17"/>
      <c r="N260" s="17"/>
      <c r="O260" s="17"/>
      <c r="P260" s="17" t="str">
        <f t="shared" si="1"/>
        <v>R$ 0.00</v>
      </c>
    </row>
    <row r="261" ht="15.75" customHeight="1">
      <c r="A261" s="22"/>
      <c r="B261" s="16" t="str">
        <f t="shared" si="2"/>
        <v/>
      </c>
      <c r="C261" s="7"/>
      <c r="D261" s="7"/>
      <c r="E261" s="7"/>
      <c r="F261" s="7"/>
      <c r="G261" s="7"/>
      <c r="H261" s="7"/>
      <c r="I261" s="7"/>
      <c r="J261" s="22"/>
      <c r="K261" s="7"/>
      <c r="L261" s="17"/>
      <c r="M261" s="17"/>
      <c r="N261" s="17"/>
      <c r="O261" s="17"/>
      <c r="P261" s="17" t="str">
        <f t="shared" si="1"/>
        <v>R$ 0.00</v>
      </c>
    </row>
    <row r="262" ht="15.75" customHeight="1">
      <c r="A262" s="22"/>
      <c r="B262" s="16" t="str">
        <f t="shared" si="2"/>
        <v/>
      </c>
      <c r="C262" s="7"/>
      <c r="D262" s="7"/>
      <c r="E262" s="7"/>
      <c r="F262" s="7"/>
      <c r="G262" s="7"/>
      <c r="H262" s="7"/>
      <c r="I262" s="7"/>
      <c r="J262" s="22"/>
      <c r="K262" s="7"/>
      <c r="L262" s="17"/>
      <c r="M262" s="17"/>
      <c r="N262" s="17"/>
      <c r="O262" s="17"/>
      <c r="P262" s="17" t="str">
        <f t="shared" si="1"/>
        <v>R$ 0.00</v>
      </c>
    </row>
    <row r="263" ht="15.75" customHeight="1">
      <c r="A263" s="22"/>
      <c r="B263" s="16" t="str">
        <f t="shared" si="2"/>
        <v/>
      </c>
      <c r="C263" s="7"/>
      <c r="D263" s="7"/>
      <c r="E263" s="7"/>
      <c r="F263" s="7"/>
      <c r="G263" s="7"/>
      <c r="H263" s="7"/>
      <c r="I263" s="7"/>
      <c r="J263" s="22"/>
      <c r="K263" s="7"/>
      <c r="L263" s="17"/>
      <c r="M263" s="17"/>
      <c r="N263" s="17"/>
      <c r="O263" s="17"/>
      <c r="P263" s="17" t="str">
        <f t="shared" si="1"/>
        <v>R$ 0.00</v>
      </c>
    </row>
    <row r="264" ht="15.75" customHeight="1">
      <c r="A264" s="22"/>
      <c r="B264" s="16" t="str">
        <f t="shared" si="2"/>
        <v/>
      </c>
      <c r="C264" s="7"/>
      <c r="D264" s="7"/>
      <c r="E264" s="7"/>
      <c r="F264" s="7"/>
      <c r="G264" s="7"/>
      <c r="H264" s="7"/>
      <c r="I264" s="7"/>
      <c r="J264" s="22"/>
      <c r="K264" s="7"/>
      <c r="L264" s="17"/>
      <c r="M264" s="17"/>
      <c r="N264" s="17"/>
      <c r="O264" s="17"/>
      <c r="P264" s="17" t="str">
        <f t="shared" si="1"/>
        <v>R$ 0.00</v>
      </c>
    </row>
    <row r="265" ht="15.75" customHeight="1">
      <c r="A265" s="22"/>
      <c r="B265" s="16" t="str">
        <f t="shared" si="2"/>
        <v/>
      </c>
      <c r="C265" s="7"/>
      <c r="D265" s="7"/>
      <c r="E265" s="7"/>
      <c r="F265" s="7"/>
      <c r="G265" s="7"/>
      <c r="H265" s="7"/>
      <c r="I265" s="7"/>
      <c r="J265" s="22"/>
      <c r="K265" s="7"/>
      <c r="L265" s="17"/>
      <c r="M265" s="17"/>
      <c r="N265" s="17"/>
      <c r="O265" s="17"/>
      <c r="P265" s="17" t="str">
        <f t="shared" si="1"/>
        <v>R$ 0.00</v>
      </c>
    </row>
    <row r="266" ht="15.75" customHeight="1">
      <c r="A266" s="22"/>
      <c r="B266" s="16" t="str">
        <f t="shared" si="2"/>
        <v/>
      </c>
      <c r="C266" s="7"/>
      <c r="D266" s="7"/>
      <c r="E266" s="7"/>
      <c r="F266" s="7"/>
      <c r="G266" s="7"/>
      <c r="H266" s="7"/>
      <c r="I266" s="7"/>
      <c r="J266" s="22"/>
      <c r="K266" s="7"/>
      <c r="L266" s="17"/>
      <c r="M266" s="17"/>
      <c r="N266" s="17"/>
      <c r="O266" s="17"/>
      <c r="P266" s="17" t="str">
        <f t="shared" si="1"/>
        <v>R$ 0.00</v>
      </c>
    </row>
    <row r="267" ht="15.75" customHeight="1">
      <c r="A267" s="22"/>
      <c r="B267" s="16" t="str">
        <f t="shared" si="2"/>
        <v/>
      </c>
      <c r="C267" s="7"/>
      <c r="D267" s="7"/>
      <c r="E267" s="7"/>
      <c r="F267" s="7"/>
      <c r="G267" s="7"/>
      <c r="H267" s="7"/>
      <c r="I267" s="7"/>
      <c r="J267" s="22"/>
      <c r="K267" s="7"/>
      <c r="L267" s="17"/>
      <c r="M267" s="17"/>
      <c r="N267" s="17"/>
      <c r="O267" s="17"/>
      <c r="P267" s="17" t="str">
        <f t="shared" si="1"/>
        <v>R$ 0.00</v>
      </c>
    </row>
    <row r="268" ht="15.75" customHeight="1">
      <c r="A268" s="22"/>
      <c r="B268" s="16" t="str">
        <f t="shared" si="2"/>
        <v/>
      </c>
      <c r="C268" s="7"/>
      <c r="D268" s="7"/>
      <c r="E268" s="7"/>
      <c r="F268" s="7"/>
      <c r="G268" s="7"/>
      <c r="H268" s="7"/>
      <c r="I268" s="7"/>
      <c r="J268" s="22"/>
      <c r="K268" s="7"/>
      <c r="L268" s="17"/>
      <c r="M268" s="17"/>
      <c r="N268" s="17"/>
      <c r="O268" s="17"/>
      <c r="P268" s="17" t="str">
        <f t="shared" si="1"/>
        <v>R$ 0.00</v>
      </c>
    </row>
    <row r="269" ht="15.75" customHeight="1">
      <c r="A269" s="22"/>
      <c r="B269" s="16" t="str">
        <f t="shared" si="2"/>
        <v/>
      </c>
      <c r="C269" s="7"/>
      <c r="D269" s="7"/>
      <c r="E269" s="7"/>
      <c r="F269" s="7"/>
      <c r="G269" s="7"/>
      <c r="H269" s="7"/>
      <c r="I269" s="7"/>
      <c r="J269" s="22"/>
      <c r="K269" s="7"/>
      <c r="L269" s="17"/>
      <c r="M269" s="17"/>
      <c r="N269" s="17"/>
      <c r="O269" s="17"/>
      <c r="P269" s="17" t="str">
        <f t="shared" si="1"/>
        <v>R$ 0.00</v>
      </c>
    </row>
    <row r="270" ht="15.75" customHeight="1">
      <c r="A270" s="22"/>
      <c r="B270" s="16" t="str">
        <f t="shared" si="2"/>
        <v/>
      </c>
      <c r="C270" s="7"/>
      <c r="D270" s="7"/>
      <c r="E270" s="7"/>
      <c r="F270" s="7"/>
      <c r="G270" s="7"/>
      <c r="H270" s="7"/>
      <c r="I270" s="7"/>
      <c r="J270" s="22"/>
      <c r="K270" s="7"/>
      <c r="L270" s="17"/>
      <c r="M270" s="17"/>
      <c r="N270" s="17"/>
      <c r="O270" s="17"/>
      <c r="P270" s="17" t="str">
        <f t="shared" si="1"/>
        <v>R$ 0.00</v>
      </c>
    </row>
    <row r="271" ht="15.75" customHeight="1">
      <c r="A271" s="22"/>
      <c r="B271" s="16" t="str">
        <f t="shared" si="2"/>
        <v/>
      </c>
      <c r="C271" s="7"/>
      <c r="D271" s="7"/>
      <c r="E271" s="7"/>
      <c r="F271" s="7"/>
      <c r="G271" s="7"/>
      <c r="H271" s="7"/>
      <c r="I271" s="7"/>
      <c r="J271" s="22"/>
      <c r="K271" s="7"/>
      <c r="L271" s="17"/>
      <c r="M271" s="17"/>
      <c r="N271" s="17"/>
      <c r="O271" s="17"/>
      <c r="P271" s="17" t="str">
        <f t="shared" si="1"/>
        <v>R$ 0.00</v>
      </c>
    </row>
    <row r="272" ht="15.75" customHeight="1">
      <c r="A272" s="22"/>
      <c r="B272" s="16" t="str">
        <f t="shared" si="2"/>
        <v/>
      </c>
      <c r="C272" s="7"/>
      <c r="D272" s="7"/>
      <c r="E272" s="7"/>
      <c r="F272" s="7"/>
      <c r="G272" s="7"/>
      <c r="H272" s="7"/>
      <c r="I272" s="7"/>
      <c r="J272" s="22"/>
      <c r="K272" s="7"/>
      <c r="L272" s="17"/>
      <c r="M272" s="17"/>
      <c r="N272" s="17"/>
      <c r="O272" s="17"/>
      <c r="P272" s="17" t="str">
        <f t="shared" si="1"/>
        <v>R$ 0.00</v>
      </c>
    </row>
    <row r="273" ht="15.75" customHeight="1">
      <c r="A273" s="22"/>
      <c r="B273" s="16" t="str">
        <f t="shared" si="2"/>
        <v/>
      </c>
      <c r="C273" s="7"/>
      <c r="D273" s="7"/>
      <c r="E273" s="7"/>
      <c r="F273" s="7"/>
      <c r="G273" s="7"/>
      <c r="H273" s="7"/>
      <c r="I273" s="7"/>
      <c r="J273" s="22"/>
      <c r="K273" s="7"/>
      <c r="L273" s="17"/>
      <c r="M273" s="17"/>
      <c r="N273" s="17"/>
      <c r="O273" s="17"/>
      <c r="P273" s="17" t="str">
        <f t="shared" si="1"/>
        <v>R$ 0.00</v>
      </c>
    </row>
    <row r="274" ht="15.75" customHeight="1">
      <c r="A274" s="22"/>
      <c r="B274" s="16" t="str">
        <f t="shared" si="2"/>
        <v/>
      </c>
      <c r="C274" s="7"/>
      <c r="D274" s="7"/>
      <c r="E274" s="7"/>
      <c r="F274" s="7"/>
      <c r="G274" s="7"/>
      <c r="H274" s="7"/>
      <c r="I274" s="7"/>
      <c r="J274" s="22"/>
      <c r="K274" s="7"/>
      <c r="L274" s="17"/>
      <c r="M274" s="17"/>
      <c r="N274" s="17"/>
      <c r="O274" s="17"/>
      <c r="P274" s="17" t="str">
        <f t="shared" si="1"/>
        <v>R$ 0.00</v>
      </c>
    </row>
    <row r="275" ht="15.75" customHeight="1">
      <c r="A275" s="22"/>
      <c r="B275" s="16" t="str">
        <f t="shared" si="2"/>
        <v/>
      </c>
      <c r="C275" s="7"/>
      <c r="D275" s="7"/>
      <c r="E275" s="7"/>
      <c r="F275" s="7"/>
      <c r="G275" s="7"/>
      <c r="H275" s="7"/>
      <c r="I275" s="7"/>
      <c r="J275" s="22"/>
      <c r="K275" s="7"/>
      <c r="L275" s="17"/>
      <c r="M275" s="17"/>
      <c r="N275" s="17"/>
      <c r="O275" s="17"/>
      <c r="P275" s="17" t="str">
        <f t="shared" si="1"/>
        <v>R$ 0.00</v>
      </c>
    </row>
    <row r="276" ht="15.75" customHeight="1">
      <c r="A276" s="22"/>
      <c r="B276" s="16" t="str">
        <f t="shared" si="2"/>
        <v/>
      </c>
      <c r="C276" s="7"/>
      <c r="D276" s="7"/>
      <c r="E276" s="7"/>
      <c r="F276" s="7"/>
      <c r="G276" s="7"/>
      <c r="H276" s="7"/>
      <c r="I276" s="7"/>
      <c r="J276" s="22"/>
      <c r="K276" s="7"/>
      <c r="L276" s="17"/>
      <c r="M276" s="17"/>
      <c r="N276" s="17"/>
      <c r="O276" s="17"/>
      <c r="P276" s="17" t="str">
        <f t="shared" si="1"/>
        <v>R$ 0.00</v>
      </c>
    </row>
    <row r="277" ht="15.75" customHeight="1">
      <c r="A277" s="22"/>
      <c r="B277" s="16" t="str">
        <f t="shared" si="2"/>
        <v/>
      </c>
      <c r="C277" s="7"/>
      <c r="D277" s="7"/>
      <c r="E277" s="7"/>
      <c r="F277" s="7"/>
      <c r="G277" s="7"/>
      <c r="H277" s="7"/>
      <c r="I277" s="7"/>
      <c r="J277" s="22"/>
      <c r="K277" s="7"/>
      <c r="L277" s="17"/>
      <c r="M277" s="17"/>
      <c r="N277" s="17"/>
      <c r="O277" s="17"/>
      <c r="P277" s="17" t="str">
        <f t="shared" si="1"/>
        <v>R$ 0.00</v>
      </c>
    </row>
    <row r="278" ht="15.75" customHeight="1">
      <c r="A278" s="22"/>
      <c r="B278" s="16" t="str">
        <f t="shared" si="2"/>
        <v/>
      </c>
      <c r="C278" s="7"/>
      <c r="D278" s="7"/>
      <c r="E278" s="7"/>
      <c r="F278" s="7"/>
      <c r="G278" s="7"/>
      <c r="H278" s="7"/>
      <c r="I278" s="7"/>
      <c r="J278" s="22"/>
      <c r="K278" s="7"/>
      <c r="L278" s="17"/>
      <c r="M278" s="17"/>
      <c r="N278" s="17"/>
      <c r="O278" s="17"/>
      <c r="P278" s="17" t="str">
        <f t="shared" si="1"/>
        <v>R$ 0.00</v>
      </c>
    </row>
    <row r="279" ht="15.75" customHeight="1">
      <c r="A279" s="22"/>
      <c r="B279" s="16" t="str">
        <f t="shared" si="2"/>
        <v/>
      </c>
      <c r="C279" s="7"/>
      <c r="D279" s="7"/>
      <c r="E279" s="7"/>
      <c r="F279" s="7"/>
      <c r="G279" s="7"/>
      <c r="H279" s="7"/>
      <c r="I279" s="7"/>
      <c r="J279" s="22"/>
      <c r="K279" s="7"/>
      <c r="L279" s="17"/>
      <c r="M279" s="17"/>
      <c r="N279" s="17"/>
      <c r="O279" s="17"/>
      <c r="P279" s="17" t="str">
        <f t="shared" si="1"/>
        <v>R$ 0.00</v>
      </c>
    </row>
    <row r="280" ht="15.75" customHeight="1">
      <c r="A280" s="22"/>
      <c r="B280" s="16" t="str">
        <f t="shared" si="2"/>
        <v/>
      </c>
      <c r="C280" s="7"/>
      <c r="D280" s="7"/>
      <c r="E280" s="7"/>
      <c r="F280" s="7"/>
      <c r="G280" s="7"/>
      <c r="H280" s="7"/>
      <c r="I280" s="7"/>
      <c r="J280" s="22"/>
      <c r="K280" s="7"/>
      <c r="L280" s="17"/>
      <c r="M280" s="17"/>
      <c r="N280" s="17"/>
      <c r="O280" s="17"/>
      <c r="P280" s="17" t="str">
        <f t="shared" si="1"/>
        <v>R$ 0.00</v>
      </c>
    </row>
    <row r="281" ht="15.75" customHeight="1">
      <c r="A281" s="22"/>
      <c r="B281" s="16" t="str">
        <f t="shared" si="2"/>
        <v/>
      </c>
      <c r="C281" s="7"/>
      <c r="D281" s="7"/>
      <c r="E281" s="7"/>
      <c r="F281" s="7"/>
      <c r="G281" s="7"/>
      <c r="H281" s="7"/>
      <c r="I281" s="7"/>
      <c r="J281" s="22"/>
      <c r="K281" s="7"/>
      <c r="L281" s="17"/>
      <c r="M281" s="17"/>
      <c r="N281" s="17"/>
      <c r="O281" s="17"/>
      <c r="P281" s="17" t="str">
        <f t="shared" si="1"/>
        <v>R$ 0.00</v>
      </c>
    </row>
    <row r="282" ht="15.75" customHeight="1">
      <c r="A282" s="22"/>
      <c r="B282" s="16" t="str">
        <f t="shared" si="2"/>
        <v/>
      </c>
      <c r="C282" s="7"/>
      <c r="D282" s="7"/>
      <c r="E282" s="7"/>
      <c r="F282" s="7"/>
      <c r="G282" s="7"/>
      <c r="H282" s="7"/>
      <c r="I282" s="7"/>
      <c r="J282" s="22"/>
      <c r="K282" s="7"/>
      <c r="L282" s="17"/>
      <c r="M282" s="17"/>
      <c r="N282" s="17"/>
      <c r="O282" s="17"/>
      <c r="P282" s="17" t="str">
        <f t="shared" si="1"/>
        <v>R$ 0.00</v>
      </c>
    </row>
    <row r="283" ht="15.75" customHeight="1">
      <c r="A283" s="22"/>
      <c r="B283" s="16" t="str">
        <f t="shared" si="2"/>
        <v/>
      </c>
      <c r="C283" s="7"/>
      <c r="D283" s="7"/>
      <c r="E283" s="7"/>
      <c r="F283" s="7"/>
      <c r="G283" s="7"/>
      <c r="H283" s="7"/>
      <c r="I283" s="7"/>
      <c r="J283" s="22"/>
      <c r="K283" s="7"/>
      <c r="L283" s="17"/>
      <c r="M283" s="17"/>
      <c r="N283" s="17"/>
      <c r="O283" s="17"/>
      <c r="P283" s="17" t="str">
        <f t="shared" si="1"/>
        <v>R$ 0.00</v>
      </c>
    </row>
    <row r="284" ht="15.75" customHeight="1">
      <c r="A284" s="22"/>
      <c r="B284" s="16" t="str">
        <f t="shared" si="2"/>
        <v/>
      </c>
      <c r="C284" s="7"/>
      <c r="D284" s="7"/>
      <c r="E284" s="7"/>
      <c r="F284" s="7"/>
      <c r="G284" s="7"/>
      <c r="H284" s="7"/>
      <c r="I284" s="7"/>
      <c r="J284" s="22"/>
      <c r="K284" s="7"/>
      <c r="L284" s="17"/>
      <c r="M284" s="17"/>
      <c r="N284" s="17"/>
      <c r="O284" s="17"/>
      <c r="P284" s="17" t="str">
        <f t="shared" si="1"/>
        <v>R$ 0.00</v>
      </c>
    </row>
    <row r="285" ht="15.75" customHeight="1">
      <c r="A285" s="22"/>
      <c r="B285" s="16" t="str">
        <f t="shared" si="2"/>
        <v/>
      </c>
      <c r="C285" s="7"/>
      <c r="D285" s="7"/>
      <c r="E285" s="7"/>
      <c r="F285" s="7"/>
      <c r="G285" s="7"/>
      <c r="H285" s="7"/>
      <c r="I285" s="7"/>
      <c r="J285" s="22"/>
      <c r="K285" s="7"/>
      <c r="L285" s="17"/>
      <c r="M285" s="17"/>
      <c r="N285" s="17"/>
      <c r="O285" s="17"/>
      <c r="P285" s="17" t="str">
        <f t="shared" si="1"/>
        <v>R$ 0.00</v>
      </c>
    </row>
    <row r="286" ht="15.75" customHeight="1">
      <c r="A286" s="22"/>
      <c r="B286" s="16" t="str">
        <f t="shared" si="2"/>
        <v/>
      </c>
      <c r="C286" s="7"/>
      <c r="D286" s="7"/>
      <c r="E286" s="7"/>
      <c r="F286" s="7"/>
      <c r="G286" s="7"/>
      <c r="H286" s="7"/>
      <c r="I286" s="7"/>
      <c r="J286" s="22"/>
      <c r="K286" s="7"/>
      <c r="L286" s="17"/>
      <c r="M286" s="17"/>
      <c r="N286" s="17"/>
      <c r="O286" s="17"/>
      <c r="P286" s="17" t="str">
        <f t="shared" si="1"/>
        <v>R$ 0.00</v>
      </c>
    </row>
    <row r="287" ht="15.75" customHeight="1">
      <c r="A287" s="22"/>
      <c r="B287" s="16" t="str">
        <f t="shared" si="2"/>
        <v/>
      </c>
      <c r="C287" s="7"/>
      <c r="D287" s="7"/>
      <c r="E287" s="7"/>
      <c r="F287" s="7"/>
      <c r="G287" s="7"/>
      <c r="H287" s="7"/>
      <c r="I287" s="7"/>
      <c r="J287" s="22"/>
      <c r="K287" s="7"/>
      <c r="L287" s="17"/>
      <c r="M287" s="17"/>
      <c r="N287" s="17"/>
      <c r="O287" s="17"/>
      <c r="P287" s="17" t="str">
        <f t="shared" si="1"/>
        <v>R$ 0.00</v>
      </c>
    </row>
    <row r="288" ht="15.75" customHeight="1">
      <c r="A288" s="22"/>
      <c r="B288" s="16" t="str">
        <f t="shared" si="2"/>
        <v/>
      </c>
      <c r="C288" s="7"/>
      <c r="D288" s="7"/>
      <c r="E288" s="7"/>
      <c r="F288" s="7"/>
      <c r="G288" s="7"/>
      <c r="H288" s="7"/>
      <c r="I288" s="7"/>
      <c r="J288" s="22"/>
      <c r="K288" s="7"/>
      <c r="L288" s="17"/>
      <c r="M288" s="17"/>
      <c r="N288" s="17"/>
      <c r="O288" s="17"/>
      <c r="P288" s="17" t="str">
        <f t="shared" si="1"/>
        <v>R$ 0.00</v>
      </c>
    </row>
    <row r="289" ht="15.75" customHeight="1">
      <c r="A289" s="22"/>
      <c r="B289" s="16" t="str">
        <f t="shared" si="2"/>
        <v/>
      </c>
      <c r="C289" s="7"/>
      <c r="D289" s="7"/>
      <c r="E289" s="7"/>
      <c r="F289" s="7"/>
      <c r="G289" s="7"/>
      <c r="H289" s="7"/>
      <c r="I289" s="7"/>
      <c r="J289" s="22"/>
      <c r="K289" s="7"/>
      <c r="L289" s="17"/>
      <c r="M289" s="17"/>
      <c r="N289" s="17"/>
      <c r="O289" s="17"/>
      <c r="P289" s="17" t="str">
        <f t="shared" si="1"/>
        <v>R$ 0.00</v>
      </c>
    </row>
    <row r="290" ht="15.75" customHeight="1">
      <c r="A290" s="22"/>
      <c r="B290" s="16" t="str">
        <f t="shared" si="2"/>
        <v/>
      </c>
      <c r="C290" s="7"/>
      <c r="D290" s="7"/>
      <c r="E290" s="7"/>
      <c r="F290" s="7"/>
      <c r="G290" s="7"/>
      <c r="H290" s="7"/>
      <c r="I290" s="7"/>
      <c r="J290" s="22"/>
      <c r="K290" s="7"/>
      <c r="L290" s="17"/>
      <c r="M290" s="17"/>
      <c r="N290" s="17"/>
      <c r="O290" s="17"/>
      <c r="P290" s="17" t="str">
        <f t="shared" si="1"/>
        <v>R$ 0.00</v>
      </c>
    </row>
    <row r="291" ht="15.75" customHeight="1">
      <c r="A291" s="22"/>
      <c r="B291" s="16" t="str">
        <f t="shared" si="2"/>
        <v/>
      </c>
      <c r="C291" s="7"/>
      <c r="D291" s="7"/>
      <c r="E291" s="7"/>
      <c r="F291" s="7"/>
      <c r="G291" s="7"/>
      <c r="H291" s="7"/>
      <c r="I291" s="7"/>
      <c r="J291" s="22"/>
      <c r="K291" s="7"/>
      <c r="L291" s="17"/>
      <c r="M291" s="17"/>
      <c r="N291" s="17"/>
      <c r="O291" s="17"/>
      <c r="P291" s="17" t="str">
        <f t="shared" si="1"/>
        <v>R$ 0.00</v>
      </c>
    </row>
    <row r="292" ht="15.75" customHeight="1">
      <c r="A292" s="22"/>
      <c r="B292" s="16" t="str">
        <f t="shared" si="2"/>
        <v/>
      </c>
      <c r="C292" s="7"/>
      <c r="D292" s="7"/>
      <c r="E292" s="7"/>
      <c r="F292" s="7"/>
      <c r="G292" s="7"/>
      <c r="H292" s="7"/>
      <c r="I292" s="7"/>
      <c r="J292" s="22"/>
      <c r="K292" s="7"/>
      <c r="L292" s="17"/>
      <c r="M292" s="17"/>
      <c r="N292" s="17"/>
      <c r="O292" s="17"/>
      <c r="P292" s="17" t="str">
        <f t="shared" si="1"/>
        <v>R$ 0.00</v>
      </c>
    </row>
    <row r="293" ht="15.75" customHeight="1">
      <c r="A293" s="22"/>
      <c r="B293" s="16" t="str">
        <f t="shared" si="2"/>
        <v/>
      </c>
      <c r="C293" s="7"/>
      <c r="D293" s="7"/>
      <c r="E293" s="7"/>
      <c r="F293" s="7"/>
      <c r="G293" s="7"/>
      <c r="H293" s="7"/>
      <c r="I293" s="7"/>
      <c r="J293" s="22"/>
      <c r="K293" s="7"/>
      <c r="L293" s="17"/>
      <c r="M293" s="17"/>
      <c r="N293" s="17"/>
      <c r="O293" s="17"/>
      <c r="P293" s="17" t="str">
        <f t="shared" si="1"/>
        <v>R$ 0.00</v>
      </c>
    </row>
    <row r="294" ht="15.75" customHeight="1">
      <c r="A294" s="22"/>
      <c r="B294" s="16" t="str">
        <f t="shared" si="2"/>
        <v/>
      </c>
      <c r="C294" s="7"/>
      <c r="D294" s="7"/>
      <c r="E294" s="7"/>
      <c r="F294" s="7"/>
      <c r="G294" s="7"/>
      <c r="H294" s="7"/>
      <c r="I294" s="7"/>
      <c r="J294" s="22"/>
      <c r="K294" s="7"/>
      <c r="L294" s="17"/>
      <c r="M294" s="17"/>
      <c r="N294" s="17"/>
      <c r="O294" s="17"/>
      <c r="P294" s="17" t="str">
        <f t="shared" si="1"/>
        <v>R$ 0.00</v>
      </c>
    </row>
    <row r="295" ht="15.75" customHeight="1">
      <c r="A295" s="22"/>
      <c r="B295" s="16" t="str">
        <f t="shared" si="2"/>
        <v/>
      </c>
      <c r="C295" s="7"/>
      <c r="D295" s="7"/>
      <c r="E295" s="7"/>
      <c r="F295" s="7"/>
      <c r="G295" s="7"/>
      <c r="H295" s="7"/>
      <c r="I295" s="7"/>
      <c r="J295" s="22"/>
      <c r="K295" s="7"/>
      <c r="L295" s="17"/>
      <c r="M295" s="17"/>
      <c r="N295" s="17"/>
      <c r="O295" s="17"/>
      <c r="P295" s="17" t="str">
        <f t="shared" si="1"/>
        <v>R$ 0.00</v>
      </c>
    </row>
    <row r="296" ht="15.75" customHeight="1">
      <c r="A296" s="22"/>
      <c r="B296" s="16" t="str">
        <f t="shared" si="2"/>
        <v/>
      </c>
      <c r="C296" s="7"/>
      <c r="D296" s="7"/>
      <c r="E296" s="7"/>
      <c r="F296" s="7"/>
      <c r="G296" s="7"/>
      <c r="H296" s="7"/>
      <c r="I296" s="7"/>
      <c r="J296" s="22"/>
      <c r="K296" s="7"/>
      <c r="L296" s="17"/>
      <c r="M296" s="17"/>
      <c r="N296" s="17"/>
      <c r="O296" s="17"/>
      <c r="P296" s="17" t="str">
        <f t="shared" si="1"/>
        <v>R$ 0.00</v>
      </c>
    </row>
    <row r="297" ht="15.75" customHeight="1">
      <c r="A297" s="22"/>
      <c r="B297" s="16" t="str">
        <f t="shared" si="2"/>
        <v/>
      </c>
      <c r="C297" s="7"/>
      <c r="D297" s="7"/>
      <c r="E297" s="7"/>
      <c r="F297" s="7"/>
      <c r="G297" s="7"/>
      <c r="H297" s="7"/>
      <c r="I297" s="7"/>
      <c r="J297" s="22"/>
      <c r="K297" s="7"/>
      <c r="L297" s="17"/>
      <c r="M297" s="17"/>
      <c r="N297" s="17"/>
      <c r="O297" s="17"/>
      <c r="P297" s="17" t="str">
        <f t="shared" si="1"/>
        <v>R$ 0.00</v>
      </c>
    </row>
    <row r="298" ht="15.75" customHeight="1">
      <c r="A298" s="22"/>
      <c r="B298" s="16" t="str">
        <f t="shared" si="2"/>
        <v/>
      </c>
      <c r="C298" s="7"/>
      <c r="D298" s="7"/>
      <c r="E298" s="7"/>
      <c r="F298" s="7"/>
      <c r="G298" s="7"/>
      <c r="H298" s="7"/>
      <c r="I298" s="7"/>
      <c r="J298" s="22"/>
      <c r="K298" s="7"/>
      <c r="L298" s="17"/>
      <c r="M298" s="17"/>
      <c r="N298" s="17"/>
      <c r="O298" s="17"/>
      <c r="P298" s="17" t="str">
        <f t="shared" si="1"/>
        <v>R$ 0.00</v>
      </c>
    </row>
    <row r="299" ht="15.75" customHeight="1">
      <c r="A299" s="22"/>
      <c r="B299" s="16" t="str">
        <f t="shared" si="2"/>
        <v/>
      </c>
      <c r="C299" s="7"/>
      <c r="D299" s="7"/>
      <c r="E299" s="7"/>
      <c r="F299" s="7"/>
      <c r="G299" s="7"/>
      <c r="H299" s="7"/>
      <c r="I299" s="7"/>
      <c r="J299" s="22"/>
      <c r="K299" s="7"/>
      <c r="L299" s="17"/>
      <c r="M299" s="17"/>
      <c r="N299" s="17"/>
      <c r="O299" s="17"/>
      <c r="P299" s="17" t="str">
        <f t="shared" si="1"/>
        <v>R$ 0.00</v>
      </c>
    </row>
    <row r="300" ht="15.75" customHeight="1">
      <c r="A300" s="22"/>
      <c r="B300" s="16" t="str">
        <f t="shared" si="2"/>
        <v/>
      </c>
      <c r="C300" s="7"/>
      <c r="D300" s="7"/>
      <c r="E300" s="7"/>
      <c r="F300" s="7"/>
      <c r="G300" s="7"/>
      <c r="H300" s="7"/>
      <c r="I300" s="7"/>
      <c r="J300" s="22"/>
      <c r="K300" s="7"/>
      <c r="L300" s="17"/>
      <c r="M300" s="17"/>
      <c r="N300" s="17"/>
      <c r="O300" s="17"/>
      <c r="P300" s="17" t="str">
        <f t="shared" si="1"/>
        <v>R$ 0.00</v>
      </c>
    </row>
  </sheetData>
  <mergeCells count="8">
    <mergeCell ref="R1:T1"/>
    <mergeCell ref="R7:S7"/>
    <mergeCell ref="R17:S17"/>
    <mergeCell ref="R30:S30"/>
    <mergeCell ref="R38:S38"/>
    <mergeCell ref="R45:S45"/>
    <mergeCell ref="R54:T54"/>
    <mergeCell ref="R56:T56"/>
  </mergeCells>
  <conditionalFormatting sqref="K2:K300">
    <cfRule type="cellIs" dxfId="0" priority="1" operator="equal">
      <formula>"Resolvido"</formula>
    </cfRule>
  </conditionalFormatting>
  <conditionalFormatting sqref="K2:K300">
    <cfRule type="cellIs" dxfId="2" priority="2" operator="equal">
      <formula>"Aberto"</formula>
    </cfRule>
  </conditionalFormatting>
  <conditionalFormatting sqref="K2:K300">
    <cfRule type="expression" dxfId="1" priority="3">
      <formula>OR(K2="Em andamento",K2="Aguardando cliente")</formula>
    </cfRule>
  </conditionalFormatting>
  <dataValidations>
    <dataValidation type="list" allowBlank="1" sqref="K2:K300">
      <formula1>"Aberto,Em andamento,Aguardando cliente,Resolvido,Cancelado"</formula1>
    </dataValidation>
    <dataValidation type="list" allowBlank="1" sqref="D2:D300">
      <formula1>"Cadeira de cabelo,Lavatorio/Shampoo,Carrinho auxiliar,Espelho/Estacao,Recepcao/Sofa,Maca,Outro"</formula1>
    </dataValidation>
    <dataValidation type="list" allowBlank="1" sqref="C2:C300">
      <formula1>"Mercado Livre,Instagram,Lojista"</formula1>
    </dataValidation>
    <dataValidation type="list" allowBlank="1" sqref="F2:F300">
      <formula1>"Acabamento,Embalagem,Material,Hidraulica,Costura,Montagem,Peca faltante,Peca quebrada,Dificuldade de montagem,Outros"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14.0"/>
    <col customWidth="1" min="5" max="5" width="18.0"/>
    <col customWidth="1" min="6" max="6" width="12.0"/>
    <col customWidth="1" min="7" max="7" width="10.0"/>
    <col customWidth="1" min="8" max="8" width="30.0"/>
    <col customWidth="1" min="9" max="10" width="14.0"/>
    <col customWidth="1" min="11" max="21" width="8.71"/>
  </cols>
  <sheetData>
    <row r="1">
      <c r="A1" s="6" t="s">
        <v>187</v>
      </c>
      <c r="B1" s="6" t="s">
        <v>29</v>
      </c>
      <c r="C1" s="6" t="s">
        <v>188</v>
      </c>
      <c r="D1" s="6" t="s">
        <v>189</v>
      </c>
      <c r="E1" s="6" t="s">
        <v>190</v>
      </c>
      <c r="F1" s="6" t="s">
        <v>142</v>
      </c>
      <c r="G1" s="6" t="s">
        <v>191</v>
      </c>
      <c r="H1" s="6" t="s">
        <v>192</v>
      </c>
      <c r="I1" s="6" t="s">
        <v>193</v>
      </c>
      <c r="J1" s="6" t="s">
        <v>137</v>
      </c>
      <c r="L1" s="5" t="s">
        <v>194</v>
      </c>
    </row>
    <row r="2">
      <c r="A2" s="28">
        <v>46266.0</v>
      </c>
      <c r="B2" s="29" t="s">
        <v>195</v>
      </c>
      <c r="C2" s="29" t="s">
        <v>196</v>
      </c>
      <c r="D2" s="28">
        <v>46235.0</v>
      </c>
      <c r="E2" s="29" t="s">
        <v>197</v>
      </c>
      <c r="F2" s="29">
        <v>5.0</v>
      </c>
      <c r="G2" s="29">
        <v>9.0</v>
      </c>
      <c r="H2" s="29" t="s">
        <v>198</v>
      </c>
      <c r="I2" s="29" t="s">
        <v>123</v>
      </c>
      <c r="J2" s="29" t="s">
        <v>154</v>
      </c>
      <c r="L2" s="6" t="s">
        <v>199</v>
      </c>
      <c r="M2" s="6" t="s">
        <v>98</v>
      </c>
    </row>
    <row r="3">
      <c r="A3" s="22"/>
      <c r="B3" s="7"/>
      <c r="C3" s="7"/>
      <c r="D3" s="22"/>
      <c r="E3" s="7"/>
      <c r="F3" s="7"/>
      <c r="G3" s="7"/>
      <c r="H3" s="7"/>
      <c r="I3" s="7"/>
      <c r="J3" s="7"/>
      <c r="L3" s="7">
        <v>1.0</v>
      </c>
      <c r="M3" s="7" t="str">
        <f>COUNTIF(F3:F150,L3)</f>
        <v>0</v>
      </c>
    </row>
    <row r="4">
      <c r="A4" s="22"/>
      <c r="B4" s="7"/>
      <c r="C4" s="7"/>
      <c r="D4" s="22"/>
      <c r="E4" s="7"/>
      <c r="F4" s="7"/>
      <c r="G4" s="7"/>
      <c r="H4" s="7"/>
      <c r="I4" s="7"/>
      <c r="J4" s="7"/>
      <c r="L4" s="7">
        <v>2.0</v>
      </c>
      <c r="M4" s="7" t="str">
        <f>COUNTIF(F3:F150,L4)</f>
        <v>0</v>
      </c>
    </row>
    <row r="5">
      <c r="A5" s="22"/>
      <c r="B5" s="7"/>
      <c r="C5" s="7"/>
      <c r="D5" s="22"/>
      <c r="E5" s="7"/>
      <c r="F5" s="7"/>
      <c r="G5" s="7"/>
      <c r="H5" s="7"/>
      <c r="I5" s="7"/>
      <c r="J5" s="7"/>
      <c r="L5" s="7">
        <v>3.0</v>
      </c>
      <c r="M5" s="7" t="str">
        <f>COUNTIF(F3:F150,L5)</f>
        <v>0</v>
      </c>
    </row>
    <row r="6">
      <c r="A6" s="22"/>
      <c r="B6" s="7"/>
      <c r="C6" s="7"/>
      <c r="D6" s="22"/>
      <c r="E6" s="7"/>
      <c r="F6" s="7"/>
      <c r="G6" s="7"/>
      <c r="H6" s="7"/>
      <c r="I6" s="7"/>
      <c r="J6" s="7"/>
      <c r="L6" s="7">
        <v>4.0</v>
      </c>
      <c r="M6" s="7" t="str">
        <f>COUNTIF(F3:F150,L6)</f>
        <v>0</v>
      </c>
    </row>
    <row r="7">
      <c r="A7" s="22"/>
      <c r="B7" s="7"/>
      <c r="C7" s="7"/>
      <c r="D7" s="22"/>
      <c r="E7" s="7"/>
      <c r="F7" s="7"/>
      <c r="G7" s="7"/>
      <c r="H7" s="7"/>
      <c r="I7" s="7"/>
      <c r="J7" s="7"/>
      <c r="L7" s="7">
        <v>5.0</v>
      </c>
      <c r="M7" s="7" t="str">
        <f>COUNTIF(F3:F150,L7)</f>
        <v>0</v>
      </c>
    </row>
    <row r="8">
      <c r="A8" s="22"/>
      <c r="B8" s="7"/>
      <c r="C8" s="7"/>
      <c r="D8" s="22"/>
      <c r="E8" s="7"/>
      <c r="F8" s="7"/>
      <c r="G8" s="7"/>
      <c r="H8" s="7"/>
      <c r="I8" s="7"/>
      <c r="J8" s="7"/>
    </row>
    <row r="9">
      <c r="A9" s="22"/>
      <c r="B9" s="7"/>
      <c r="C9" s="7"/>
      <c r="D9" s="22"/>
      <c r="E9" s="7"/>
      <c r="F9" s="7"/>
      <c r="G9" s="7"/>
      <c r="H9" s="7"/>
      <c r="I9" s="7"/>
      <c r="J9" s="7"/>
    </row>
    <row r="10">
      <c r="A10" s="22"/>
      <c r="B10" s="7"/>
      <c r="C10" s="7"/>
      <c r="D10" s="22"/>
      <c r="E10" s="7"/>
      <c r="F10" s="7"/>
      <c r="G10" s="7"/>
      <c r="H10" s="7"/>
      <c r="I10" s="7"/>
      <c r="J10" s="7"/>
    </row>
    <row r="11">
      <c r="A11" s="22"/>
      <c r="B11" s="7"/>
      <c r="C11" s="7"/>
      <c r="D11" s="22"/>
      <c r="E11" s="7"/>
      <c r="F11" s="7"/>
      <c r="G11" s="7"/>
      <c r="H11" s="7"/>
      <c r="I11" s="7"/>
      <c r="J11" s="7"/>
    </row>
    <row r="12">
      <c r="A12" s="22"/>
      <c r="B12" s="7"/>
      <c r="C12" s="7"/>
      <c r="D12" s="22"/>
      <c r="E12" s="7"/>
      <c r="F12" s="7"/>
      <c r="G12" s="7"/>
      <c r="H12" s="7"/>
      <c r="I12" s="7"/>
      <c r="J12" s="7"/>
    </row>
    <row r="13">
      <c r="A13" s="22"/>
      <c r="B13" s="7"/>
      <c r="C13" s="7"/>
      <c r="D13" s="22"/>
      <c r="E13" s="7"/>
      <c r="F13" s="7"/>
      <c r="G13" s="7"/>
      <c r="H13" s="7"/>
      <c r="I13" s="7"/>
      <c r="J13" s="7"/>
    </row>
    <row r="14">
      <c r="A14" s="22"/>
      <c r="B14" s="7"/>
      <c r="C14" s="7"/>
      <c r="D14" s="22"/>
      <c r="E14" s="7"/>
      <c r="F14" s="7"/>
      <c r="G14" s="7"/>
      <c r="H14" s="7"/>
      <c r="I14" s="7"/>
      <c r="J14" s="7"/>
    </row>
    <row r="15">
      <c r="A15" s="22"/>
      <c r="B15" s="7"/>
      <c r="C15" s="7"/>
      <c r="D15" s="22"/>
      <c r="E15" s="7"/>
      <c r="F15" s="7"/>
      <c r="G15" s="7"/>
      <c r="H15" s="7"/>
      <c r="I15" s="7"/>
      <c r="J15" s="7"/>
    </row>
    <row r="16">
      <c r="A16" s="22"/>
      <c r="B16" s="7"/>
      <c r="C16" s="7"/>
      <c r="D16" s="22"/>
      <c r="E16" s="7"/>
      <c r="F16" s="7"/>
      <c r="G16" s="7"/>
      <c r="H16" s="7"/>
      <c r="I16" s="7"/>
      <c r="J16" s="7"/>
    </row>
    <row r="17">
      <c r="A17" s="22"/>
      <c r="B17" s="7"/>
      <c r="C17" s="7"/>
      <c r="D17" s="22"/>
      <c r="E17" s="7"/>
      <c r="F17" s="7"/>
      <c r="G17" s="7"/>
      <c r="H17" s="7"/>
      <c r="I17" s="7"/>
      <c r="J17" s="7"/>
    </row>
    <row r="18">
      <c r="A18" s="22"/>
      <c r="B18" s="7"/>
      <c r="C18" s="7"/>
      <c r="D18" s="22"/>
      <c r="E18" s="7"/>
      <c r="F18" s="7"/>
      <c r="G18" s="7"/>
      <c r="H18" s="7"/>
      <c r="I18" s="7"/>
      <c r="J18" s="7"/>
    </row>
    <row r="19">
      <c r="A19" s="22"/>
      <c r="B19" s="7"/>
      <c r="C19" s="7"/>
      <c r="D19" s="22"/>
      <c r="E19" s="7"/>
      <c r="F19" s="7"/>
      <c r="G19" s="7"/>
      <c r="H19" s="7"/>
      <c r="I19" s="7"/>
      <c r="J19" s="7"/>
    </row>
    <row r="20">
      <c r="A20" s="22"/>
      <c r="B20" s="7"/>
      <c r="C20" s="7"/>
      <c r="D20" s="22"/>
      <c r="E20" s="7"/>
      <c r="F20" s="7"/>
      <c r="G20" s="7"/>
      <c r="H20" s="7"/>
      <c r="I20" s="7"/>
      <c r="J20" s="7"/>
    </row>
    <row r="21" ht="15.75" customHeight="1">
      <c r="A21" s="22"/>
      <c r="B21" s="7"/>
      <c r="C21" s="7"/>
      <c r="D21" s="22"/>
      <c r="E21" s="7"/>
      <c r="F21" s="7"/>
      <c r="G21" s="7"/>
      <c r="H21" s="7"/>
      <c r="I21" s="7"/>
      <c r="J21" s="7"/>
    </row>
    <row r="22" ht="15.75" customHeight="1">
      <c r="A22" s="22"/>
      <c r="B22" s="7"/>
      <c r="C22" s="7"/>
      <c r="D22" s="22"/>
      <c r="E22" s="7"/>
      <c r="F22" s="7"/>
      <c r="G22" s="7"/>
      <c r="H22" s="7"/>
      <c r="I22" s="7"/>
      <c r="J22" s="7"/>
    </row>
    <row r="23" ht="15.75" customHeight="1">
      <c r="A23" s="22"/>
      <c r="B23" s="7"/>
      <c r="C23" s="7"/>
      <c r="D23" s="22"/>
      <c r="E23" s="7"/>
      <c r="F23" s="7"/>
      <c r="G23" s="7"/>
      <c r="H23" s="7"/>
      <c r="I23" s="7"/>
      <c r="J23" s="7"/>
    </row>
    <row r="24" ht="15.75" customHeight="1">
      <c r="A24" s="22"/>
      <c r="B24" s="7"/>
      <c r="C24" s="7"/>
      <c r="D24" s="22"/>
      <c r="E24" s="7"/>
      <c r="F24" s="7"/>
      <c r="G24" s="7"/>
      <c r="H24" s="7"/>
      <c r="I24" s="7"/>
      <c r="J24" s="7"/>
    </row>
    <row r="25" ht="15.75" customHeight="1">
      <c r="A25" s="22"/>
      <c r="B25" s="7"/>
      <c r="C25" s="7"/>
      <c r="D25" s="22"/>
      <c r="E25" s="7"/>
      <c r="F25" s="7"/>
      <c r="G25" s="7"/>
      <c r="H25" s="7"/>
      <c r="I25" s="7"/>
      <c r="J25" s="7"/>
    </row>
    <row r="26" ht="15.75" customHeight="1">
      <c r="A26" s="22"/>
      <c r="B26" s="7"/>
      <c r="C26" s="7"/>
      <c r="D26" s="22"/>
      <c r="E26" s="7"/>
      <c r="F26" s="7"/>
      <c r="G26" s="7"/>
      <c r="H26" s="7"/>
      <c r="I26" s="7"/>
      <c r="J26" s="7"/>
    </row>
    <row r="27" ht="15.75" customHeight="1">
      <c r="A27" s="22"/>
      <c r="B27" s="7"/>
      <c r="C27" s="7"/>
      <c r="D27" s="22"/>
      <c r="E27" s="7"/>
      <c r="F27" s="7"/>
      <c r="G27" s="7"/>
      <c r="H27" s="7"/>
      <c r="I27" s="7"/>
      <c r="J27" s="7"/>
    </row>
    <row r="28" ht="15.75" customHeight="1">
      <c r="A28" s="22"/>
      <c r="B28" s="7"/>
      <c r="C28" s="7"/>
      <c r="D28" s="22"/>
      <c r="E28" s="7"/>
      <c r="F28" s="7"/>
      <c r="G28" s="7"/>
      <c r="H28" s="7"/>
      <c r="I28" s="7"/>
      <c r="J28" s="7"/>
    </row>
    <row r="29" ht="15.75" customHeight="1">
      <c r="A29" s="22"/>
      <c r="B29" s="7"/>
      <c r="C29" s="7"/>
      <c r="D29" s="22"/>
      <c r="E29" s="7"/>
      <c r="F29" s="7"/>
      <c r="G29" s="7"/>
      <c r="H29" s="7"/>
      <c r="I29" s="7"/>
      <c r="J29" s="7"/>
    </row>
    <row r="30" ht="15.75" customHeight="1">
      <c r="A30" s="22"/>
      <c r="B30" s="7"/>
      <c r="C30" s="7"/>
      <c r="D30" s="22"/>
      <c r="E30" s="7"/>
      <c r="F30" s="7"/>
      <c r="G30" s="7"/>
      <c r="H30" s="7"/>
      <c r="I30" s="7"/>
      <c r="J30" s="7"/>
    </row>
    <row r="31" ht="15.75" customHeight="1">
      <c r="A31" s="22"/>
      <c r="B31" s="7"/>
      <c r="C31" s="7"/>
      <c r="D31" s="22"/>
      <c r="E31" s="7"/>
      <c r="F31" s="7"/>
      <c r="G31" s="7"/>
      <c r="H31" s="7"/>
      <c r="I31" s="7"/>
      <c r="J31" s="7"/>
    </row>
    <row r="32" ht="15.75" customHeight="1">
      <c r="A32" s="22"/>
      <c r="B32" s="7"/>
      <c r="C32" s="7"/>
      <c r="D32" s="22"/>
      <c r="E32" s="7"/>
      <c r="F32" s="7"/>
      <c r="G32" s="7"/>
      <c r="H32" s="7"/>
      <c r="I32" s="7"/>
      <c r="J32" s="7"/>
    </row>
    <row r="33" ht="15.75" customHeight="1">
      <c r="A33" s="22"/>
      <c r="B33" s="7"/>
      <c r="C33" s="7"/>
      <c r="D33" s="22"/>
      <c r="E33" s="7"/>
      <c r="F33" s="7"/>
      <c r="G33" s="7"/>
      <c r="H33" s="7"/>
      <c r="I33" s="7"/>
      <c r="J33" s="7"/>
    </row>
    <row r="34" ht="15.75" customHeight="1">
      <c r="A34" s="22"/>
      <c r="B34" s="7"/>
      <c r="C34" s="7"/>
      <c r="D34" s="22"/>
      <c r="E34" s="7"/>
      <c r="F34" s="7"/>
      <c r="G34" s="7"/>
      <c r="H34" s="7"/>
      <c r="I34" s="7"/>
      <c r="J34" s="7"/>
    </row>
    <row r="35" ht="15.75" customHeight="1">
      <c r="A35" s="22"/>
      <c r="B35" s="7"/>
      <c r="C35" s="7"/>
      <c r="D35" s="22"/>
      <c r="E35" s="7"/>
      <c r="F35" s="7"/>
      <c r="G35" s="7"/>
      <c r="H35" s="7"/>
      <c r="I35" s="7"/>
      <c r="J35" s="7"/>
    </row>
    <row r="36" ht="15.75" customHeight="1">
      <c r="A36" s="22"/>
      <c r="B36" s="7"/>
      <c r="C36" s="7"/>
      <c r="D36" s="22"/>
      <c r="E36" s="7"/>
      <c r="F36" s="7"/>
      <c r="G36" s="7"/>
      <c r="H36" s="7"/>
      <c r="I36" s="7"/>
      <c r="J36" s="7"/>
    </row>
    <row r="37" ht="15.75" customHeight="1">
      <c r="A37" s="22"/>
      <c r="B37" s="7"/>
      <c r="C37" s="7"/>
      <c r="D37" s="22"/>
      <c r="E37" s="7"/>
      <c r="F37" s="7"/>
      <c r="G37" s="7"/>
      <c r="H37" s="7"/>
      <c r="I37" s="7"/>
      <c r="J37" s="7"/>
    </row>
    <row r="38" ht="15.75" customHeight="1">
      <c r="A38" s="22"/>
      <c r="B38" s="7"/>
      <c r="C38" s="7"/>
      <c r="D38" s="22"/>
      <c r="E38" s="7"/>
      <c r="F38" s="7"/>
      <c r="G38" s="7"/>
      <c r="H38" s="7"/>
      <c r="I38" s="7"/>
      <c r="J38" s="7"/>
    </row>
    <row r="39" ht="15.75" customHeight="1">
      <c r="A39" s="22"/>
      <c r="B39" s="7"/>
      <c r="C39" s="7"/>
      <c r="D39" s="22"/>
      <c r="E39" s="7"/>
      <c r="F39" s="7"/>
      <c r="G39" s="7"/>
      <c r="H39" s="7"/>
      <c r="I39" s="7"/>
      <c r="J39" s="7"/>
    </row>
    <row r="40" ht="15.75" customHeight="1">
      <c r="A40" s="22"/>
      <c r="B40" s="7"/>
      <c r="C40" s="7"/>
      <c r="D40" s="22"/>
      <c r="E40" s="7"/>
      <c r="F40" s="7"/>
      <c r="G40" s="7"/>
      <c r="H40" s="7"/>
      <c r="I40" s="7"/>
      <c r="J40" s="7"/>
    </row>
    <row r="41" ht="15.75" customHeight="1">
      <c r="A41" s="22"/>
      <c r="B41" s="7"/>
      <c r="C41" s="7"/>
      <c r="D41" s="22"/>
      <c r="E41" s="7"/>
      <c r="F41" s="7"/>
      <c r="G41" s="7"/>
      <c r="H41" s="7"/>
      <c r="I41" s="7"/>
      <c r="J41" s="7"/>
    </row>
    <row r="42" ht="15.75" customHeight="1">
      <c r="A42" s="22"/>
      <c r="B42" s="7"/>
      <c r="C42" s="7"/>
      <c r="D42" s="22"/>
      <c r="E42" s="7"/>
      <c r="F42" s="7"/>
      <c r="G42" s="7"/>
      <c r="H42" s="7"/>
      <c r="I42" s="7"/>
      <c r="J42" s="7"/>
    </row>
    <row r="43" ht="15.75" customHeight="1">
      <c r="A43" s="22"/>
      <c r="B43" s="7"/>
      <c r="C43" s="7"/>
      <c r="D43" s="22"/>
      <c r="E43" s="7"/>
      <c r="F43" s="7"/>
      <c r="G43" s="7"/>
      <c r="H43" s="7"/>
      <c r="I43" s="7"/>
      <c r="J43" s="7"/>
    </row>
    <row r="44" ht="15.75" customHeight="1">
      <c r="A44" s="22"/>
      <c r="B44" s="7"/>
      <c r="C44" s="7"/>
      <c r="D44" s="22"/>
      <c r="E44" s="7"/>
      <c r="F44" s="7"/>
      <c r="G44" s="7"/>
      <c r="H44" s="7"/>
      <c r="I44" s="7"/>
      <c r="J44" s="7"/>
    </row>
    <row r="45" ht="15.75" customHeight="1">
      <c r="A45" s="22"/>
      <c r="B45" s="7"/>
      <c r="C45" s="7"/>
      <c r="D45" s="22"/>
      <c r="E45" s="7"/>
      <c r="F45" s="7"/>
      <c r="G45" s="7"/>
      <c r="H45" s="7"/>
      <c r="I45" s="7"/>
      <c r="J45" s="7"/>
    </row>
    <row r="46" ht="15.75" customHeight="1">
      <c r="A46" s="22"/>
      <c r="B46" s="7"/>
      <c r="C46" s="7"/>
      <c r="D46" s="22"/>
      <c r="E46" s="7"/>
      <c r="F46" s="7"/>
      <c r="G46" s="7"/>
      <c r="H46" s="7"/>
      <c r="I46" s="7"/>
      <c r="J46" s="7"/>
    </row>
    <row r="47" ht="15.75" customHeight="1">
      <c r="A47" s="22"/>
      <c r="B47" s="7"/>
      <c r="C47" s="7"/>
      <c r="D47" s="22"/>
      <c r="E47" s="7"/>
      <c r="F47" s="7"/>
      <c r="G47" s="7"/>
      <c r="H47" s="7"/>
      <c r="I47" s="7"/>
      <c r="J47" s="7"/>
    </row>
    <row r="48" ht="15.75" customHeight="1">
      <c r="A48" s="22"/>
      <c r="B48" s="7"/>
      <c r="C48" s="7"/>
      <c r="D48" s="22"/>
      <c r="E48" s="7"/>
      <c r="F48" s="7"/>
      <c r="G48" s="7"/>
      <c r="H48" s="7"/>
      <c r="I48" s="7"/>
      <c r="J48" s="7"/>
    </row>
    <row r="49" ht="15.75" customHeight="1">
      <c r="A49" s="22"/>
      <c r="B49" s="7"/>
      <c r="C49" s="7"/>
      <c r="D49" s="22"/>
      <c r="E49" s="7"/>
      <c r="F49" s="7"/>
      <c r="G49" s="7"/>
      <c r="H49" s="7"/>
      <c r="I49" s="7"/>
      <c r="J49" s="7"/>
    </row>
    <row r="50" ht="15.75" customHeight="1">
      <c r="A50" s="22"/>
      <c r="B50" s="7"/>
      <c r="C50" s="7"/>
      <c r="D50" s="22"/>
      <c r="E50" s="7"/>
      <c r="F50" s="7"/>
      <c r="G50" s="7"/>
      <c r="H50" s="7"/>
      <c r="I50" s="7"/>
      <c r="J50" s="7"/>
    </row>
    <row r="51" ht="15.75" customHeight="1">
      <c r="A51" s="22"/>
      <c r="B51" s="7"/>
      <c r="C51" s="7"/>
      <c r="D51" s="22"/>
      <c r="E51" s="7"/>
      <c r="F51" s="7"/>
      <c r="G51" s="7"/>
      <c r="H51" s="7"/>
      <c r="I51" s="7"/>
      <c r="J51" s="7"/>
    </row>
    <row r="52" ht="15.75" customHeight="1">
      <c r="A52" s="22"/>
      <c r="B52" s="7"/>
      <c r="C52" s="7"/>
      <c r="D52" s="22"/>
      <c r="E52" s="7"/>
      <c r="F52" s="7"/>
      <c r="G52" s="7"/>
      <c r="H52" s="7"/>
      <c r="I52" s="7"/>
      <c r="J52" s="7"/>
    </row>
    <row r="53" ht="15.75" customHeight="1">
      <c r="A53" s="22"/>
      <c r="B53" s="7"/>
      <c r="C53" s="7"/>
      <c r="D53" s="22"/>
      <c r="E53" s="7"/>
      <c r="F53" s="7"/>
      <c r="G53" s="7"/>
      <c r="H53" s="7"/>
      <c r="I53" s="7"/>
      <c r="J53" s="7"/>
    </row>
    <row r="54" ht="15.75" customHeight="1">
      <c r="A54" s="22"/>
      <c r="B54" s="7"/>
      <c r="C54" s="7"/>
      <c r="D54" s="22"/>
      <c r="E54" s="7"/>
      <c r="F54" s="7"/>
      <c r="G54" s="7"/>
      <c r="H54" s="7"/>
      <c r="I54" s="7"/>
      <c r="J54" s="7"/>
    </row>
    <row r="55" ht="15.75" customHeight="1">
      <c r="A55" s="22"/>
      <c r="B55" s="7"/>
      <c r="C55" s="7"/>
      <c r="D55" s="22"/>
      <c r="E55" s="7"/>
      <c r="F55" s="7"/>
      <c r="G55" s="7"/>
      <c r="H55" s="7"/>
      <c r="I55" s="7"/>
      <c r="J55" s="7"/>
    </row>
    <row r="56" ht="15.75" customHeight="1">
      <c r="A56" s="22"/>
      <c r="B56" s="7"/>
      <c r="C56" s="7"/>
      <c r="D56" s="22"/>
      <c r="E56" s="7"/>
      <c r="F56" s="7"/>
      <c r="G56" s="7"/>
      <c r="H56" s="7"/>
      <c r="I56" s="7"/>
      <c r="J56" s="7"/>
    </row>
    <row r="57" ht="15.75" customHeight="1">
      <c r="A57" s="22"/>
      <c r="B57" s="7"/>
      <c r="C57" s="7"/>
      <c r="D57" s="22"/>
      <c r="E57" s="7"/>
      <c r="F57" s="7"/>
      <c r="G57" s="7"/>
      <c r="H57" s="7"/>
      <c r="I57" s="7"/>
      <c r="J57" s="7"/>
    </row>
    <row r="58" ht="15.75" customHeight="1">
      <c r="A58" s="22"/>
      <c r="B58" s="7"/>
      <c r="C58" s="7"/>
      <c r="D58" s="22"/>
      <c r="E58" s="7"/>
      <c r="F58" s="7"/>
      <c r="G58" s="7"/>
      <c r="H58" s="7"/>
      <c r="I58" s="7"/>
      <c r="J58" s="7"/>
    </row>
    <row r="59" ht="15.75" customHeight="1">
      <c r="A59" s="22"/>
      <c r="B59" s="7"/>
      <c r="C59" s="7"/>
      <c r="D59" s="22"/>
      <c r="E59" s="7"/>
      <c r="F59" s="7"/>
      <c r="G59" s="7"/>
      <c r="H59" s="7"/>
      <c r="I59" s="7"/>
      <c r="J59" s="7"/>
    </row>
    <row r="60" ht="15.75" customHeight="1">
      <c r="A60" s="22"/>
      <c r="B60" s="7"/>
      <c r="C60" s="7"/>
      <c r="D60" s="22"/>
      <c r="E60" s="7"/>
      <c r="F60" s="7"/>
      <c r="G60" s="7"/>
      <c r="H60" s="7"/>
      <c r="I60" s="7"/>
      <c r="J60" s="7"/>
    </row>
    <row r="61" ht="15.75" customHeight="1">
      <c r="A61" s="22"/>
      <c r="B61" s="7"/>
      <c r="C61" s="7"/>
      <c r="D61" s="22"/>
      <c r="E61" s="7"/>
      <c r="F61" s="7"/>
      <c r="G61" s="7"/>
      <c r="H61" s="7"/>
      <c r="I61" s="7"/>
      <c r="J61" s="7"/>
    </row>
    <row r="62" ht="15.75" customHeight="1">
      <c r="A62" s="22"/>
      <c r="B62" s="7"/>
      <c r="C62" s="7"/>
      <c r="D62" s="22"/>
      <c r="E62" s="7"/>
      <c r="F62" s="7"/>
      <c r="G62" s="7"/>
      <c r="H62" s="7"/>
      <c r="I62" s="7"/>
      <c r="J62" s="7"/>
    </row>
    <row r="63" ht="15.75" customHeight="1">
      <c r="A63" s="22"/>
      <c r="B63" s="7"/>
      <c r="C63" s="7"/>
      <c r="D63" s="22"/>
      <c r="E63" s="7"/>
      <c r="F63" s="7"/>
      <c r="G63" s="7"/>
      <c r="H63" s="7"/>
      <c r="I63" s="7"/>
      <c r="J63" s="7"/>
    </row>
    <row r="64" ht="15.75" customHeight="1">
      <c r="A64" s="22"/>
      <c r="B64" s="7"/>
      <c r="C64" s="7"/>
      <c r="D64" s="22"/>
      <c r="E64" s="7"/>
      <c r="F64" s="7"/>
      <c r="G64" s="7"/>
      <c r="H64" s="7"/>
      <c r="I64" s="7"/>
      <c r="J64" s="7"/>
    </row>
    <row r="65" ht="15.75" customHeight="1">
      <c r="A65" s="22"/>
      <c r="B65" s="7"/>
      <c r="C65" s="7"/>
      <c r="D65" s="22"/>
      <c r="E65" s="7"/>
      <c r="F65" s="7"/>
      <c r="G65" s="7"/>
      <c r="H65" s="7"/>
      <c r="I65" s="7"/>
      <c r="J65" s="7"/>
    </row>
    <row r="66" ht="15.75" customHeight="1">
      <c r="A66" s="22"/>
      <c r="B66" s="7"/>
      <c r="C66" s="7"/>
      <c r="D66" s="22"/>
      <c r="E66" s="7"/>
      <c r="F66" s="7"/>
      <c r="G66" s="7"/>
      <c r="H66" s="7"/>
      <c r="I66" s="7"/>
      <c r="J66" s="7"/>
    </row>
    <row r="67" ht="15.75" customHeight="1">
      <c r="A67" s="22"/>
      <c r="B67" s="7"/>
      <c r="C67" s="7"/>
      <c r="D67" s="22"/>
      <c r="E67" s="7"/>
      <c r="F67" s="7"/>
      <c r="G67" s="7"/>
      <c r="H67" s="7"/>
      <c r="I67" s="7"/>
      <c r="J67" s="7"/>
    </row>
    <row r="68" ht="15.75" customHeight="1">
      <c r="A68" s="22"/>
      <c r="B68" s="7"/>
      <c r="C68" s="7"/>
      <c r="D68" s="22"/>
      <c r="E68" s="7"/>
      <c r="F68" s="7"/>
      <c r="G68" s="7"/>
      <c r="H68" s="7"/>
      <c r="I68" s="7"/>
      <c r="J68" s="7"/>
    </row>
    <row r="69" ht="15.75" customHeight="1">
      <c r="A69" s="22"/>
      <c r="B69" s="7"/>
      <c r="C69" s="7"/>
      <c r="D69" s="22"/>
      <c r="E69" s="7"/>
      <c r="F69" s="7"/>
      <c r="G69" s="7"/>
      <c r="H69" s="7"/>
      <c r="I69" s="7"/>
      <c r="J69" s="7"/>
    </row>
    <row r="70" ht="15.75" customHeight="1">
      <c r="A70" s="22"/>
      <c r="B70" s="7"/>
      <c r="C70" s="7"/>
      <c r="D70" s="22"/>
      <c r="E70" s="7"/>
      <c r="F70" s="7"/>
      <c r="G70" s="7"/>
      <c r="H70" s="7"/>
      <c r="I70" s="7"/>
      <c r="J70" s="7"/>
    </row>
    <row r="71" ht="15.75" customHeight="1">
      <c r="A71" s="22"/>
      <c r="B71" s="7"/>
      <c r="C71" s="7"/>
      <c r="D71" s="22"/>
      <c r="E71" s="7"/>
      <c r="F71" s="7"/>
      <c r="G71" s="7"/>
      <c r="H71" s="7"/>
      <c r="I71" s="7"/>
      <c r="J71" s="7"/>
    </row>
    <row r="72" ht="15.75" customHeight="1">
      <c r="A72" s="22"/>
      <c r="B72" s="7"/>
      <c r="C72" s="7"/>
      <c r="D72" s="22"/>
      <c r="E72" s="7"/>
      <c r="F72" s="7"/>
      <c r="G72" s="7"/>
      <c r="H72" s="7"/>
      <c r="I72" s="7"/>
      <c r="J72" s="7"/>
    </row>
    <row r="73" ht="15.75" customHeight="1">
      <c r="A73" s="22"/>
      <c r="B73" s="7"/>
      <c r="C73" s="7"/>
      <c r="D73" s="22"/>
      <c r="E73" s="7"/>
      <c r="F73" s="7"/>
      <c r="G73" s="7"/>
      <c r="H73" s="7"/>
      <c r="I73" s="7"/>
      <c r="J73" s="7"/>
    </row>
    <row r="74" ht="15.75" customHeight="1">
      <c r="A74" s="22"/>
      <c r="B74" s="7"/>
      <c r="C74" s="7"/>
      <c r="D74" s="22"/>
      <c r="E74" s="7"/>
      <c r="F74" s="7"/>
      <c r="G74" s="7"/>
      <c r="H74" s="7"/>
      <c r="I74" s="7"/>
      <c r="J74" s="7"/>
    </row>
    <row r="75" ht="15.75" customHeight="1">
      <c r="A75" s="22"/>
      <c r="B75" s="7"/>
      <c r="C75" s="7"/>
      <c r="D75" s="22"/>
      <c r="E75" s="7"/>
      <c r="F75" s="7"/>
      <c r="G75" s="7"/>
      <c r="H75" s="7"/>
      <c r="I75" s="7"/>
      <c r="J75" s="7"/>
    </row>
    <row r="76" ht="15.75" customHeight="1">
      <c r="A76" s="22"/>
      <c r="B76" s="7"/>
      <c r="C76" s="7"/>
      <c r="D76" s="22"/>
      <c r="E76" s="7"/>
      <c r="F76" s="7"/>
      <c r="G76" s="7"/>
      <c r="H76" s="7"/>
      <c r="I76" s="7"/>
      <c r="J76" s="7"/>
    </row>
    <row r="77" ht="15.75" customHeight="1">
      <c r="A77" s="22"/>
      <c r="B77" s="7"/>
      <c r="C77" s="7"/>
      <c r="D77" s="22"/>
      <c r="E77" s="7"/>
      <c r="F77" s="7"/>
      <c r="G77" s="7"/>
      <c r="H77" s="7"/>
      <c r="I77" s="7"/>
      <c r="J77" s="7"/>
    </row>
    <row r="78" ht="15.75" customHeight="1">
      <c r="A78" s="22"/>
      <c r="B78" s="7"/>
      <c r="C78" s="7"/>
      <c r="D78" s="22"/>
      <c r="E78" s="7"/>
      <c r="F78" s="7"/>
      <c r="G78" s="7"/>
      <c r="H78" s="7"/>
      <c r="I78" s="7"/>
      <c r="J78" s="7"/>
    </row>
    <row r="79" ht="15.75" customHeight="1">
      <c r="A79" s="22"/>
      <c r="B79" s="7"/>
      <c r="C79" s="7"/>
      <c r="D79" s="22"/>
      <c r="E79" s="7"/>
      <c r="F79" s="7"/>
      <c r="G79" s="7"/>
      <c r="H79" s="7"/>
      <c r="I79" s="7"/>
      <c r="J79" s="7"/>
    </row>
    <row r="80" ht="15.75" customHeight="1">
      <c r="A80" s="22"/>
      <c r="B80" s="7"/>
      <c r="C80" s="7"/>
      <c r="D80" s="22"/>
      <c r="E80" s="7"/>
      <c r="F80" s="7"/>
      <c r="G80" s="7"/>
      <c r="H80" s="7"/>
      <c r="I80" s="7"/>
      <c r="J80" s="7"/>
    </row>
    <row r="81" ht="15.75" customHeight="1">
      <c r="A81" s="22"/>
      <c r="B81" s="7"/>
      <c r="C81" s="7"/>
      <c r="D81" s="22"/>
      <c r="E81" s="7"/>
      <c r="F81" s="7"/>
      <c r="G81" s="7"/>
      <c r="H81" s="7"/>
      <c r="I81" s="7"/>
      <c r="J81" s="7"/>
    </row>
    <row r="82" ht="15.75" customHeight="1">
      <c r="A82" s="22"/>
      <c r="B82" s="7"/>
      <c r="C82" s="7"/>
      <c r="D82" s="22"/>
      <c r="E82" s="7"/>
      <c r="F82" s="7"/>
      <c r="G82" s="7"/>
      <c r="H82" s="7"/>
      <c r="I82" s="7"/>
      <c r="J82" s="7"/>
    </row>
    <row r="83" ht="15.75" customHeight="1">
      <c r="A83" s="22"/>
      <c r="B83" s="7"/>
      <c r="C83" s="7"/>
      <c r="D83" s="22"/>
      <c r="E83" s="7"/>
      <c r="F83" s="7"/>
      <c r="G83" s="7"/>
      <c r="H83" s="7"/>
      <c r="I83" s="7"/>
      <c r="J83" s="7"/>
    </row>
    <row r="84" ht="15.75" customHeight="1">
      <c r="A84" s="22"/>
      <c r="B84" s="7"/>
      <c r="C84" s="7"/>
      <c r="D84" s="22"/>
      <c r="E84" s="7"/>
      <c r="F84" s="7"/>
      <c r="G84" s="7"/>
      <c r="H84" s="7"/>
      <c r="I84" s="7"/>
      <c r="J84" s="7"/>
    </row>
    <row r="85" ht="15.75" customHeight="1">
      <c r="A85" s="22"/>
      <c r="B85" s="7"/>
      <c r="C85" s="7"/>
      <c r="D85" s="22"/>
      <c r="E85" s="7"/>
      <c r="F85" s="7"/>
      <c r="G85" s="7"/>
      <c r="H85" s="7"/>
      <c r="I85" s="7"/>
      <c r="J85" s="7"/>
    </row>
    <row r="86" ht="15.75" customHeight="1">
      <c r="A86" s="22"/>
      <c r="B86" s="7"/>
      <c r="C86" s="7"/>
      <c r="D86" s="22"/>
      <c r="E86" s="7"/>
      <c r="F86" s="7"/>
      <c r="G86" s="7"/>
      <c r="H86" s="7"/>
      <c r="I86" s="7"/>
      <c r="J86" s="7"/>
    </row>
    <row r="87" ht="15.75" customHeight="1">
      <c r="A87" s="22"/>
      <c r="B87" s="7"/>
      <c r="C87" s="7"/>
      <c r="D87" s="22"/>
      <c r="E87" s="7"/>
      <c r="F87" s="7"/>
      <c r="G87" s="7"/>
      <c r="H87" s="7"/>
      <c r="I87" s="7"/>
      <c r="J87" s="7"/>
    </row>
    <row r="88" ht="15.75" customHeight="1">
      <c r="A88" s="22"/>
      <c r="B88" s="7"/>
      <c r="C88" s="7"/>
      <c r="D88" s="22"/>
      <c r="E88" s="7"/>
      <c r="F88" s="7"/>
      <c r="G88" s="7"/>
      <c r="H88" s="7"/>
      <c r="I88" s="7"/>
      <c r="J88" s="7"/>
    </row>
    <row r="89" ht="15.75" customHeight="1">
      <c r="A89" s="22"/>
      <c r="B89" s="7"/>
      <c r="C89" s="7"/>
      <c r="D89" s="22"/>
      <c r="E89" s="7"/>
      <c r="F89" s="7"/>
      <c r="G89" s="7"/>
      <c r="H89" s="7"/>
      <c r="I89" s="7"/>
      <c r="J89" s="7"/>
    </row>
    <row r="90" ht="15.75" customHeight="1">
      <c r="A90" s="22"/>
      <c r="B90" s="7"/>
      <c r="C90" s="7"/>
      <c r="D90" s="22"/>
      <c r="E90" s="7"/>
      <c r="F90" s="7"/>
      <c r="G90" s="7"/>
      <c r="H90" s="7"/>
      <c r="I90" s="7"/>
      <c r="J90" s="7"/>
    </row>
    <row r="91" ht="15.75" customHeight="1">
      <c r="A91" s="22"/>
      <c r="B91" s="7"/>
      <c r="C91" s="7"/>
      <c r="D91" s="22"/>
      <c r="E91" s="7"/>
      <c r="F91" s="7"/>
      <c r="G91" s="7"/>
      <c r="H91" s="7"/>
      <c r="I91" s="7"/>
      <c r="J91" s="7"/>
    </row>
    <row r="92" ht="15.75" customHeight="1">
      <c r="A92" s="22"/>
      <c r="B92" s="7"/>
      <c r="C92" s="7"/>
      <c r="D92" s="22"/>
      <c r="E92" s="7"/>
      <c r="F92" s="7"/>
      <c r="G92" s="7"/>
      <c r="H92" s="7"/>
      <c r="I92" s="7"/>
      <c r="J92" s="7"/>
    </row>
    <row r="93" ht="15.75" customHeight="1">
      <c r="A93" s="22"/>
      <c r="B93" s="7"/>
      <c r="C93" s="7"/>
      <c r="D93" s="22"/>
      <c r="E93" s="7"/>
      <c r="F93" s="7"/>
      <c r="G93" s="7"/>
      <c r="H93" s="7"/>
      <c r="I93" s="7"/>
      <c r="J93" s="7"/>
    </row>
    <row r="94" ht="15.75" customHeight="1">
      <c r="A94" s="22"/>
      <c r="B94" s="7"/>
      <c r="C94" s="7"/>
      <c r="D94" s="22"/>
      <c r="E94" s="7"/>
      <c r="F94" s="7"/>
      <c r="G94" s="7"/>
      <c r="H94" s="7"/>
      <c r="I94" s="7"/>
      <c r="J94" s="7"/>
    </row>
    <row r="95" ht="15.75" customHeight="1">
      <c r="A95" s="22"/>
      <c r="B95" s="7"/>
      <c r="C95" s="7"/>
      <c r="D95" s="22"/>
      <c r="E95" s="7"/>
      <c r="F95" s="7"/>
      <c r="G95" s="7"/>
      <c r="H95" s="7"/>
      <c r="I95" s="7"/>
      <c r="J95" s="7"/>
    </row>
    <row r="96" ht="15.75" customHeight="1">
      <c r="A96" s="22"/>
      <c r="B96" s="7"/>
      <c r="C96" s="7"/>
      <c r="D96" s="22"/>
      <c r="E96" s="7"/>
      <c r="F96" s="7"/>
      <c r="G96" s="7"/>
      <c r="H96" s="7"/>
      <c r="I96" s="7"/>
      <c r="J96" s="7"/>
    </row>
    <row r="97" ht="15.75" customHeight="1">
      <c r="A97" s="22"/>
      <c r="B97" s="7"/>
      <c r="C97" s="7"/>
      <c r="D97" s="22"/>
      <c r="E97" s="7"/>
      <c r="F97" s="7"/>
      <c r="G97" s="7"/>
      <c r="H97" s="7"/>
      <c r="I97" s="7"/>
      <c r="J97" s="7"/>
    </row>
    <row r="98" ht="15.75" customHeight="1">
      <c r="A98" s="22"/>
      <c r="B98" s="7"/>
      <c r="C98" s="7"/>
      <c r="D98" s="22"/>
      <c r="E98" s="7"/>
      <c r="F98" s="7"/>
      <c r="G98" s="7"/>
      <c r="H98" s="7"/>
      <c r="I98" s="7"/>
      <c r="J98" s="7"/>
    </row>
    <row r="99" ht="15.75" customHeight="1">
      <c r="A99" s="22"/>
      <c r="B99" s="7"/>
      <c r="C99" s="7"/>
      <c r="D99" s="22"/>
      <c r="E99" s="7"/>
      <c r="F99" s="7"/>
      <c r="G99" s="7"/>
      <c r="H99" s="7"/>
      <c r="I99" s="7"/>
      <c r="J99" s="7"/>
    </row>
    <row r="100" ht="15.75" customHeight="1">
      <c r="A100" s="22"/>
      <c r="B100" s="7"/>
      <c r="C100" s="7"/>
      <c r="D100" s="22"/>
      <c r="E100" s="7"/>
      <c r="F100" s="7"/>
      <c r="G100" s="7"/>
      <c r="H100" s="7"/>
      <c r="I100" s="7"/>
      <c r="J100" s="7"/>
    </row>
    <row r="101" ht="15.75" customHeight="1">
      <c r="A101" s="22"/>
      <c r="B101" s="7"/>
      <c r="C101" s="7"/>
      <c r="D101" s="22"/>
      <c r="E101" s="7"/>
      <c r="F101" s="7"/>
      <c r="G101" s="7"/>
      <c r="H101" s="7"/>
      <c r="I101" s="7"/>
      <c r="J101" s="7"/>
    </row>
    <row r="102" ht="15.75" customHeight="1">
      <c r="A102" s="22"/>
      <c r="B102" s="7"/>
      <c r="C102" s="7"/>
      <c r="D102" s="22"/>
      <c r="E102" s="7"/>
      <c r="F102" s="7"/>
      <c r="G102" s="7"/>
      <c r="H102" s="7"/>
      <c r="I102" s="7"/>
      <c r="J102" s="7"/>
    </row>
    <row r="103" ht="15.75" customHeight="1">
      <c r="A103" s="22"/>
      <c r="B103" s="7"/>
      <c r="C103" s="7"/>
      <c r="D103" s="22"/>
      <c r="E103" s="7"/>
      <c r="F103" s="7"/>
      <c r="G103" s="7"/>
      <c r="H103" s="7"/>
      <c r="I103" s="7"/>
      <c r="J103" s="7"/>
    </row>
    <row r="104" ht="15.75" customHeight="1">
      <c r="A104" s="22"/>
      <c r="B104" s="7"/>
      <c r="C104" s="7"/>
      <c r="D104" s="22"/>
      <c r="E104" s="7"/>
      <c r="F104" s="7"/>
      <c r="G104" s="7"/>
      <c r="H104" s="7"/>
      <c r="I104" s="7"/>
      <c r="J104" s="7"/>
    </row>
    <row r="105" ht="15.75" customHeight="1">
      <c r="A105" s="22"/>
      <c r="B105" s="7"/>
      <c r="C105" s="7"/>
      <c r="D105" s="22"/>
      <c r="E105" s="7"/>
      <c r="F105" s="7"/>
      <c r="G105" s="7"/>
      <c r="H105" s="7"/>
      <c r="I105" s="7"/>
      <c r="J105" s="7"/>
    </row>
    <row r="106" ht="15.75" customHeight="1">
      <c r="A106" s="22"/>
      <c r="B106" s="7"/>
      <c r="C106" s="7"/>
      <c r="D106" s="22"/>
      <c r="E106" s="7"/>
      <c r="F106" s="7"/>
      <c r="G106" s="7"/>
      <c r="H106" s="7"/>
      <c r="I106" s="7"/>
      <c r="J106" s="7"/>
    </row>
    <row r="107" ht="15.75" customHeight="1">
      <c r="A107" s="22"/>
      <c r="B107" s="7"/>
      <c r="C107" s="7"/>
      <c r="D107" s="22"/>
      <c r="E107" s="7"/>
      <c r="F107" s="7"/>
      <c r="G107" s="7"/>
      <c r="H107" s="7"/>
      <c r="I107" s="7"/>
      <c r="J107" s="7"/>
    </row>
    <row r="108" ht="15.75" customHeight="1">
      <c r="A108" s="22"/>
      <c r="B108" s="7"/>
      <c r="C108" s="7"/>
      <c r="D108" s="22"/>
      <c r="E108" s="7"/>
      <c r="F108" s="7"/>
      <c r="G108" s="7"/>
      <c r="H108" s="7"/>
      <c r="I108" s="7"/>
      <c r="J108" s="7"/>
    </row>
    <row r="109" ht="15.75" customHeight="1">
      <c r="A109" s="22"/>
      <c r="B109" s="7"/>
      <c r="C109" s="7"/>
      <c r="D109" s="22"/>
      <c r="E109" s="7"/>
      <c r="F109" s="7"/>
      <c r="G109" s="7"/>
      <c r="H109" s="7"/>
      <c r="I109" s="7"/>
      <c r="J109" s="7"/>
    </row>
    <row r="110" ht="15.75" customHeight="1">
      <c r="A110" s="22"/>
      <c r="B110" s="7"/>
      <c r="C110" s="7"/>
      <c r="D110" s="22"/>
      <c r="E110" s="7"/>
      <c r="F110" s="7"/>
      <c r="G110" s="7"/>
      <c r="H110" s="7"/>
      <c r="I110" s="7"/>
      <c r="J110" s="7"/>
    </row>
    <row r="111" ht="15.75" customHeight="1">
      <c r="A111" s="22"/>
      <c r="B111" s="7"/>
      <c r="C111" s="7"/>
      <c r="D111" s="22"/>
      <c r="E111" s="7"/>
      <c r="F111" s="7"/>
      <c r="G111" s="7"/>
      <c r="H111" s="7"/>
      <c r="I111" s="7"/>
      <c r="J111" s="7"/>
    </row>
    <row r="112" ht="15.75" customHeight="1">
      <c r="A112" s="22"/>
      <c r="B112" s="7"/>
      <c r="C112" s="7"/>
      <c r="D112" s="22"/>
      <c r="E112" s="7"/>
      <c r="F112" s="7"/>
      <c r="G112" s="7"/>
      <c r="H112" s="7"/>
      <c r="I112" s="7"/>
      <c r="J112" s="7"/>
    </row>
    <row r="113" ht="15.75" customHeight="1">
      <c r="A113" s="22"/>
      <c r="B113" s="7"/>
      <c r="C113" s="7"/>
      <c r="D113" s="22"/>
      <c r="E113" s="7"/>
      <c r="F113" s="7"/>
      <c r="G113" s="7"/>
      <c r="H113" s="7"/>
      <c r="I113" s="7"/>
      <c r="J113" s="7"/>
    </row>
    <row r="114" ht="15.75" customHeight="1">
      <c r="A114" s="22"/>
      <c r="B114" s="7"/>
      <c r="C114" s="7"/>
      <c r="D114" s="22"/>
      <c r="E114" s="7"/>
      <c r="F114" s="7"/>
      <c r="G114" s="7"/>
      <c r="H114" s="7"/>
      <c r="I114" s="7"/>
      <c r="J114" s="7"/>
    </row>
    <row r="115" ht="15.75" customHeight="1">
      <c r="A115" s="22"/>
      <c r="B115" s="7"/>
      <c r="C115" s="7"/>
      <c r="D115" s="22"/>
      <c r="E115" s="7"/>
      <c r="F115" s="7"/>
      <c r="G115" s="7"/>
      <c r="H115" s="7"/>
      <c r="I115" s="7"/>
      <c r="J115" s="7"/>
    </row>
    <row r="116" ht="15.75" customHeight="1">
      <c r="A116" s="22"/>
      <c r="B116" s="7"/>
      <c r="C116" s="7"/>
      <c r="D116" s="22"/>
      <c r="E116" s="7"/>
      <c r="F116" s="7"/>
      <c r="G116" s="7"/>
      <c r="H116" s="7"/>
      <c r="I116" s="7"/>
      <c r="J116" s="7"/>
    </row>
    <row r="117" ht="15.75" customHeight="1">
      <c r="A117" s="22"/>
      <c r="B117" s="7"/>
      <c r="C117" s="7"/>
      <c r="D117" s="22"/>
      <c r="E117" s="7"/>
      <c r="F117" s="7"/>
      <c r="G117" s="7"/>
      <c r="H117" s="7"/>
      <c r="I117" s="7"/>
      <c r="J117" s="7"/>
    </row>
    <row r="118" ht="15.75" customHeight="1">
      <c r="A118" s="22"/>
      <c r="B118" s="7"/>
      <c r="C118" s="7"/>
      <c r="D118" s="22"/>
      <c r="E118" s="7"/>
      <c r="F118" s="7"/>
      <c r="G118" s="7"/>
      <c r="H118" s="7"/>
      <c r="I118" s="7"/>
      <c r="J118" s="7"/>
    </row>
    <row r="119" ht="15.75" customHeight="1">
      <c r="A119" s="22"/>
      <c r="B119" s="7"/>
      <c r="C119" s="7"/>
      <c r="D119" s="22"/>
      <c r="E119" s="7"/>
      <c r="F119" s="7"/>
      <c r="G119" s="7"/>
      <c r="H119" s="7"/>
      <c r="I119" s="7"/>
      <c r="J119" s="7"/>
    </row>
    <row r="120" ht="15.75" customHeight="1">
      <c r="A120" s="22"/>
      <c r="B120" s="7"/>
      <c r="C120" s="7"/>
      <c r="D120" s="22"/>
      <c r="E120" s="7"/>
      <c r="F120" s="7"/>
      <c r="G120" s="7"/>
      <c r="H120" s="7"/>
      <c r="I120" s="7"/>
      <c r="J120" s="7"/>
    </row>
    <row r="121" ht="15.75" customHeight="1">
      <c r="A121" s="22"/>
      <c r="B121" s="7"/>
      <c r="C121" s="7"/>
      <c r="D121" s="22"/>
      <c r="E121" s="7"/>
      <c r="F121" s="7"/>
      <c r="G121" s="7"/>
      <c r="H121" s="7"/>
      <c r="I121" s="7"/>
      <c r="J121" s="7"/>
    </row>
    <row r="122" ht="15.75" customHeight="1">
      <c r="A122" s="22"/>
      <c r="B122" s="7"/>
      <c r="C122" s="7"/>
      <c r="D122" s="22"/>
      <c r="E122" s="7"/>
      <c r="F122" s="7"/>
      <c r="G122" s="7"/>
      <c r="H122" s="7"/>
      <c r="I122" s="7"/>
      <c r="J122" s="7"/>
    </row>
    <row r="123" ht="15.75" customHeight="1">
      <c r="A123" s="22"/>
      <c r="B123" s="7"/>
      <c r="C123" s="7"/>
      <c r="D123" s="22"/>
      <c r="E123" s="7"/>
      <c r="F123" s="7"/>
      <c r="G123" s="7"/>
      <c r="H123" s="7"/>
      <c r="I123" s="7"/>
      <c r="J123" s="7"/>
    </row>
    <row r="124" ht="15.75" customHeight="1">
      <c r="A124" s="22"/>
      <c r="B124" s="7"/>
      <c r="C124" s="7"/>
      <c r="D124" s="22"/>
      <c r="E124" s="7"/>
      <c r="F124" s="7"/>
      <c r="G124" s="7"/>
      <c r="H124" s="7"/>
      <c r="I124" s="7"/>
      <c r="J124" s="7"/>
    </row>
    <row r="125" ht="15.75" customHeight="1">
      <c r="A125" s="22"/>
      <c r="B125" s="7"/>
      <c r="C125" s="7"/>
      <c r="D125" s="22"/>
      <c r="E125" s="7"/>
      <c r="F125" s="7"/>
      <c r="G125" s="7"/>
      <c r="H125" s="7"/>
      <c r="I125" s="7"/>
      <c r="J125" s="7"/>
    </row>
    <row r="126" ht="15.75" customHeight="1">
      <c r="A126" s="22"/>
      <c r="B126" s="7"/>
      <c r="C126" s="7"/>
      <c r="D126" s="22"/>
      <c r="E126" s="7"/>
      <c r="F126" s="7"/>
      <c r="G126" s="7"/>
      <c r="H126" s="7"/>
      <c r="I126" s="7"/>
      <c r="J126" s="7"/>
    </row>
    <row r="127" ht="15.75" customHeight="1">
      <c r="A127" s="22"/>
      <c r="B127" s="7"/>
      <c r="C127" s="7"/>
      <c r="D127" s="22"/>
      <c r="E127" s="7"/>
      <c r="F127" s="7"/>
      <c r="G127" s="7"/>
      <c r="H127" s="7"/>
      <c r="I127" s="7"/>
      <c r="J127" s="7"/>
    </row>
    <row r="128" ht="15.75" customHeight="1">
      <c r="A128" s="22"/>
      <c r="B128" s="7"/>
      <c r="C128" s="7"/>
      <c r="D128" s="22"/>
      <c r="E128" s="7"/>
      <c r="F128" s="7"/>
      <c r="G128" s="7"/>
      <c r="H128" s="7"/>
      <c r="I128" s="7"/>
      <c r="J128" s="7"/>
    </row>
    <row r="129" ht="15.75" customHeight="1">
      <c r="A129" s="22"/>
      <c r="B129" s="7"/>
      <c r="C129" s="7"/>
      <c r="D129" s="22"/>
      <c r="E129" s="7"/>
      <c r="F129" s="7"/>
      <c r="G129" s="7"/>
      <c r="H129" s="7"/>
      <c r="I129" s="7"/>
      <c r="J129" s="7"/>
    </row>
    <row r="130" ht="15.75" customHeight="1">
      <c r="A130" s="22"/>
      <c r="B130" s="7"/>
      <c r="C130" s="7"/>
      <c r="D130" s="22"/>
      <c r="E130" s="7"/>
      <c r="F130" s="7"/>
      <c r="G130" s="7"/>
      <c r="H130" s="7"/>
      <c r="I130" s="7"/>
      <c r="J130" s="7"/>
    </row>
    <row r="131" ht="15.75" customHeight="1">
      <c r="A131" s="22"/>
      <c r="B131" s="7"/>
      <c r="C131" s="7"/>
      <c r="D131" s="22"/>
      <c r="E131" s="7"/>
      <c r="F131" s="7"/>
      <c r="G131" s="7"/>
      <c r="H131" s="7"/>
      <c r="I131" s="7"/>
      <c r="J131" s="7"/>
    </row>
    <row r="132" ht="15.75" customHeight="1">
      <c r="A132" s="22"/>
      <c r="B132" s="7"/>
      <c r="C132" s="7"/>
      <c r="D132" s="22"/>
      <c r="E132" s="7"/>
      <c r="F132" s="7"/>
      <c r="G132" s="7"/>
      <c r="H132" s="7"/>
      <c r="I132" s="7"/>
      <c r="J132" s="7"/>
    </row>
    <row r="133" ht="15.75" customHeight="1">
      <c r="A133" s="22"/>
      <c r="B133" s="7"/>
      <c r="C133" s="7"/>
      <c r="D133" s="22"/>
      <c r="E133" s="7"/>
      <c r="F133" s="7"/>
      <c r="G133" s="7"/>
      <c r="H133" s="7"/>
      <c r="I133" s="7"/>
      <c r="J133" s="7"/>
    </row>
    <row r="134" ht="15.75" customHeight="1">
      <c r="A134" s="22"/>
      <c r="B134" s="7"/>
      <c r="C134" s="7"/>
      <c r="D134" s="22"/>
      <c r="E134" s="7"/>
      <c r="F134" s="7"/>
      <c r="G134" s="7"/>
      <c r="H134" s="7"/>
      <c r="I134" s="7"/>
      <c r="J134" s="7"/>
    </row>
    <row r="135" ht="15.75" customHeight="1">
      <c r="A135" s="22"/>
      <c r="B135" s="7"/>
      <c r="C135" s="7"/>
      <c r="D135" s="22"/>
      <c r="E135" s="7"/>
      <c r="F135" s="7"/>
      <c r="G135" s="7"/>
      <c r="H135" s="7"/>
      <c r="I135" s="7"/>
      <c r="J135" s="7"/>
    </row>
    <row r="136" ht="15.75" customHeight="1">
      <c r="A136" s="22"/>
      <c r="B136" s="7"/>
      <c r="C136" s="7"/>
      <c r="D136" s="22"/>
      <c r="E136" s="7"/>
      <c r="F136" s="7"/>
      <c r="G136" s="7"/>
      <c r="H136" s="7"/>
      <c r="I136" s="7"/>
      <c r="J136" s="7"/>
    </row>
    <row r="137" ht="15.75" customHeight="1">
      <c r="A137" s="22"/>
      <c r="B137" s="7"/>
      <c r="C137" s="7"/>
      <c r="D137" s="22"/>
      <c r="E137" s="7"/>
      <c r="F137" s="7"/>
      <c r="G137" s="7"/>
      <c r="H137" s="7"/>
      <c r="I137" s="7"/>
      <c r="J137" s="7"/>
    </row>
    <row r="138" ht="15.75" customHeight="1">
      <c r="A138" s="22"/>
      <c r="B138" s="7"/>
      <c r="C138" s="7"/>
      <c r="D138" s="22"/>
      <c r="E138" s="7"/>
      <c r="F138" s="7"/>
      <c r="G138" s="7"/>
      <c r="H138" s="7"/>
      <c r="I138" s="7"/>
      <c r="J138" s="7"/>
    </row>
    <row r="139" ht="15.75" customHeight="1">
      <c r="A139" s="22"/>
      <c r="B139" s="7"/>
      <c r="C139" s="7"/>
      <c r="D139" s="22"/>
      <c r="E139" s="7"/>
      <c r="F139" s="7"/>
      <c r="G139" s="7"/>
      <c r="H139" s="7"/>
      <c r="I139" s="7"/>
      <c r="J139" s="7"/>
    </row>
    <row r="140" ht="15.75" customHeight="1">
      <c r="A140" s="22"/>
      <c r="B140" s="7"/>
      <c r="C140" s="7"/>
      <c r="D140" s="22"/>
      <c r="E140" s="7"/>
      <c r="F140" s="7"/>
      <c r="G140" s="7"/>
      <c r="H140" s="7"/>
      <c r="I140" s="7"/>
      <c r="J140" s="7"/>
    </row>
    <row r="141" ht="15.75" customHeight="1">
      <c r="A141" s="22"/>
      <c r="B141" s="7"/>
      <c r="C141" s="7"/>
      <c r="D141" s="22"/>
      <c r="E141" s="7"/>
      <c r="F141" s="7"/>
      <c r="G141" s="7"/>
      <c r="H141" s="7"/>
      <c r="I141" s="7"/>
      <c r="J141" s="7"/>
    </row>
    <row r="142" ht="15.75" customHeight="1">
      <c r="A142" s="22"/>
      <c r="B142" s="7"/>
      <c r="C142" s="7"/>
      <c r="D142" s="22"/>
      <c r="E142" s="7"/>
      <c r="F142" s="7"/>
      <c r="G142" s="7"/>
      <c r="H142" s="7"/>
      <c r="I142" s="7"/>
      <c r="J142" s="7"/>
    </row>
    <row r="143" ht="15.75" customHeight="1">
      <c r="A143" s="22"/>
      <c r="B143" s="7"/>
      <c r="C143" s="7"/>
      <c r="D143" s="22"/>
      <c r="E143" s="7"/>
      <c r="F143" s="7"/>
      <c r="G143" s="7"/>
      <c r="H143" s="7"/>
      <c r="I143" s="7"/>
      <c r="J143" s="7"/>
    </row>
    <row r="144" ht="15.75" customHeight="1">
      <c r="A144" s="22"/>
      <c r="B144" s="7"/>
      <c r="C144" s="7"/>
      <c r="D144" s="22"/>
      <c r="E144" s="7"/>
      <c r="F144" s="7"/>
      <c r="G144" s="7"/>
      <c r="H144" s="7"/>
      <c r="I144" s="7"/>
      <c r="J144" s="7"/>
    </row>
    <row r="145" ht="15.75" customHeight="1">
      <c r="A145" s="22"/>
      <c r="B145" s="7"/>
      <c r="C145" s="7"/>
      <c r="D145" s="22"/>
      <c r="E145" s="7"/>
      <c r="F145" s="7"/>
      <c r="G145" s="7"/>
      <c r="H145" s="7"/>
      <c r="I145" s="7"/>
      <c r="J145" s="7"/>
    </row>
    <row r="146" ht="15.75" customHeight="1">
      <c r="A146" s="22"/>
      <c r="B146" s="7"/>
      <c r="C146" s="7"/>
      <c r="D146" s="22"/>
      <c r="E146" s="7"/>
      <c r="F146" s="7"/>
      <c r="G146" s="7"/>
      <c r="H146" s="7"/>
      <c r="I146" s="7"/>
      <c r="J146" s="7"/>
    </row>
    <row r="147" ht="15.75" customHeight="1">
      <c r="A147" s="22"/>
      <c r="B147" s="7"/>
      <c r="C147" s="7"/>
      <c r="D147" s="22"/>
      <c r="E147" s="7"/>
      <c r="F147" s="7"/>
      <c r="G147" s="7"/>
      <c r="H147" s="7"/>
      <c r="I147" s="7"/>
      <c r="J147" s="7"/>
    </row>
    <row r="148" ht="15.75" customHeight="1">
      <c r="A148" s="22"/>
      <c r="B148" s="7"/>
      <c r="C148" s="7"/>
      <c r="D148" s="22"/>
      <c r="E148" s="7"/>
      <c r="F148" s="7"/>
      <c r="G148" s="7"/>
      <c r="H148" s="7"/>
      <c r="I148" s="7"/>
      <c r="J148" s="7"/>
    </row>
    <row r="149" ht="15.75" customHeight="1">
      <c r="A149" s="22"/>
      <c r="B149" s="7"/>
      <c r="C149" s="7"/>
      <c r="D149" s="22"/>
      <c r="E149" s="7"/>
      <c r="F149" s="7"/>
      <c r="G149" s="7"/>
      <c r="H149" s="7"/>
      <c r="I149" s="7"/>
      <c r="J149" s="7"/>
    </row>
    <row r="150" ht="15.75" customHeight="1">
      <c r="A150" s="22"/>
      <c r="B150" s="7"/>
      <c r="C150" s="7"/>
      <c r="D150" s="22"/>
      <c r="E150" s="7"/>
      <c r="F150" s="7"/>
      <c r="G150" s="7"/>
      <c r="H150" s="7"/>
      <c r="I150" s="7"/>
      <c r="J150" s="7"/>
    </row>
  </sheetData>
  <mergeCells count="1">
    <mergeCell ref="L1:M1"/>
  </mergeCells>
  <conditionalFormatting sqref="F2:F150">
    <cfRule type="cellIs" dxfId="2" priority="1" operator="lessThanOrEqual">
      <formula>2</formula>
    </cfRule>
  </conditionalFormatting>
  <conditionalFormatting sqref="F2:F150">
    <cfRule type="cellIs" dxfId="1" priority="2" operator="equal">
      <formula>3</formula>
    </cfRule>
  </conditionalFormatting>
  <conditionalFormatting sqref="F2:F150">
    <cfRule type="cellIs" dxfId="0" priority="3" operator="greaterThanOrEqual">
      <formula>4</formula>
    </cfRule>
  </conditionalFormatting>
  <dataValidations>
    <dataValidation type="list" allowBlank="1" sqref="I2:I150">
      <formula1>"Sim,Nao"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3.0"/>
    <col customWidth="1" min="3" max="3" width="16.0"/>
    <col customWidth="1" min="4" max="4" width="18.0"/>
    <col customWidth="1" min="5" max="6" width="32.0"/>
    <col customWidth="1" min="7" max="7" width="14.0"/>
    <col customWidth="1" min="8" max="8" width="13.0"/>
    <col customWidth="1" min="9" max="9" width="16.0"/>
    <col customWidth="1" min="10" max="10" width="12.0"/>
    <col customWidth="1" min="11" max="26" width="8.71"/>
  </cols>
  <sheetData>
    <row r="1">
      <c r="A1" s="6" t="s">
        <v>200</v>
      </c>
      <c r="B1" s="6" t="s">
        <v>75</v>
      </c>
      <c r="C1" s="6" t="s">
        <v>136</v>
      </c>
      <c r="D1" s="6" t="s">
        <v>82</v>
      </c>
      <c r="E1" s="6" t="s">
        <v>201</v>
      </c>
      <c r="F1" s="6" t="s">
        <v>202</v>
      </c>
      <c r="G1" s="6" t="s">
        <v>137</v>
      </c>
      <c r="H1" s="6" t="s">
        <v>167</v>
      </c>
      <c r="I1" s="6" t="s">
        <v>7</v>
      </c>
      <c r="J1" s="6" t="s">
        <v>85</v>
      </c>
      <c r="L1" s="5" t="s">
        <v>203</v>
      </c>
    </row>
    <row r="2">
      <c r="A2" s="29">
        <v>1.0</v>
      </c>
      <c r="B2" s="28">
        <v>46266.0</v>
      </c>
      <c r="C2" s="29" t="s">
        <v>44</v>
      </c>
      <c r="D2" s="29" t="s">
        <v>204</v>
      </c>
      <c r="E2" s="29" t="s">
        <v>205</v>
      </c>
      <c r="F2" s="29" t="s">
        <v>206</v>
      </c>
      <c r="G2" s="29" t="s">
        <v>207</v>
      </c>
      <c r="H2" s="28">
        <v>46280.0</v>
      </c>
      <c r="I2" s="29" t="s">
        <v>153</v>
      </c>
      <c r="J2" s="29" t="s">
        <v>93</v>
      </c>
      <c r="L2" s="6" t="s">
        <v>208</v>
      </c>
      <c r="M2" s="6" t="s">
        <v>98</v>
      </c>
    </row>
    <row r="3">
      <c r="A3" s="7"/>
      <c r="B3" s="22"/>
      <c r="C3" s="7"/>
      <c r="D3" s="7"/>
      <c r="E3" s="7"/>
      <c r="F3" s="7"/>
      <c r="G3" s="7"/>
      <c r="H3" s="22"/>
      <c r="I3" s="7"/>
      <c r="J3" s="7"/>
      <c r="L3" s="7" t="s">
        <v>41</v>
      </c>
      <c r="M3" s="7" t="str">
        <f>COUNTIF(C3:C150,L3)</f>
        <v>0</v>
      </c>
      <c r="R3" s="32" t="str">
        <f>M3*1000-1</f>
        <v>-1</v>
      </c>
    </row>
    <row r="4">
      <c r="A4" s="7"/>
      <c r="B4" s="22"/>
      <c r="C4" s="7"/>
      <c r="D4" s="7"/>
      <c r="E4" s="7"/>
      <c r="F4" s="7"/>
      <c r="G4" s="7"/>
      <c r="H4" s="22"/>
      <c r="I4" s="7"/>
      <c r="J4" s="7"/>
      <c r="L4" s="7" t="s">
        <v>42</v>
      </c>
      <c r="M4" s="7" t="str">
        <f>COUNTIF(C3:C150,L4)</f>
        <v>0</v>
      </c>
      <c r="R4" s="32" t="str">
        <f>M4*1000-2</f>
        <v>-2</v>
      </c>
    </row>
    <row r="5">
      <c r="A5" s="7"/>
      <c r="B5" s="22"/>
      <c r="C5" s="7"/>
      <c r="D5" s="7"/>
      <c r="E5" s="7"/>
      <c r="F5" s="7"/>
      <c r="G5" s="7"/>
      <c r="H5" s="22"/>
      <c r="I5" s="7"/>
      <c r="J5" s="7"/>
      <c r="L5" s="7" t="s">
        <v>43</v>
      </c>
      <c r="M5" s="7" t="str">
        <f>COUNTIF(C3:C150,L5)</f>
        <v>0</v>
      </c>
      <c r="R5" s="32" t="str">
        <f>M5*1000-3</f>
        <v>-3</v>
      </c>
    </row>
    <row r="6">
      <c r="A6" s="7"/>
      <c r="B6" s="22"/>
      <c r="C6" s="7"/>
      <c r="D6" s="7"/>
      <c r="E6" s="7"/>
      <c r="F6" s="7"/>
      <c r="G6" s="7"/>
      <c r="H6" s="22"/>
      <c r="I6" s="7"/>
      <c r="J6" s="7"/>
      <c r="L6" s="7" t="s">
        <v>44</v>
      </c>
      <c r="M6" s="7" t="str">
        <f>COUNTIF(C3:C150,L6)</f>
        <v>0</v>
      </c>
      <c r="R6" s="32" t="str">
        <f>M6*1000-4</f>
        <v>-4</v>
      </c>
    </row>
    <row r="7">
      <c r="A7" s="7"/>
      <c r="B7" s="22"/>
      <c r="C7" s="7"/>
      <c r="D7" s="7"/>
      <c r="E7" s="7"/>
      <c r="F7" s="7"/>
      <c r="G7" s="7"/>
      <c r="H7" s="22"/>
      <c r="I7" s="7"/>
      <c r="J7" s="7"/>
      <c r="L7" s="7" t="s">
        <v>45</v>
      </c>
      <c r="M7" s="7" t="str">
        <f>COUNTIF(C3:C150,L7)</f>
        <v>0</v>
      </c>
      <c r="R7" s="32" t="str">
        <f>M7*1000-5</f>
        <v>-5</v>
      </c>
    </row>
    <row r="8">
      <c r="A8" s="7"/>
      <c r="B8" s="22"/>
      <c r="C8" s="7"/>
      <c r="D8" s="7"/>
      <c r="E8" s="7"/>
      <c r="F8" s="7"/>
      <c r="G8" s="7"/>
      <c r="H8" s="22"/>
      <c r="I8" s="7"/>
      <c r="J8" s="7"/>
      <c r="L8" s="7" t="s">
        <v>46</v>
      </c>
      <c r="M8" s="7" t="str">
        <f>COUNTIF(C3:C150,L8)</f>
        <v>0</v>
      </c>
      <c r="R8" s="32" t="str">
        <f>M8*1000-6</f>
        <v>-6</v>
      </c>
    </row>
    <row r="9">
      <c r="A9" s="7"/>
      <c r="B9" s="22"/>
      <c r="C9" s="7"/>
      <c r="D9" s="7"/>
      <c r="E9" s="7"/>
      <c r="F9" s="7"/>
      <c r="G9" s="7"/>
      <c r="H9" s="22"/>
      <c r="I9" s="7"/>
      <c r="J9" s="7"/>
      <c r="L9" s="7" t="s">
        <v>47</v>
      </c>
      <c r="M9" s="7" t="str">
        <f>COUNTIF(C3:C150,L9)</f>
        <v>0</v>
      </c>
      <c r="R9" s="32" t="str">
        <f>M9*1000-7</f>
        <v>-7</v>
      </c>
    </row>
    <row r="10">
      <c r="A10" s="7"/>
      <c r="B10" s="22"/>
      <c r="C10" s="7"/>
      <c r="D10" s="7"/>
      <c r="E10" s="7"/>
      <c r="F10" s="7"/>
      <c r="G10" s="7"/>
      <c r="H10" s="22"/>
      <c r="I10" s="7"/>
      <c r="J10" s="7"/>
      <c r="L10" s="7" t="s">
        <v>48</v>
      </c>
      <c r="M10" s="7" t="str">
        <f>COUNTIF(C3:C150,L10)</f>
        <v>0</v>
      </c>
      <c r="R10" s="32" t="str">
        <f>M10*1000-8</f>
        <v>-8</v>
      </c>
    </row>
    <row r="11">
      <c r="A11" s="7"/>
      <c r="B11" s="22"/>
      <c r="C11" s="7"/>
      <c r="D11" s="7"/>
      <c r="E11" s="7"/>
      <c r="F11" s="7"/>
      <c r="G11" s="7"/>
      <c r="H11" s="22"/>
      <c r="I11" s="7"/>
      <c r="J11" s="7"/>
      <c r="L11" s="7" t="s">
        <v>49</v>
      </c>
      <c r="M11" s="7" t="str">
        <f>COUNTIF(C3:C150,L11)</f>
        <v>0</v>
      </c>
      <c r="R11" s="32" t="str">
        <f>M11*1000-9</f>
        <v>-9</v>
      </c>
    </row>
    <row r="12">
      <c r="A12" s="7"/>
      <c r="B12" s="22"/>
      <c r="C12" s="7"/>
      <c r="D12" s="7"/>
      <c r="E12" s="7"/>
      <c r="F12" s="7"/>
      <c r="G12" s="7"/>
      <c r="H12" s="22"/>
      <c r="I12" s="7"/>
      <c r="J12" s="7"/>
      <c r="L12" s="7" t="s">
        <v>50</v>
      </c>
      <c r="M12" s="7" t="str">
        <f>COUNTIF(C3:C150,L12)</f>
        <v>0</v>
      </c>
      <c r="R12" s="32" t="str">
        <f>M12*1000-10</f>
        <v>-10</v>
      </c>
    </row>
    <row r="13">
      <c r="A13" s="7"/>
      <c r="B13" s="22"/>
      <c r="C13" s="7"/>
      <c r="D13" s="7"/>
      <c r="E13" s="7"/>
      <c r="F13" s="7"/>
      <c r="G13" s="7"/>
      <c r="H13" s="22"/>
      <c r="I13" s="7"/>
      <c r="J13" s="7"/>
    </row>
    <row r="14">
      <c r="A14" s="7"/>
      <c r="B14" s="22"/>
      <c r="C14" s="7"/>
      <c r="D14" s="7"/>
      <c r="E14" s="7"/>
      <c r="F14" s="7"/>
      <c r="G14" s="7"/>
      <c r="H14" s="22"/>
      <c r="I14" s="7"/>
      <c r="J14" s="7"/>
    </row>
    <row r="15">
      <c r="A15" s="7"/>
      <c r="B15" s="22"/>
      <c r="C15" s="7"/>
      <c r="D15" s="7"/>
      <c r="E15" s="7"/>
      <c r="F15" s="7"/>
      <c r="G15" s="7"/>
      <c r="H15" s="22"/>
      <c r="I15" s="7"/>
      <c r="J15" s="7"/>
    </row>
    <row r="16">
      <c r="A16" s="7"/>
      <c r="B16" s="22"/>
      <c r="C16" s="7"/>
      <c r="D16" s="7"/>
      <c r="E16" s="7"/>
      <c r="F16" s="7"/>
      <c r="G16" s="7"/>
      <c r="H16" s="22"/>
      <c r="I16" s="7"/>
      <c r="J16" s="7"/>
    </row>
    <row r="17">
      <c r="A17" s="7"/>
      <c r="B17" s="22"/>
      <c r="C17" s="7"/>
      <c r="D17" s="7"/>
      <c r="E17" s="7"/>
      <c r="F17" s="7"/>
      <c r="G17" s="7"/>
      <c r="H17" s="22"/>
      <c r="I17" s="7"/>
      <c r="J17" s="7"/>
    </row>
    <row r="18">
      <c r="A18" s="7"/>
      <c r="B18" s="22"/>
      <c r="C18" s="7"/>
      <c r="D18" s="7"/>
      <c r="E18" s="7"/>
      <c r="F18" s="7"/>
      <c r="G18" s="7"/>
      <c r="H18" s="22"/>
      <c r="I18" s="7"/>
      <c r="J18" s="7"/>
    </row>
    <row r="19">
      <c r="A19" s="7"/>
      <c r="B19" s="22"/>
      <c r="C19" s="7"/>
      <c r="D19" s="7"/>
      <c r="E19" s="7"/>
      <c r="F19" s="7"/>
      <c r="G19" s="7"/>
      <c r="H19" s="22"/>
      <c r="I19" s="7"/>
      <c r="J19" s="7"/>
    </row>
    <row r="20">
      <c r="A20" s="7"/>
      <c r="B20" s="22"/>
      <c r="C20" s="7"/>
      <c r="D20" s="7"/>
      <c r="E20" s="7"/>
      <c r="F20" s="7"/>
      <c r="G20" s="7"/>
      <c r="H20" s="22"/>
      <c r="I20" s="7"/>
      <c r="J20" s="7"/>
    </row>
    <row r="21" ht="15.75" customHeight="1">
      <c r="A21" s="7"/>
      <c r="B21" s="22"/>
      <c r="C21" s="7"/>
      <c r="D21" s="7"/>
      <c r="E21" s="7"/>
      <c r="F21" s="7"/>
      <c r="G21" s="7"/>
      <c r="H21" s="22"/>
      <c r="I21" s="7"/>
      <c r="J21" s="7"/>
    </row>
    <row r="22" ht="15.75" customHeight="1">
      <c r="A22" s="7"/>
      <c r="B22" s="22"/>
      <c r="C22" s="7"/>
      <c r="D22" s="7"/>
      <c r="E22" s="7"/>
      <c r="F22" s="7"/>
      <c r="G22" s="7"/>
      <c r="H22" s="22"/>
      <c r="I22" s="7"/>
      <c r="J22" s="7"/>
    </row>
    <row r="23" ht="15.75" customHeight="1">
      <c r="A23" s="7"/>
      <c r="B23" s="22"/>
      <c r="C23" s="7"/>
      <c r="D23" s="7"/>
      <c r="E23" s="7"/>
      <c r="F23" s="7"/>
      <c r="G23" s="7"/>
      <c r="H23" s="22"/>
      <c r="I23" s="7"/>
      <c r="J23" s="7"/>
    </row>
    <row r="24" ht="15.75" customHeight="1">
      <c r="A24" s="7"/>
      <c r="B24" s="22"/>
      <c r="C24" s="7"/>
      <c r="D24" s="7"/>
      <c r="E24" s="7"/>
      <c r="F24" s="7"/>
      <c r="G24" s="7"/>
      <c r="H24" s="22"/>
      <c r="I24" s="7"/>
      <c r="J24" s="7"/>
    </row>
    <row r="25" ht="15.75" customHeight="1">
      <c r="A25" s="7"/>
      <c r="B25" s="22"/>
      <c r="C25" s="7"/>
      <c r="D25" s="7"/>
      <c r="E25" s="7"/>
      <c r="F25" s="7"/>
      <c r="G25" s="7"/>
      <c r="H25" s="22"/>
      <c r="I25" s="7"/>
      <c r="J25" s="7"/>
    </row>
    <row r="26" ht="15.75" customHeight="1">
      <c r="A26" s="7"/>
      <c r="B26" s="22"/>
      <c r="C26" s="7"/>
      <c r="D26" s="7"/>
      <c r="E26" s="7"/>
      <c r="F26" s="7"/>
      <c r="G26" s="7"/>
      <c r="H26" s="22"/>
      <c r="I26" s="7"/>
      <c r="J26" s="7"/>
    </row>
    <row r="27" ht="15.75" customHeight="1">
      <c r="A27" s="7"/>
      <c r="B27" s="22"/>
      <c r="C27" s="7"/>
      <c r="D27" s="7"/>
      <c r="E27" s="7"/>
      <c r="F27" s="7"/>
      <c r="G27" s="7"/>
      <c r="H27" s="22"/>
      <c r="I27" s="7"/>
      <c r="J27" s="7"/>
    </row>
    <row r="28" ht="15.75" customHeight="1">
      <c r="A28" s="7"/>
      <c r="B28" s="22"/>
      <c r="C28" s="7"/>
      <c r="D28" s="7"/>
      <c r="E28" s="7"/>
      <c r="F28" s="7"/>
      <c r="G28" s="7"/>
      <c r="H28" s="22"/>
      <c r="I28" s="7"/>
      <c r="J28" s="7"/>
    </row>
    <row r="29" ht="15.75" customHeight="1">
      <c r="A29" s="7"/>
      <c r="B29" s="22"/>
      <c r="C29" s="7"/>
      <c r="D29" s="7"/>
      <c r="E29" s="7"/>
      <c r="F29" s="7"/>
      <c r="G29" s="7"/>
      <c r="H29" s="22"/>
      <c r="I29" s="7"/>
      <c r="J29" s="7"/>
    </row>
    <row r="30" ht="15.75" customHeight="1">
      <c r="A30" s="7"/>
      <c r="B30" s="22"/>
      <c r="C30" s="7"/>
      <c r="D30" s="7"/>
      <c r="E30" s="7"/>
      <c r="F30" s="7"/>
      <c r="G30" s="7"/>
      <c r="H30" s="22"/>
      <c r="I30" s="7"/>
      <c r="J30" s="7"/>
    </row>
    <row r="31" ht="15.75" customHeight="1">
      <c r="A31" s="7"/>
      <c r="B31" s="22"/>
      <c r="C31" s="7"/>
      <c r="D31" s="7"/>
      <c r="E31" s="7"/>
      <c r="F31" s="7"/>
      <c r="G31" s="7"/>
      <c r="H31" s="22"/>
      <c r="I31" s="7"/>
      <c r="J31" s="7"/>
    </row>
    <row r="32" ht="15.75" customHeight="1">
      <c r="A32" s="7"/>
      <c r="B32" s="22"/>
      <c r="C32" s="7"/>
      <c r="D32" s="7"/>
      <c r="E32" s="7"/>
      <c r="F32" s="7"/>
      <c r="G32" s="7"/>
      <c r="H32" s="22"/>
      <c r="I32" s="7"/>
      <c r="J32" s="7"/>
    </row>
    <row r="33" ht="15.75" customHeight="1">
      <c r="A33" s="7"/>
      <c r="B33" s="22"/>
      <c r="C33" s="7"/>
      <c r="D33" s="7"/>
      <c r="E33" s="7"/>
      <c r="F33" s="7"/>
      <c r="G33" s="7"/>
      <c r="H33" s="22"/>
      <c r="I33" s="7"/>
      <c r="J33" s="7"/>
    </row>
    <row r="34" ht="15.75" customHeight="1">
      <c r="A34" s="7"/>
      <c r="B34" s="22"/>
      <c r="C34" s="7"/>
      <c r="D34" s="7"/>
      <c r="E34" s="7"/>
      <c r="F34" s="7"/>
      <c r="G34" s="7"/>
      <c r="H34" s="22"/>
      <c r="I34" s="7"/>
      <c r="J34" s="7"/>
    </row>
    <row r="35" ht="15.75" customHeight="1">
      <c r="A35" s="7"/>
      <c r="B35" s="22"/>
      <c r="C35" s="7"/>
      <c r="D35" s="7"/>
      <c r="E35" s="7"/>
      <c r="F35" s="7"/>
      <c r="G35" s="7"/>
      <c r="H35" s="22"/>
      <c r="I35" s="7"/>
      <c r="J35" s="7"/>
    </row>
    <row r="36" ht="15.75" customHeight="1">
      <c r="A36" s="7"/>
      <c r="B36" s="22"/>
      <c r="C36" s="7"/>
      <c r="D36" s="7"/>
      <c r="E36" s="7"/>
      <c r="F36" s="7"/>
      <c r="G36" s="7"/>
      <c r="H36" s="22"/>
      <c r="I36" s="7"/>
      <c r="J36" s="7"/>
      <c r="L36" s="5" t="s">
        <v>209</v>
      </c>
    </row>
    <row r="37" ht="15.75" customHeight="1">
      <c r="A37" s="7"/>
      <c r="B37" s="22"/>
      <c r="C37" s="7"/>
      <c r="D37" s="7"/>
      <c r="E37" s="7"/>
      <c r="F37" s="7"/>
      <c r="G37" s="7"/>
      <c r="H37" s="22"/>
      <c r="I37" s="7"/>
      <c r="J37" s="7"/>
      <c r="L37" s="6" t="s">
        <v>126</v>
      </c>
      <c r="M37" s="6" t="s">
        <v>98</v>
      </c>
      <c r="N37" s="6" t="s">
        <v>127</v>
      </c>
    </row>
    <row r="38" ht="15.75" customHeight="1">
      <c r="A38" s="7"/>
      <c r="B38" s="22"/>
      <c r="C38" s="7"/>
      <c r="D38" s="7"/>
      <c r="E38" s="7"/>
      <c r="F38" s="7"/>
      <c r="G38" s="7"/>
      <c r="H38" s="22"/>
      <c r="I38" s="7"/>
      <c r="J38" s="7"/>
      <c r="L38" s="7" t="str">
        <f t="array" ref="L38">INDEX($L$3:$L$12,MATCH(LARGE($R$3:$R$12,1),$R$3:$R$12,0))</f>
        <v>Acabamento</v>
      </c>
      <c r="M38" s="16" t="str">
        <f>ROUND(LARGE($R$3:$R$12,1)/1000,0)</f>
        <v>0</v>
      </c>
      <c r="N38" s="24" t="str">
        <f t="shared" ref="N38:N47" si="1">IFERROR(SUM($M$38:M38)/SUM($M$3:$M$12)*100,0)</f>
        <v>0.0</v>
      </c>
    </row>
    <row r="39" ht="15.75" customHeight="1">
      <c r="A39" s="7"/>
      <c r="B39" s="22"/>
      <c r="C39" s="7"/>
      <c r="D39" s="7"/>
      <c r="E39" s="7"/>
      <c r="F39" s="7"/>
      <c r="G39" s="7"/>
      <c r="H39" s="22"/>
      <c r="I39" s="7"/>
      <c r="J39" s="7"/>
      <c r="L39" s="7" t="str">
        <f t="array" ref="L39">INDEX($L$3:$L$12,MATCH(LARGE($R$3:$R$12,2),$R$3:$R$12,0))</f>
        <v>Embalagem</v>
      </c>
      <c r="M39" s="16" t="str">
        <f>ROUND(LARGE($R$3:$R$12,2)/1000,0)</f>
        <v>0</v>
      </c>
      <c r="N39" s="24" t="str">
        <f t="shared" si="1"/>
        <v>0.0</v>
      </c>
    </row>
    <row r="40" ht="15.75" customHeight="1">
      <c r="A40" s="7"/>
      <c r="B40" s="22"/>
      <c r="C40" s="7"/>
      <c r="D40" s="7"/>
      <c r="E40" s="7"/>
      <c r="F40" s="7"/>
      <c r="G40" s="7"/>
      <c r="H40" s="22"/>
      <c r="I40" s="7"/>
      <c r="J40" s="7"/>
      <c r="L40" s="7" t="str">
        <f t="array" ref="L40">INDEX($L$3:$L$12,MATCH(LARGE($R$3:$R$12,3),$R$3:$R$12,0))</f>
        <v>Material</v>
      </c>
      <c r="M40" s="16" t="str">
        <f>ROUND(LARGE($R$3:$R$12,3)/1000,0)</f>
        <v>0</v>
      </c>
      <c r="N40" s="24" t="str">
        <f t="shared" si="1"/>
        <v>0.0</v>
      </c>
    </row>
    <row r="41" ht="15.75" customHeight="1">
      <c r="A41" s="7"/>
      <c r="B41" s="22"/>
      <c r="C41" s="7"/>
      <c r="D41" s="7"/>
      <c r="E41" s="7"/>
      <c r="F41" s="7"/>
      <c r="G41" s="7"/>
      <c r="H41" s="22"/>
      <c r="I41" s="7"/>
      <c r="J41" s="7"/>
      <c r="L41" s="7" t="str">
        <f t="array" ref="L41">INDEX($L$3:$L$12,MATCH(LARGE($R$3:$R$12,4),$R$3:$R$12,0))</f>
        <v>Hidraulica</v>
      </c>
      <c r="M41" s="16" t="str">
        <f>ROUND(LARGE($R$3:$R$12,4)/1000,0)</f>
        <v>0</v>
      </c>
      <c r="N41" s="24" t="str">
        <f t="shared" si="1"/>
        <v>0.0</v>
      </c>
    </row>
    <row r="42" ht="15.75" customHeight="1">
      <c r="A42" s="7"/>
      <c r="B42" s="22"/>
      <c r="C42" s="7"/>
      <c r="D42" s="7"/>
      <c r="E42" s="7"/>
      <c r="F42" s="7"/>
      <c r="G42" s="7"/>
      <c r="H42" s="22"/>
      <c r="I42" s="7"/>
      <c r="J42" s="7"/>
      <c r="L42" s="7" t="str">
        <f t="array" ref="L42">INDEX($L$3:$L$12,MATCH(LARGE($R$3:$R$12,5),$R$3:$R$12,0))</f>
        <v>Costura</v>
      </c>
      <c r="M42" s="16" t="str">
        <f>ROUND(LARGE($R$3:$R$12,5)/1000,0)</f>
        <v>0</v>
      </c>
      <c r="N42" s="24" t="str">
        <f t="shared" si="1"/>
        <v>0.0</v>
      </c>
    </row>
    <row r="43" ht="15.75" customHeight="1">
      <c r="A43" s="7"/>
      <c r="B43" s="22"/>
      <c r="C43" s="7"/>
      <c r="D43" s="7"/>
      <c r="E43" s="7"/>
      <c r="F43" s="7"/>
      <c r="G43" s="7"/>
      <c r="H43" s="22"/>
      <c r="I43" s="7"/>
      <c r="J43" s="7"/>
      <c r="L43" s="7" t="str">
        <f t="array" ref="L43">INDEX($L$3:$L$12,MATCH(LARGE($R$3:$R$12,6),$R$3:$R$12,0))</f>
        <v>Montagem</v>
      </c>
      <c r="M43" s="16" t="str">
        <f>ROUND(LARGE($R$3:$R$12,6)/1000,0)</f>
        <v>0</v>
      </c>
      <c r="N43" s="24" t="str">
        <f t="shared" si="1"/>
        <v>0.0</v>
      </c>
    </row>
    <row r="44" ht="15.75" customHeight="1">
      <c r="A44" s="7"/>
      <c r="B44" s="22"/>
      <c r="C44" s="7"/>
      <c r="D44" s="7"/>
      <c r="E44" s="7"/>
      <c r="F44" s="7"/>
      <c r="G44" s="7"/>
      <c r="H44" s="22"/>
      <c r="I44" s="7"/>
      <c r="J44" s="7"/>
      <c r="L44" s="7" t="str">
        <f t="array" ref="L44">INDEX($L$3:$L$12,MATCH(LARGE($R$3:$R$12,7),$R$3:$R$12,0))</f>
        <v>Peca faltante</v>
      </c>
      <c r="M44" s="16" t="str">
        <f>ROUND(LARGE($R$3:$R$12,7)/1000,0)</f>
        <v>0</v>
      </c>
      <c r="N44" s="24" t="str">
        <f t="shared" si="1"/>
        <v>0.0</v>
      </c>
    </row>
    <row r="45" ht="15.75" customHeight="1">
      <c r="A45" s="7"/>
      <c r="B45" s="22"/>
      <c r="C45" s="7"/>
      <c r="D45" s="7"/>
      <c r="E45" s="7"/>
      <c r="F45" s="7"/>
      <c r="G45" s="7"/>
      <c r="H45" s="22"/>
      <c r="I45" s="7"/>
      <c r="J45" s="7"/>
      <c r="L45" s="7" t="str">
        <f t="array" ref="L45">INDEX($L$3:$L$12,MATCH(LARGE($R$3:$R$12,8),$R$3:$R$12,0))</f>
        <v>Peca quebrada</v>
      </c>
      <c r="M45" s="16" t="str">
        <f>ROUND(LARGE($R$3:$R$12,8)/1000,0)</f>
        <v>0</v>
      </c>
      <c r="N45" s="24" t="str">
        <f t="shared" si="1"/>
        <v>0.0</v>
      </c>
    </row>
    <row r="46" ht="15.75" customHeight="1">
      <c r="A46" s="7"/>
      <c r="B46" s="22"/>
      <c r="C46" s="7"/>
      <c r="D46" s="7"/>
      <c r="E46" s="7"/>
      <c r="F46" s="7"/>
      <c r="G46" s="7"/>
      <c r="H46" s="22"/>
      <c r="I46" s="7"/>
      <c r="J46" s="7"/>
      <c r="L46" s="7" t="str">
        <f t="array" ref="L46">INDEX($L$3:$L$12,MATCH(LARGE($R$3:$R$12,9),$R$3:$R$12,0))</f>
        <v>Dificuldade de montagem</v>
      </c>
      <c r="M46" s="16" t="str">
        <f>ROUND(LARGE($R$3:$R$12,9)/1000,0)</f>
        <v>0</v>
      </c>
      <c r="N46" s="24" t="str">
        <f t="shared" si="1"/>
        <v>0.0</v>
      </c>
    </row>
    <row r="47" ht="15.75" customHeight="1">
      <c r="A47" s="7"/>
      <c r="B47" s="22"/>
      <c r="C47" s="7"/>
      <c r="D47" s="7"/>
      <c r="E47" s="7"/>
      <c r="F47" s="7"/>
      <c r="G47" s="7"/>
      <c r="H47" s="22"/>
      <c r="I47" s="7"/>
      <c r="J47" s="7"/>
      <c r="L47" s="7" t="str">
        <f t="array" ref="L47">INDEX($L$3:$L$12,MATCH(LARGE($R$3:$R$12,10),$R$3:$R$12,0))</f>
        <v>Outros</v>
      </c>
      <c r="M47" s="16" t="str">
        <f>ROUND(LARGE($R$3:$R$12,10)/1000,0)</f>
        <v>0</v>
      </c>
      <c r="N47" s="24" t="str">
        <f t="shared" si="1"/>
        <v>0.0</v>
      </c>
    </row>
    <row r="48" ht="15.75" customHeight="1">
      <c r="A48" s="7"/>
      <c r="B48" s="22"/>
      <c r="C48" s="7"/>
      <c r="D48" s="7"/>
      <c r="E48" s="7"/>
      <c r="F48" s="7"/>
      <c r="G48" s="7"/>
      <c r="H48" s="22"/>
      <c r="I48" s="7"/>
      <c r="J48" s="7"/>
    </row>
    <row r="49" ht="15.75" customHeight="1">
      <c r="A49" s="7"/>
      <c r="B49" s="22"/>
      <c r="C49" s="7"/>
      <c r="D49" s="7"/>
      <c r="E49" s="7"/>
      <c r="F49" s="7"/>
      <c r="G49" s="7"/>
      <c r="H49" s="22"/>
      <c r="I49" s="7"/>
      <c r="J49" s="7"/>
    </row>
    <row r="50" ht="15.75" customHeight="1">
      <c r="A50" s="7"/>
      <c r="B50" s="22"/>
      <c r="C50" s="7"/>
      <c r="D50" s="7"/>
      <c r="E50" s="7"/>
      <c r="F50" s="7"/>
      <c r="G50" s="7"/>
      <c r="H50" s="22"/>
      <c r="I50" s="7"/>
      <c r="J50" s="7"/>
    </row>
    <row r="51" ht="15.75" customHeight="1">
      <c r="A51" s="7"/>
      <c r="B51" s="22"/>
      <c r="C51" s="7"/>
      <c r="D51" s="7"/>
      <c r="E51" s="7"/>
      <c r="F51" s="7"/>
      <c r="G51" s="7"/>
      <c r="H51" s="22"/>
      <c r="I51" s="7"/>
      <c r="J51" s="7"/>
    </row>
    <row r="52" ht="15.75" customHeight="1">
      <c r="A52" s="7"/>
      <c r="B52" s="22"/>
      <c r="C52" s="7"/>
      <c r="D52" s="7"/>
      <c r="E52" s="7"/>
      <c r="F52" s="7"/>
      <c r="G52" s="7"/>
      <c r="H52" s="22"/>
      <c r="I52" s="7"/>
      <c r="J52" s="7"/>
    </row>
    <row r="53" ht="15.75" customHeight="1">
      <c r="A53" s="7"/>
      <c r="B53" s="22"/>
      <c r="C53" s="7"/>
      <c r="D53" s="7"/>
      <c r="E53" s="7"/>
      <c r="F53" s="7"/>
      <c r="G53" s="7"/>
      <c r="H53" s="22"/>
      <c r="I53" s="7"/>
      <c r="J53" s="7"/>
    </row>
    <row r="54" ht="15.75" customHeight="1">
      <c r="A54" s="7"/>
      <c r="B54" s="22"/>
      <c r="C54" s="7"/>
      <c r="D54" s="7"/>
      <c r="E54" s="7"/>
      <c r="F54" s="7"/>
      <c r="G54" s="7"/>
      <c r="H54" s="22"/>
      <c r="I54" s="7"/>
      <c r="J54" s="7"/>
    </row>
    <row r="55" ht="15.75" customHeight="1">
      <c r="A55" s="7"/>
      <c r="B55" s="22"/>
      <c r="C55" s="7"/>
      <c r="D55" s="7"/>
      <c r="E55" s="7"/>
      <c r="F55" s="7"/>
      <c r="G55" s="7"/>
      <c r="H55" s="22"/>
      <c r="I55" s="7"/>
      <c r="J55" s="7"/>
    </row>
    <row r="56" ht="15.75" customHeight="1">
      <c r="A56" s="7"/>
      <c r="B56" s="22"/>
      <c r="C56" s="7"/>
      <c r="D56" s="7"/>
      <c r="E56" s="7"/>
      <c r="F56" s="7"/>
      <c r="G56" s="7"/>
      <c r="H56" s="22"/>
      <c r="I56" s="7"/>
      <c r="J56" s="7"/>
    </row>
    <row r="57" ht="15.75" customHeight="1">
      <c r="A57" s="7"/>
      <c r="B57" s="22"/>
      <c r="C57" s="7"/>
      <c r="D57" s="7"/>
      <c r="E57" s="7"/>
      <c r="F57" s="7"/>
      <c r="G57" s="7"/>
      <c r="H57" s="22"/>
      <c r="I57" s="7"/>
      <c r="J57" s="7"/>
    </row>
    <row r="58" ht="15.75" customHeight="1">
      <c r="A58" s="7"/>
      <c r="B58" s="22"/>
      <c r="C58" s="7"/>
      <c r="D58" s="7"/>
      <c r="E58" s="7"/>
      <c r="F58" s="7"/>
      <c r="G58" s="7"/>
      <c r="H58" s="22"/>
      <c r="I58" s="7"/>
      <c r="J58" s="7"/>
    </row>
    <row r="59" ht="15.75" customHeight="1">
      <c r="A59" s="7"/>
      <c r="B59" s="22"/>
      <c r="C59" s="7"/>
      <c r="D59" s="7"/>
      <c r="E59" s="7"/>
      <c r="F59" s="7"/>
      <c r="G59" s="7"/>
      <c r="H59" s="22"/>
      <c r="I59" s="7"/>
      <c r="J59" s="7"/>
    </row>
    <row r="60" ht="15.75" customHeight="1">
      <c r="A60" s="7"/>
      <c r="B60" s="22"/>
      <c r="C60" s="7"/>
      <c r="D60" s="7"/>
      <c r="E60" s="7"/>
      <c r="F60" s="7"/>
      <c r="G60" s="7"/>
      <c r="H60" s="22"/>
      <c r="I60" s="7"/>
      <c r="J60" s="7"/>
    </row>
    <row r="61" ht="15.75" customHeight="1">
      <c r="A61" s="7"/>
      <c r="B61" s="22"/>
      <c r="C61" s="7"/>
      <c r="D61" s="7"/>
      <c r="E61" s="7"/>
      <c r="F61" s="7"/>
      <c r="G61" s="7"/>
      <c r="H61" s="22"/>
      <c r="I61" s="7"/>
      <c r="J61" s="7"/>
    </row>
    <row r="62" ht="15.75" customHeight="1">
      <c r="A62" s="7"/>
      <c r="B62" s="22"/>
      <c r="C62" s="7"/>
      <c r="D62" s="7"/>
      <c r="E62" s="7"/>
      <c r="F62" s="7"/>
      <c r="G62" s="7"/>
      <c r="H62" s="22"/>
      <c r="I62" s="7"/>
      <c r="J62" s="7"/>
    </row>
    <row r="63" ht="15.75" customHeight="1">
      <c r="A63" s="7"/>
      <c r="B63" s="22"/>
      <c r="C63" s="7"/>
      <c r="D63" s="7"/>
      <c r="E63" s="7"/>
      <c r="F63" s="7"/>
      <c r="G63" s="7"/>
      <c r="H63" s="22"/>
      <c r="I63" s="7"/>
      <c r="J63" s="7"/>
    </row>
    <row r="64" ht="15.75" customHeight="1">
      <c r="A64" s="7"/>
      <c r="B64" s="22"/>
      <c r="C64" s="7"/>
      <c r="D64" s="7"/>
      <c r="E64" s="7"/>
      <c r="F64" s="7"/>
      <c r="G64" s="7"/>
      <c r="H64" s="22"/>
      <c r="I64" s="7"/>
      <c r="J64" s="7"/>
    </row>
    <row r="65" ht="15.75" customHeight="1">
      <c r="A65" s="7"/>
      <c r="B65" s="22"/>
      <c r="C65" s="7"/>
      <c r="D65" s="7"/>
      <c r="E65" s="7"/>
      <c r="F65" s="7"/>
      <c r="G65" s="7"/>
      <c r="H65" s="22"/>
      <c r="I65" s="7"/>
      <c r="J65" s="7"/>
    </row>
    <row r="66" ht="15.75" customHeight="1">
      <c r="A66" s="7"/>
      <c r="B66" s="22"/>
      <c r="C66" s="7"/>
      <c r="D66" s="7"/>
      <c r="E66" s="7"/>
      <c r="F66" s="7"/>
      <c r="G66" s="7"/>
      <c r="H66" s="22"/>
      <c r="I66" s="7"/>
      <c r="J66" s="7"/>
    </row>
    <row r="67" ht="15.75" customHeight="1">
      <c r="A67" s="7"/>
      <c r="B67" s="22"/>
      <c r="C67" s="7"/>
      <c r="D67" s="7"/>
      <c r="E67" s="7"/>
      <c r="F67" s="7"/>
      <c r="G67" s="7"/>
      <c r="H67" s="22"/>
      <c r="I67" s="7"/>
      <c r="J67" s="7"/>
    </row>
    <row r="68" ht="15.75" customHeight="1">
      <c r="A68" s="7"/>
      <c r="B68" s="22"/>
      <c r="C68" s="7"/>
      <c r="D68" s="7"/>
      <c r="E68" s="7"/>
      <c r="F68" s="7"/>
      <c r="G68" s="7"/>
      <c r="H68" s="22"/>
      <c r="I68" s="7"/>
      <c r="J68" s="7"/>
    </row>
    <row r="69" ht="15.75" customHeight="1">
      <c r="A69" s="7"/>
      <c r="B69" s="22"/>
      <c r="C69" s="7"/>
      <c r="D69" s="7"/>
      <c r="E69" s="7"/>
      <c r="F69" s="7"/>
      <c r="G69" s="7"/>
      <c r="H69" s="22"/>
      <c r="I69" s="7"/>
      <c r="J69" s="7"/>
    </row>
    <row r="70" ht="15.75" customHeight="1">
      <c r="A70" s="7"/>
      <c r="B70" s="22"/>
      <c r="C70" s="7"/>
      <c r="D70" s="7"/>
      <c r="E70" s="7"/>
      <c r="F70" s="7"/>
      <c r="G70" s="7"/>
      <c r="H70" s="22"/>
      <c r="I70" s="7"/>
      <c r="J70" s="7"/>
    </row>
    <row r="71" ht="15.75" customHeight="1">
      <c r="A71" s="7"/>
      <c r="B71" s="22"/>
      <c r="C71" s="7"/>
      <c r="D71" s="7"/>
      <c r="E71" s="7"/>
      <c r="F71" s="7"/>
      <c r="G71" s="7"/>
      <c r="H71" s="22"/>
      <c r="I71" s="7"/>
      <c r="J71" s="7"/>
    </row>
    <row r="72" ht="15.75" customHeight="1">
      <c r="A72" s="7"/>
      <c r="B72" s="22"/>
      <c r="C72" s="7"/>
      <c r="D72" s="7"/>
      <c r="E72" s="7"/>
      <c r="F72" s="7"/>
      <c r="G72" s="7"/>
      <c r="H72" s="22"/>
      <c r="I72" s="7"/>
      <c r="J72" s="7"/>
    </row>
    <row r="73" ht="15.75" customHeight="1">
      <c r="A73" s="7"/>
      <c r="B73" s="22"/>
      <c r="C73" s="7"/>
      <c r="D73" s="7"/>
      <c r="E73" s="7"/>
      <c r="F73" s="7"/>
      <c r="G73" s="7"/>
      <c r="H73" s="22"/>
      <c r="I73" s="7"/>
      <c r="J73" s="7"/>
    </row>
    <row r="74" ht="15.75" customHeight="1">
      <c r="A74" s="7"/>
      <c r="B74" s="22"/>
      <c r="C74" s="7"/>
      <c r="D74" s="7"/>
      <c r="E74" s="7"/>
      <c r="F74" s="7"/>
      <c r="G74" s="7"/>
      <c r="H74" s="22"/>
      <c r="I74" s="7"/>
      <c r="J74" s="7"/>
    </row>
    <row r="75" ht="15.75" customHeight="1">
      <c r="A75" s="7"/>
      <c r="B75" s="22"/>
      <c r="C75" s="7"/>
      <c r="D75" s="7"/>
      <c r="E75" s="7"/>
      <c r="F75" s="7"/>
      <c r="G75" s="7"/>
      <c r="H75" s="22"/>
      <c r="I75" s="7"/>
      <c r="J75" s="7"/>
    </row>
    <row r="76" ht="15.75" customHeight="1">
      <c r="A76" s="7"/>
      <c r="B76" s="22"/>
      <c r="C76" s="7"/>
      <c r="D76" s="7"/>
      <c r="E76" s="7"/>
      <c r="F76" s="7"/>
      <c r="G76" s="7"/>
      <c r="H76" s="22"/>
      <c r="I76" s="7"/>
      <c r="J76" s="7"/>
    </row>
    <row r="77" ht="15.75" customHeight="1">
      <c r="A77" s="7"/>
      <c r="B77" s="22"/>
      <c r="C77" s="7"/>
      <c r="D77" s="7"/>
      <c r="E77" s="7"/>
      <c r="F77" s="7"/>
      <c r="G77" s="7"/>
      <c r="H77" s="22"/>
      <c r="I77" s="7"/>
      <c r="J77" s="7"/>
    </row>
    <row r="78" ht="15.75" customHeight="1">
      <c r="A78" s="7"/>
      <c r="B78" s="22"/>
      <c r="C78" s="7"/>
      <c r="D78" s="7"/>
      <c r="E78" s="7"/>
      <c r="F78" s="7"/>
      <c r="G78" s="7"/>
      <c r="H78" s="22"/>
      <c r="I78" s="7"/>
      <c r="J78" s="7"/>
    </row>
    <row r="79" ht="15.75" customHeight="1">
      <c r="A79" s="7"/>
      <c r="B79" s="22"/>
      <c r="C79" s="7"/>
      <c r="D79" s="7"/>
      <c r="E79" s="7"/>
      <c r="F79" s="7"/>
      <c r="G79" s="7"/>
      <c r="H79" s="22"/>
      <c r="I79" s="7"/>
      <c r="J79" s="7"/>
    </row>
    <row r="80" ht="15.75" customHeight="1">
      <c r="A80" s="7"/>
      <c r="B80" s="22"/>
      <c r="C80" s="7"/>
      <c r="D80" s="7"/>
      <c r="E80" s="7"/>
      <c r="F80" s="7"/>
      <c r="G80" s="7"/>
      <c r="H80" s="22"/>
      <c r="I80" s="7"/>
      <c r="J80" s="7"/>
    </row>
    <row r="81" ht="15.75" customHeight="1">
      <c r="A81" s="7"/>
      <c r="B81" s="22"/>
      <c r="C81" s="7"/>
      <c r="D81" s="7"/>
      <c r="E81" s="7"/>
      <c r="F81" s="7"/>
      <c r="G81" s="7"/>
      <c r="H81" s="22"/>
      <c r="I81" s="7"/>
      <c r="J81" s="7"/>
    </row>
    <row r="82" ht="15.75" customHeight="1">
      <c r="A82" s="7"/>
      <c r="B82" s="22"/>
      <c r="C82" s="7"/>
      <c r="D82" s="7"/>
      <c r="E82" s="7"/>
      <c r="F82" s="7"/>
      <c r="G82" s="7"/>
      <c r="H82" s="22"/>
      <c r="I82" s="7"/>
      <c r="J82" s="7"/>
    </row>
    <row r="83" ht="15.75" customHeight="1">
      <c r="A83" s="7"/>
      <c r="B83" s="22"/>
      <c r="C83" s="7"/>
      <c r="D83" s="7"/>
      <c r="E83" s="7"/>
      <c r="F83" s="7"/>
      <c r="G83" s="7"/>
      <c r="H83" s="22"/>
      <c r="I83" s="7"/>
      <c r="J83" s="7"/>
    </row>
    <row r="84" ht="15.75" customHeight="1">
      <c r="A84" s="7"/>
      <c r="B84" s="22"/>
      <c r="C84" s="7"/>
      <c r="D84" s="7"/>
      <c r="E84" s="7"/>
      <c r="F84" s="7"/>
      <c r="G84" s="7"/>
      <c r="H84" s="22"/>
      <c r="I84" s="7"/>
      <c r="J84" s="7"/>
    </row>
    <row r="85" ht="15.75" customHeight="1">
      <c r="A85" s="7"/>
      <c r="B85" s="22"/>
      <c r="C85" s="7"/>
      <c r="D85" s="7"/>
      <c r="E85" s="7"/>
      <c r="F85" s="7"/>
      <c r="G85" s="7"/>
      <c r="H85" s="22"/>
      <c r="I85" s="7"/>
      <c r="J85" s="7"/>
    </row>
    <row r="86" ht="15.75" customHeight="1">
      <c r="A86" s="7"/>
      <c r="B86" s="22"/>
      <c r="C86" s="7"/>
      <c r="D86" s="7"/>
      <c r="E86" s="7"/>
      <c r="F86" s="7"/>
      <c r="G86" s="7"/>
      <c r="H86" s="22"/>
      <c r="I86" s="7"/>
      <c r="J86" s="7"/>
    </row>
    <row r="87" ht="15.75" customHeight="1">
      <c r="A87" s="7"/>
      <c r="B87" s="22"/>
      <c r="C87" s="7"/>
      <c r="D87" s="7"/>
      <c r="E87" s="7"/>
      <c r="F87" s="7"/>
      <c r="G87" s="7"/>
      <c r="H87" s="22"/>
      <c r="I87" s="7"/>
      <c r="J87" s="7"/>
    </row>
    <row r="88" ht="15.75" customHeight="1">
      <c r="A88" s="7"/>
      <c r="B88" s="22"/>
      <c r="C88" s="7"/>
      <c r="D88" s="7"/>
      <c r="E88" s="7"/>
      <c r="F88" s="7"/>
      <c r="G88" s="7"/>
      <c r="H88" s="22"/>
      <c r="I88" s="7"/>
      <c r="J88" s="7"/>
    </row>
    <row r="89" ht="15.75" customHeight="1">
      <c r="A89" s="7"/>
      <c r="B89" s="22"/>
      <c r="C89" s="7"/>
      <c r="D89" s="7"/>
      <c r="E89" s="7"/>
      <c r="F89" s="7"/>
      <c r="G89" s="7"/>
      <c r="H89" s="22"/>
      <c r="I89" s="7"/>
      <c r="J89" s="7"/>
    </row>
    <row r="90" ht="15.75" customHeight="1">
      <c r="A90" s="7"/>
      <c r="B90" s="22"/>
      <c r="C90" s="7"/>
      <c r="D90" s="7"/>
      <c r="E90" s="7"/>
      <c r="F90" s="7"/>
      <c r="G90" s="7"/>
      <c r="H90" s="22"/>
      <c r="I90" s="7"/>
      <c r="J90" s="7"/>
    </row>
    <row r="91" ht="15.75" customHeight="1">
      <c r="A91" s="7"/>
      <c r="B91" s="22"/>
      <c r="C91" s="7"/>
      <c r="D91" s="7"/>
      <c r="E91" s="7"/>
      <c r="F91" s="7"/>
      <c r="G91" s="7"/>
      <c r="H91" s="22"/>
      <c r="I91" s="7"/>
      <c r="J91" s="7"/>
    </row>
    <row r="92" ht="15.75" customHeight="1">
      <c r="A92" s="7"/>
      <c r="B92" s="22"/>
      <c r="C92" s="7"/>
      <c r="D92" s="7"/>
      <c r="E92" s="7"/>
      <c r="F92" s="7"/>
      <c r="G92" s="7"/>
      <c r="H92" s="22"/>
      <c r="I92" s="7"/>
      <c r="J92" s="7"/>
    </row>
    <row r="93" ht="15.75" customHeight="1">
      <c r="A93" s="7"/>
      <c r="B93" s="22"/>
      <c r="C93" s="7"/>
      <c r="D93" s="7"/>
      <c r="E93" s="7"/>
      <c r="F93" s="7"/>
      <c r="G93" s="7"/>
      <c r="H93" s="22"/>
      <c r="I93" s="7"/>
      <c r="J93" s="7"/>
    </row>
    <row r="94" ht="15.75" customHeight="1">
      <c r="A94" s="7"/>
      <c r="B94" s="22"/>
      <c r="C94" s="7"/>
      <c r="D94" s="7"/>
      <c r="E94" s="7"/>
      <c r="F94" s="7"/>
      <c r="G94" s="7"/>
      <c r="H94" s="22"/>
      <c r="I94" s="7"/>
      <c r="J94" s="7"/>
    </row>
    <row r="95" ht="15.75" customHeight="1">
      <c r="A95" s="7"/>
      <c r="B95" s="22"/>
      <c r="C95" s="7"/>
      <c r="D95" s="7"/>
      <c r="E95" s="7"/>
      <c r="F95" s="7"/>
      <c r="G95" s="7"/>
      <c r="H95" s="22"/>
      <c r="I95" s="7"/>
      <c r="J95" s="7"/>
    </row>
    <row r="96" ht="15.75" customHeight="1">
      <c r="A96" s="7"/>
      <c r="B96" s="22"/>
      <c r="C96" s="7"/>
      <c r="D96" s="7"/>
      <c r="E96" s="7"/>
      <c r="F96" s="7"/>
      <c r="G96" s="7"/>
      <c r="H96" s="22"/>
      <c r="I96" s="7"/>
      <c r="J96" s="7"/>
    </row>
    <row r="97" ht="15.75" customHeight="1">
      <c r="A97" s="7"/>
      <c r="B97" s="22"/>
      <c r="C97" s="7"/>
      <c r="D97" s="7"/>
      <c r="E97" s="7"/>
      <c r="F97" s="7"/>
      <c r="G97" s="7"/>
      <c r="H97" s="22"/>
      <c r="I97" s="7"/>
      <c r="J97" s="7"/>
    </row>
    <row r="98" ht="15.75" customHeight="1">
      <c r="A98" s="7"/>
      <c r="B98" s="22"/>
      <c r="C98" s="7"/>
      <c r="D98" s="7"/>
      <c r="E98" s="7"/>
      <c r="F98" s="7"/>
      <c r="G98" s="7"/>
      <c r="H98" s="22"/>
      <c r="I98" s="7"/>
      <c r="J98" s="7"/>
    </row>
    <row r="99" ht="15.75" customHeight="1">
      <c r="A99" s="7"/>
      <c r="B99" s="22"/>
      <c r="C99" s="7"/>
      <c r="D99" s="7"/>
      <c r="E99" s="7"/>
      <c r="F99" s="7"/>
      <c r="G99" s="7"/>
      <c r="H99" s="22"/>
      <c r="I99" s="7"/>
      <c r="J99" s="7"/>
    </row>
    <row r="100" ht="15.75" customHeight="1">
      <c r="A100" s="7"/>
      <c r="B100" s="22"/>
      <c r="C100" s="7"/>
      <c r="D100" s="7"/>
      <c r="E100" s="7"/>
      <c r="F100" s="7"/>
      <c r="G100" s="7"/>
      <c r="H100" s="22"/>
      <c r="I100" s="7"/>
      <c r="J100" s="7"/>
    </row>
    <row r="101" ht="15.75" customHeight="1">
      <c r="A101" s="7"/>
      <c r="B101" s="22"/>
      <c r="C101" s="7"/>
      <c r="D101" s="7"/>
      <c r="E101" s="7"/>
      <c r="F101" s="7"/>
      <c r="G101" s="7"/>
      <c r="H101" s="22"/>
      <c r="I101" s="7"/>
      <c r="J101" s="7"/>
    </row>
    <row r="102" ht="15.75" customHeight="1">
      <c r="A102" s="7"/>
      <c r="B102" s="22"/>
      <c r="C102" s="7"/>
      <c r="D102" s="7"/>
      <c r="E102" s="7"/>
      <c r="F102" s="7"/>
      <c r="G102" s="7"/>
      <c r="H102" s="22"/>
      <c r="I102" s="7"/>
      <c r="J102" s="7"/>
    </row>
    <row r="103" ht="15.75" customHeight="1">
      <c r="A103" s="7"/>
      <c r="B103" s="22"/>
      <c r="C103" s="7"/>
      <c r="D103" s="7"/>
      <c r="E103" s="7"/>
      <c r="F103" s="7"/>
      <c r="G103" s="7"/>
      <c r="H103" s="22"/>
      <c r="I103" s="7"/>
      <c r="J103" s="7"/>
    </row>
    <row r="104" ht="15.75" customHeight="1">
      <c r="A104" s="7"/>
      <c r="B104" s="22"/>
      <c r="C104" s="7"/>
      <c r="D104" s="7"/>
      <c r="E104" s="7"/>
      <c r="F104" s="7"/>
      <c r="G104" s="7"/>
      <c r="H104" s="22"/>
      <c r="I104" s="7"/>
      <c r="J104" s="7"/>
    </row>
    <row r="105" ht="15.75" customHeight="1">
      <c r="A105" s="7"/>
      <c r="B105" s="22"/>
      <c r="C105" s="7"/>
      <c r="D105" s="7"/>
      <c r="E105" s="7"/>
      <c r="F105" s="7"/>
      <c r="G105" s="7"/>
      <c r="H105" s="22"/>
      <c r="I105" s="7"/>
      <c r="J105" s="7"/>
    </row>
    <row r="106" ht="15.75" customHeight="1">
      <c r="A106" s="7"/>
      <c r="B106" s="22"/>
      <c r="C106" s="7"/>
      <c r="D106" s="7"/>
      <c r="E106" s="7"/>
      <c r="F106" s="7"/>
      <c r="G106" s="7"/>
      <c r="H106" s="22"/>
      <c r="I106" s="7"/>
      <c r="J106" s="7"/>
    </row>
    <row r="107" ht="15.75" customHeight="1">
      <c r="A107" s="7"/>
      <c r="B107" s="22"/>
      <c r="C107" s="7"/>
      <c r="D107" s="7"/>
      <c r="E107" s="7"/>
      <c r="F107" s="7"/>
      <c r="G107" s="7"/>
      <c r="H107" s="22"/>
      <c r="I107" s="7"/>
      <c r="J107" s="7"/>
    </row>
    <row r="108" ht="15.75" customHeight="1">
      <c r="A108" s="7"/>
      <c r="B108" s="22"/>
      <c r="C108" s="7"/>
      <c r="D108" s="7"/>
      <c r="E108" s="7"/>
      <c r="F108" s="7"/>
      <c r="G108" s="7"/>
      <c r="H108" s="22"/>
      <c r="I108" s="7"/>
      <c r="J108" s="7"/>
    </row>
    <row r="109" ht="15.75" customHeight="1">
      <c r="A109" s="7"/>
      <c r="B109" s="22"/>
      <c r="C109" s="7"/>
      <c r="D109" s="7"/>
      <c r="E109" s="7"/>
      <c r="F109" s="7"/>
      <c r="G109" s="7"/>
      <c r="H109" s="22"/>
      <c r="I109" s="7"/>
      <c r="J109" s="7"/>
    </row>
    <row r="110" ht="15.75" customHeight="1">
      <c r="A110" s="7"/>
      <c r="B110" s="22"/>
      <c r="C110" s="7"/>
      <c r="D110" s="7"/>
      <c r="E110" s="7"/>
      <c r="F110" s="7"/>
      <c r="G110" s="7"/>
      <c r="H110" s="22"/>
      <c r="I110" s="7"/>
      <c r="J110" s="7"/>
    </row>
    <row r="111" ht="15.75" customHeight="1">
      <c r="A111" s="7"/>
      <c r="B111" s="22"/>
      <c r="C111" s="7"/>
      <c r="D111" s="7"/>
      <c r="E111" s="7"/>
      <c r="F111" s="7"/>
      <c r="G111" s="7"/>
      <c r="H111" s="22"/>
      <c r="I111" s="7"/>
      <c r="J111" s="7"/>
    </row>
    <row r="112" ht="15.75" customHeight="1">
      <c r="A112" s="7"/>
      <c r="B112" s="22"/>
      <c r="C112" s="7"/>
      <c r="D112" s="7"/>
      <c r="E112" s="7"/>
      <c r="F112" s="7"/>
      <c r="G112" s="7"/>
      <c r="H112" s="22"/>
      <c r="I112" s="7"/>
      <c r="J112" s="7"/>
    </row>
    <row r="113" ht="15.75" customHeight="1">
      <c r="A113" s="7"/>
      <c r="B113" s="22"/>
      <c r="C113" s="7"/>
      <c r="D113" s="7"/>
      <c r="E113" s="7"/>
      <c r="F113" s="7"/>
      <c r="G113" s="7"/>
      <c r="H113" s="22"/>
      <c r="I113" s="7"/>
      <c r="J113" s="7"/>
    </row>
    <row r="114" ht="15.75" customHeight="1">
      <c r="A114" s="7"/>
      <c r="B114" s="22"/>
      <c r="C114" s="7"/>
      <c r="D114" s="7"/>
      <c r="E114" s="7"/>
      <c r="F114" s="7"/>
      <c r="G114" s="7"/>
      <c r="H114" s="22"/>
      <c r="I114" s="7"/>
      <c r="J114" s="7"/>
    </row>
    <row r="115" ht="15.75" customHeight="1">
      <c r="A115" s="7"/>
      <c r="B115" s="22"/>
      <c r="C115" s="7"/>
      <c r="D115" s="7"/>
      <c r="E115" s="7"/>
      <c r="F115" s="7"/>
      <c r="G115" s="7"/>
      <c r="H115" s="22"/>
      <c r="I115" s="7"/>
      <c r="J115" s="7"/>
    </row>
    <row r="116" ht="15.75" customHeight="1">
      <c r="A116" s="7"/>
      <c r="B116" s="22"/>
      <c r="C116" s="7"/>
      <c r="D116" s="7"/>
      <c r="E116" s="7"/>
      <c r="F116" s="7"/>
      <c r="G116" s="7"/>
      <c r="H116" s="22"/>
      <c r="I116" s="7"/>
      <c r="J116" s="7"/>
    </row>
    <row r="117" ht="15.75" customHeight="1">
      <c r="A117" s="7"/>
      <c r="B117" s="22"/>
      <c r="C117" s="7"/>
      <c r="D117" s="7"/>
      <c r="E117" s="7"/>
      <c r="F117" s="7"/>
      <c r="G117" s="7"/>
      <c r="H117" s="22"/>
      <c r="I117" s="7"/>
      <c r="J117" s="7"/>
    </row>
    <row r="118" ht="15.75" customHeight="1">
      <c r="A118" s="7"/>
      <c r="B118" s="22"/>
      <c r="C118" s="7"/>
      <c r="D118" s="7"/>
      <c r="E118" s="7"/>
      <c r="F118" s="7"/>
      <c r="G118" s="7"/>
      <c r="H118" s="22"/>
      <c r="I118" s="7"/>
      <c r="J118" s="7"/>
    </row>
    <row r="119" ht="15.75" customHeight="1">
      <c r="A119" s="7"/>
      <c r="B119" s="22"/>
      <c r="C119" s="7"/>
      <c r="D119" s="7"/>
      <c r="E119" s="7"/>
      <c r="F119" s="7"/>
      <c r="G119" s="7"/>
      <c r="H119" s="22"/>
      <c r="I119" s="7"/>
      <c r="J119" s="7"/>
    </row>
    <row r="120" ht="15.75" customHeight="1">
      <c r="A120" s="7"/>
      <c r="B120" s="22"/>
      <c r="C120" s="7"/>
      <c r="D120" s="7"/>
      <c r="E120" s="7"/>
      <c r="F120" s="7"/>
      <c r="G120" s="7"/>
      <c r="H120" s="22"/>
      <c r="I120" s="7"/>
      <c r="J120" s="7"/>
    </row>
    <row r="121" ht="15.75" customHeight="1">
      <c r="A121" s="7"/>
      <c r="B121" s="22"/>
      <c r="C121" s="7"/>
      <c r="D121" s="7"/>
      <c r="E121" s="7"/>
      <c r="F121" s="7"/>
      <c r="G121" s="7"/>
      <c r="H121" s="22"/>
      <c r="I121" s="7"/>
      <c r="J121" s="7"/>
    </row>
    <row r="122" ht="15.75" customHeight="1">
      <c r="A122" s="7"/>
      <c r="B122" s="22"/>
      <c r="C122" s="7"/>
      <c r="D122" s="7"/>
      <c r="E122" s="7"/>
      <c r="F122" s="7"/>
      <c r="G122" s="7"/>
      <c r="H122" s="22"/>
      <c r="I122" s="7"/>
      <c r="J122" s="7"/>
    </row>
    <row r="123" ht="15.75" customHeight="1">
      <c r="A123" s="7"/>
      <c r="B123" s="22"/>
      <c r="C123" s="7"/>
      <c r="D123" s="7"/>
      <c r="E123" s="7"/>
      <c r="F123" s="7"/>
      <c r="G123" s="7"/>
      <c r="H123" s="22"/>
      <c r="I123" s="7"/>
      <c r="J123" s="7"/>
    </row>
    <row r="124" ht="15.75" customHeight="1">
      <c r="A124" s="7"/>
      <c r="B124" s="22"/>
      <c r="C124" s="7"/>
      <c r="D124" s="7"/>
      <c r="E124" s="7"/>
      <c r="F124" s="7"/>
      <c r="G124" s="7"/>
      <c r="H124" s="22"/>
      <c r="I124" s="7"/>
      <c r="J124" s="7"/>
    </row>
    <row r="125" ht="15.75" customHeight="1">
      <c r="A125" s="7"/>
      <c r="B125" s="22"/>
      <c r="C125" s="7"/>
      <c r="D125" s="7"/>
      <c r="E125" s="7"/>
      <c r="F125" s="7"/>
      <c r="G125" s="7"/>
      <c r="H125" s="22"/>
      <c r="I125" s="7"/>
      <c r="J125" s="7"/>
    </row>
    <row r="126" ht="15.75" customHeight="1">
      <c r="A126" s="7"/>
      <c r="B126" s="22"/>
      <c r="C126" s="7"/>
      <c r="D126" s="7"/>
      <c r="E126" s="7"/>
      <c r="F126" s="7"/>
      <c r="G126" s="7"/>
      <c r="H126" s="22"/>
      <c r="I126" s="7"/>
      <c r="J126" s="7"/>
    </row>
    <row r="127" ht="15.75" customHeight="1">
      <c r="A127" s="7"/>
      <c r="B127" s="22"/>
      <c r="C127" s="7"/>
      <c r="D127" s="7"/>
      <c r="E127" s="7"/>
      <c r="F127" s="7"/>
      <c r="G127" s="7"/>
      <c r="H127" s="22"/>
      <c r="I127" s="7"/>
      <c r="J127" s="7"/>
    </row>
    <row r="128" ht="15.75" customHeight="1">
      <c r="A128" s="7"/>
      <c r="B128" s="22"/>
      <c r="C128" s="7"/>
      <c r="D128" s="7"/>
      <c r="E128" s="7"/>
      <c r="F128" s="7"/>
      <c r="G128" s="7"/>
      <c r="H128" s="22"/>
      <c r="I128" s="7"/>
      <c r="J128" s="7"/>
    </row>
    <row r="129" ht="15.75" customHeight="1">
      <c r="A129" s="7"/>
      <c r="B129" s="22"/>
      <c r="C129" s="7"/>
      <c r="D129" s="7"/>
      <c r="E129" s="7"/>
      <c r="F129" s="7"/>
      <c r="G129" s="7"/>
      <c r="H129" s="22"/>
      <c r="I129" s="7"/>
      <c r="J129" s="7"/>
    </row>
    <row r="130" ht="15.75" customHeight="1">
      <c r="A130" s="7"/>
      <c r="B130" s="22"/>
      <c r="C130" s="7"/>
      <c r="D130" s="7"/>
      <c r="E130" s="7"/>
      <c r="F130" s="7"/>
      <c r="G130" s="7"/>
      <c r="H130" s="22"/>
      <c r="I130" s="7"/>
      <c r="J130" s="7"/>
    </row>
    <row r="131" ht="15.75" customHeight="1">
      <c r="A131" s="7"/>
      <c r="B131" s="22"/>
      <c r="C131" s="7"/>
      <c r="D131" s="7"/>
      <c r="E131" s="7"/>
      <c r="F131" s="7"/>
      <c r="G131" s="7"/>
      <c r="H131" s="22"/>
      <c r="I131" s="7"/>
      <c r="J131" s="7"/>
    </row>
    <row r="132" ht="15.75" customHeight="1">
      <c r="A132" s="7"/>
      <c r="B132" s="22"/>
      <c r="C132" s="7"/>
      <c r="D132" s="7"/>
      <c r="E132" s="7"/>
      <c r="F132" s="7"/>
      <c r="G132" s="7"/>
      <c r="H132" s="22"/>
      <c r="I132" s="7"/>
      <c r="J132" s="7"/>
    </row>
    <row r="133" ht="15.75" customHeight="1">
      <c r="A133" s="7"/>
      <c r="B133" s="22"/>
      <c r="C133" s="7"/>
      <c r="D133" s="7"/>
      <c r="E133" s="7"/>
      <c r="F133" s="7"/>
      <c r="G133" s="7"/>
      <c r="H133" s="22"/>
      <c r="I133" s="7"/>
      <c r="J133" s="7"/>
    </row>
    <row r="134" ht="15.75" customHeight="1">
      <c r="A134" s="7"/>
      <c r="B134" s="22"/>
      <c r="C134" s="7"/>
      <c r="D134" s="7"/>
      <c r="E134" s="7"/>
      <c r="F134" s="7"/>
      <c r="G134" s="7"/>
      <c r="H134" s="22"/>
      <c r="I134" s="7"/>
      <c r="J134" s="7"/>
    </row>
    <row r="135" ht="15.75" customHeight="1">
      <c r="A135" s="7"/>
      <c r="B135" s="22"/>
      <c r="C135" s="7"/>
      <c r="D135" s="7"/>
      <c r="E135" s="7"/>
      <c r="F135" s="7"/>
      <c r="G135" s="7"/>
      <c r="H135" s="22"/>
      <c r="I135" s="7"/>
      <c r="J135" s="7"/>
    </row>
    <row r="136" ht="15.75" customHeight="1">
      <c r="A136" s="7"/>
      <c r="B136" s="22"/>
      <c r="C136" s="7"/>
      <c r="D136" s="7"/>
      <c r="E136" s="7"/>
      <c r="F136" s="7"/>
      <c r="G136" s="7"/>
      <c r="H136" s="22"/>
      <c r="I136" s="7"/>
      <c r="J136" s="7"/>
    </row>
    <row r="137" ht="15.75" customHeight="1">
      <c r="A137" s="7"/>
      <c r="B137" s="22"/>
      <c r="C137" s="7"/>
      <c r="D137" s="7"/>
      <c r="E137" s="7"/>
      <c r="F137" s="7"/>
      <c r="G137" s="7"/>
      <c r="H137" s="22"/>
      <c r="I137" s="7"/>
      <c r="J137" s="7"/>
    </row>
    <row r="138" ht="15.75" customHeight="1">
      <c r="A138" s="7"/>
      <c r="B138" s="22"/>
      <c r="C138" s="7"/>
      <c r="D138" s="7"/>
      <c r="E138" s="7"/>
      <c r="F138" s="7"/>
      <c r="G138" s="7"/>
      <c r="H138" s="22"/>
      <c r="I138" s="7"/>
      <c r="J138" s="7"/>
    </row>
    <row r="139" ht="15.75" customHeight="1">
      <c r="A139" s="7"/>
      <c r="B139" s="22"/>
      <c r="C139" s="7"/>
      <c r="D139" s="7"/>
      <c r="E139" s="7"/>
      <c r="F139" s="7"/>
      <c r="G139" s="7"/>
      <c r="H139" s="22"/>
      <c r="I139" s="7"/>
      <c r="J139" s="7"/>
    </row>
    <row r="140" ht="15.75" customHeight="1">
      <c r="A140" s="7"/>
      <c r="B140" s="22"/>
      <c r="C140" s="7"/>
      <c r="D140" s="7"/>
      <c r="E140" s="7"/>
      <c r="F140" s="7"/>
      <c r="G140" s="7"/>
      <c r="H140" s="22"/>
      <c r="I140" s="7"/>
      <c r="J140" s="7"/>
    </row>
    <row r="141" ht="15.75" customHeight="1">
      <c r="A141" s="7"/>
      <c r="B141" s="22"/>
      <c r="C141" s="7"/>
      <c r="D141" s="7"/>
      <c r="E141" s="7"/>
      <c r="F141" s="7"/>
      <c r="G141" s="7"/>
      <c r="H141" s="22"/>
      <c r="I141" s="7"/>
      <c r="J141" s="7"/>
    </row>
    <row r="142" ht="15.75" customHeight="1">
      <c r="A142" s="7"/>
      <c r="B142" s="22"/>
      <c r="C142" s="7"/>
      <c r="D142" s="7"/>
      <c r="E142" s="7"/>
      <c r="F142" s="7"/>
      <c r="G142" s="7"/>
      <c r="H142" s="22"/>
      <c r="I142" s="7"/>
      <c r="J142" s="7"/>
    </row>
    <row r="143" ht="15.75" customHeight="1">
      <c r="A143" s="7"/>
      <c r="B143" s="22"/>
      <c r="C143" s="7"/>
      <c r="D143" s="7"/>
      <c r="E143" s="7"/>
      <c r="F143" s="7"/>
      <c r="G143" s="7"/>
      <c r="H143" s="22"/>
      <c r="I143" s="7"/>
      <c r="J143" s="7"/>
    </row>
    <row r="144" ht="15.75" customHeight="1">
      <c r="A144" s="7"/>
      <c r="B144" s="22"/>
      <c r="C144" s="7"/>
      <c r="D144" s="7"/>
      <c r="E144" s="7"/>
      <c r="F144" s="7"/>
      <c r="G144" s="7"/>
      <c r="H144" s="22"/>
      <c r="I144" s="7"/>
      <c r="J144" s="7"/>
    </row>
    <row r="145" ht="15.75" customHeight="1">
      <c r="A145" s="7"/>
      <c r="B145" s="22"/>
      <c r="C145" s="7"/>
      <c r="D145" s="7"/>
      <c r="E145" s="7"/>
      <c r="F145" s="7"/>
      <c r="G145" s="7"/>
      <c r="H145" s="22"/>
      <c r="I145" s="7"/>
      <c r="J145" s="7"/>
    </row>
    <row r="146" ht="15.75" customHeight="1">
      <c r="A146" s="7"/>
      <c r="B146" s="22"/>
      <c r="C146" s="7"/>
      <c r="D146" s="7"/>
      <c r="E146" s="7"/>
      <c r="F146" s="7"/>
      <c r="G146" s="7"/>
      <c r="H146" s="22"/>
      <c r="I146" s="7"/>
      <c r="J146" s="7"/>
    </row>
    <row r="147" ht="15.75" customHeight="1">
      <c r="A147" s="7"/>
      <c r="B147" s="22"/>
      <c r="C147" s="7"/>
      <c r="D147" s="7"/>
      <c r="E147" s="7"/>
      <c r="F147" s="7"/>
      <c r="G147" s="7"/>
      <c r="H147" s="22"/>
      <c r="I147" s="7"/>
      <c r="J147" s="7"/>
    </row>
    <row r="148" ht="15.75" customHeight="1">
      <c r="A148" s="7"/>
      <c r="B148" s="22"/>
      <c r="C148" s="7"/>
      <c r="D148" s="7"/>
      <c r="E148" s="7"/>
      <c r="F148" s="7"/>
      <c r="G148" s="7"/>
      <c r="H148" s="22"/>
      <c r="I148" s="7"/>
      <c r="J148" s="7"/>
    </row>
    <row r="149" ht="15.75" customHeight="1">
      <c r="A149" s="7"/>
      <c r="B149" s="22"/>
      <c r="C149" s="7"/>
      <c r="D149" s="7"/>
      <c r="E149" s="7"/>
      <c r="F149" s="7"/>
      <c r="G149" s="7"/>
      <c r="H149" s="22"/>
      <c r="I149" s="7"/>
      <c r="J149" s="7"/>
    </row>
    <row r="150" ht="15.75" customHeight="1">
      <c r="A150" s="7"/>
      <c r="B150" s="22"/>
      <c r="C150" s="7"/>
      <c r="D150" s="7"/>
      <c r="E150" s="7"/>
      <c r="F150" s="7"/>
      <c r="G150" s="7"/>
      <c r="H150" s="22"/>
      <c r="I150" s="7"/>
      <c r="J150" s="7"/>
    </row>
  </sheetData>
  <mergeCells count="2">
    <mergeCell ref="L1:M1"/>
    <mergeCell ref="L36:N36"/>
  </mergeCells>
  <dataValidations>
    <dataValidation type="list" allowBlank="1" sqref="I2:I150">
      <formula1>"Nao iniciado,Em andamento,Concluido,Atrasado"</formula1>
    </dataValidation>
    <dataValidation type="list" allowBlank="1" sqref="C2:C150">
      <formula1>"Acabamento,Embalagem,Material,Hidraulica,Costura,Montagem,Peca faltante,Peca quebrada,Dificuldade de montagem,Outros"</formula1>
    </dataValidation>
    <dataValidation type="list" allowBlank="1" sqref="J2:J150">
      <formula1>"Sim,Nao"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16.0"/>
    <col customWidth="1" min="5" max="5" width="12.0"/>
    <col customWidth="1" min="6" max="6" width="22.0"/>
    <col customWidth="1" min="7" max="7" width="13.0"/>
    <col customWidth="1" min="8" max="8" width="16.0"/>
    <col customWidth="1" min="9" max="9" width="12.0"/>
    <col customWidth="1" min="10" max="10" width="14.0"/>
    <col customWidth="1" min="11" max="11" width="16.0"/>
    <col customWidth="1" min="12" max="21" width="8.71"/>
  </cols>
  <sheetData>
    <row r="1">
      <c r="A1" s="6" t="s">
        <v>200</v>
      </c>
      <c r="B1" s="6" t="s">
        <v>210</v>
      </c>
      <c r="C1" s="6" t="s">
        <v>29</v>
      </c>
      <c r="D1" s="6" t="s">
        <v>77</v>
      </c>
      <c r="E1" s="6" t="s">
        <v>30</v>
      </c>
      <c r="F1" s="6" t="s">
        <v>211</v>
      </c>
      <c r="G1" s="6" t="s">
        <v>212</v>
      </c>
      <c r="H1" s="6" t="s">
        <v>7</v>
      </c>
      <c r="I1" s="6" t="s">
        <v>54</v>
      </c>
      <c r="J1" s="6" t="s">
        <v>213</v>
      </c>
      <c r="K1" s="6" t="s">
        <v>214</v>
      </c>
      <c r="M1" s="5" t="s">
        <v>215</v>
      </c>
    </row>
    <row r="2">
      <c r="A2" s="29">
        <v>1.0</v>
      </c>
      <c r="B2" s="28">
        <v>46266.0</v>
      </c>
      <c r="C2" s="29" t="s">
        <v>146</v>
      </c>
      <c r="D2" s="29" t="s">
        <v>117</v>
      </c>
      <c r="E2" s="29" t="s">
        <v>216</v>
      </c>
      <c r="F2" s="29" t="s">
        <v>217</v>
      </c>
      <c r="G2" s="29" t="s">
        <v>123</v>
      </c>
      <c r="H2" s="29" t="s">
        <v>153</v>
      </c>
      <c r="I2" s="30">
        <v>0.0</v>
      </c>
      <c r="J2" s="28"/>
      <c r="K2" s="29" t="str">
        <f t="shared" ref="K2:K150" si="1">IF(J2="","",J2-B2)</f>
        <v/>
      </c>
      <c r="M2" s="6" t="s">
        <v>30</v>
      </c>
      <c r="N2" s="6" t="s">
        <v>98</v>
      </c>
    </row>
    <row r="3">
      <c r="A3" s="7"/>
      <c r="B3" s="22"/>
      <c r="C3" s="7"/>
      <c r="D3" s="7"/>
      <c r="E3" s="7"/>
      <c r="F3" s="7"/>
      <c r="G3" s="7"/>
      <c r="H3" s="7"/>
      <c r="I3" s="17"/>
      <c r="J3" s="22"/>
      <c r="K3" s="7" t="str">
        <f t="shared" si="1"/>
        <v/>
      </c>
      <c r="M3" s="7" t="s">
        <v>216</v>
      </c>
      <c r="N3" s="7" t="str">
        <f>COUNTIF(E3:E150,M3)</f>
        <v>0</v>
      </c>
    </row>
    <row r="4">
      <c r="A4" s="7"/>
      <c r="B4" s="22"/>
      <c r="C4" s="7"/>
      <c r="D4" s="7"/>
      <c r="E4" s="7"/>
      <c r="F4" s="7"/>
      <c r="G4" s="7"/>
      <c r="H4" s="7"/>
      <c r="I4" s="17"/>
      <c r="J4" s="22"/>
      <c r="K4" s="7" t="str">
        <f t="shared" si="1"/>
        <v/>
      </c>
      <c r="M4" s="7" t="s">
        <v>218</v>
      </c>
      <c r="N4" s="7" t="str">
        <f>COUNTIF(E3:E150,M4)</f>
        <v>0</v>
      </c>
    </row>
    <row r="5">
      <c r="A5" s="7"/>
      <c r="B5" s="22"/>
      <c r="C5" s="7"/>
      <c r="D5" s="7"/>
      <c r="E5" s="7"/>
      <c r="F5" s="7"/>
      <c r="G5" s="7"/>
      <c r="H5" s="7"/>
      <c r="I5" s="17"/>
      <c r="J5" s="22"/>
      <c r="K5" s="7" t="str">
        <f t="shared" si="1"/>
        <v/>
      </c>
      <c r="M5" s="7" t="s">
        <v>219</v>
      </c>
      <c r="N5" s="7" t="str">
        <f>COUNTIF(E3:E150,M5)</f>
        <v>0</v>
      </c>
    </row>
    <row r="6">
      <c r="A6" s="7"/>
      <c r="B6" s="22"/>
      <c r="C6" s="7"/>
      <c r="D6" s="7"/>
      <c r="E6" s="7"/>
      <c r="F6" s="7"/>
      <c r="G6" s="7"/>
      <c r="H6" s="7"/>
      <c r="I6" s="17"/>
      <c r="J6" s="22"/>
      <c r="K6" s="7" t="str">
        <f t="shared" si="1"/>
        <v/>
      </c>
      <c r="M6" s="7" t="s">
        <v>220</v>
      </c>
      <c r="N6" s="7" t="str">
        <f>COUNTIF(E3:E150,M6)</f>
        <v>0</v>
      </c>
    </row>
    <row r="7">
      <c r="A7" s="7"/>
      <c r="B7" s="22"/>
      <c r="C7" s="7"/>
      <c r="D7" s="7"/>
      <c r="E7" s="7"/>
      <c r="F7" s="7"/>
      <c r="G7" s="7"/>
      <c r="H7" s="7"/>
      <c r="I7" s="17"/>
      <c r="J7" s="22"/>
      <c r="K7" s="7" t="str">
        <f t="shared" si="1"/>
        <v/>
      </c>
    </row>
    <row r="8">
      <c r="A8" s="7"/>
      <c r="B8" s="22"/>
      <c r="C8" s="7"/>
      <c r="D8" s="7"/>
      <c r="E8" s="7"/>
      <c r="F8" s="7"/>
      <c r="G8" s="7"/>
      <c r="H8" s="7"/>
      <c r="I8" s="17"/>
      <c r="J8" s="22"/>
      <c r="K8" s="7" t="str">
        <f t="shared" si="1"/>
        <v/>
      </c>
    </row>
    <row r="9">
      <c r="A9" s="7"/>
      <c r="B9" s="22"/>
      <c r="C9" s="7"/>
      <c r="D9" s="7"/>
      <c r="E9" s="7"/>
      <c r="F9" s="7"/>
      <c r="G9" s="7"/>
      <c r="H9" s="7"/>
      <c r="I9" s="17"/>
      <c r="J9" s="22"/>
      <c r="K9" s="7" t="str">
        <f t="shared" si="1"/>
        <v/>
      </c>
    </row>
    <row r="10">
      <c r="A10" s="7"/>
      <c r="B10" s="22"/>
      <c r="C10" s="7"/>
      <c r="D10" s="7"/>
      <c r="E10" s="7"/>
      <c r="F10" s="7"/>
      <c r="G10" s="7"/>
      <c r="H10" s="7"/>
      <c r="I10" s="17"/>
      <c r="J10" s="22"/>
      <c r="K10" s="7" t="str">
        <f t="shared" si="1"/>
        <v/>
      </c>
    </row>
    <row r="11">
      <c r="A11" s="7"/>
      <c r="B11" s="22"/>
      <c r="C11" s="7"/>
      <c r="D11" s="7"/>
      <c r="E11" s="7"/>
      <c r="F11" s="7"/>
      <c r="G11" s="7"/>
      <c r="H11" s="7"/>
      <c r="I11" s="17"/>
      <c r="J11" s="22"/>
      <c r="K11" s="7" t="str">
        <f t="shared" si="1"/>
        <v/>
      </c>
    </row>
    <row r="12">
      <c r="A12" s="7"/>
      <c r="B12" s="22"/>
      <c r="C12" s="7"/>
      <c r="D12" s="7"/>
      <c r="E12" s="7"/>
      <c r="F12" s="7"/>
      <c r="G12" s="7"/>
      <c r="H12" s="7"/>
      <c r="I12" s="17"/>
      <c r="J12" s="22"/>
      <c r="K12" s="7" t="str">
        <f t="shared" si="1"/>
        <v/>
      </c>
    </row>
    <row r="13">
      <c r="A13" s="7"/>
      <c r="B13" s="22"/>
      <c r="C13" s="7"/>
      <c r="D13" s="7"/>
      <c r="E13" s="7"/>
      <c r="F13" s="7"/>
      <c r="G13" s="7"/>
      <c r="H13" s="7"/>
      <c r="I13" s="17"/>
      <c r="J13" s="22"/>
      <c r="K13" s="7" t="str">
        <f t="shared" si="1"/>
        <v/>
      </c>
    </row>
    <row r="14">
      <c r="A14" s="7"/>
      <c r="B14" s="22"/>
      <c r="C14" s="7"/>
      <c r="D14" s="7"/>
      <c r="E14" s="7"/>
      <c r="F14" s="7"/>
      <c r="G14" s="7"/>
      <c r="H14" s="7"/>
      <c r="I14" s="17"/>
      <c r="J14" s="22"/>
      <c r="K14" s="7" t="str">
        <f t="shared" si="1"/>
        <v/>
      </c>
    </row>
    <row r="15">
      <c r="A15" s="7"/>
      <c r="B15" s="22"/>
      <c r="C15" s="7"/>
      <c r="D15" s="7"/>
      <c r="E15" s="7"/>
      <c r="F15" s="7"/>
      <c r="G15" s="7"/>
      <c r="H15" s="7"/>
      <c r="I15" s="17"/>
      <c r="J15" s="22"/>
      <c r="K15" s="7" t="str">
        <f t="shared" si="1"/>
        <v/>
      </c>
    </row>
    <row r="16">
      <c r="A16" s="7"/>
      <c r="B16" s="22"/>
      <c r="C16" s="7"/>
      <c r="D16" s="7"/>
      <c r="E16" s="7"/>
      <c r="F16" s="7"/>
      <c r="G16" s="7"/>
      <c r="H16" s="7"/>
      <c r="I16" s="17"/>
      <c r="J16" s="22"/>
      <c r="K16" s="7" t="str">
        <f t="shared" si="1"/>
        <v/>
      </c>
    </row>
    <row r="17">
      <c r="A17" s="7"/>
      <c r="B17" s="22"/>
      <c r="C17" s="7"/>
      <c r="D17" s="7"/>
      <c r="E17" s="7"/>
      <c r="F17" s="7"/>
      <c r="G17" s="7"/>
      <c r="H17" s="7"/>
      <c r="I17" s="17"/>
      <c r="J17" s="22"/>
      <c r="K17" s="7" t="str">
        <f t="shared" si="1"/>
        <v/>
      </c>
    </row>
    <row r="18">
      <c r="A18" s="7"/>
      <c r="B18" s="22"/>
      <c r="C18" s="7"/>
      <c r="D18" s="7"/>
      <c r="E18" s="7"/>
      <c r="F18" s="7"/>
      <c r="G18" s="7"/>
      <c r="H18" s="7"/>
      <c r="I18" s="17"/>
      <c r="J18" s="22"/>
      <c r="K18" s="7" t="str">
        <f t="shared" si="1"/>
        <v/>
      </c>
    </row>
    <row r="19">
      <c r="A19" s="7"/>
      <c r="B19" s="22"/>
      <c r="C19" s="7"/>
      <c r="D19" s="7"/>
      <c r="E19" s="7"/>
      <c r="F19" s="7"/>
      <c r="G19" s="7"/>
      <c r="H19" s="7"/>
      <c r="I19" s="17"/>
      <c r="J19" s="22"/>
      <c r="K19" s="7" t="str">
        <f t="shared" si="1"/>
        <v/>
      </c>
    </row>
    <row r="20">
      <c r="A20" s="7"/>
      <c r="B20" s="22"/>
      <c r="C20" s="7"/>
      <c r="D20" s="7"/>
      <c r="E20" s="7"/>
      <c r="F20" s="7"/>
      <c r="G20" s="7"/>
      <c r="H20" s="7"/>
      <c r="I20" s="17"/>
      <c r="J20" s="22"/>
      <c r="K20" s="7" t="str">
        <f t="shared" si="1"/>
        <v/>
      </c>
    </row>
    <row r="21" ht="15.75" customHeight="1">
      <c r="A21" s="7"/>
      <c r="B21" s="22"/>
      <c r="C21" s="7"/>
      <c r="D21" s="7"/>
      <c r="E21" s="7"/>
      <c r="F21" s="7"/>
      <c r="G21" s="7"/>
      <c r="H21" s="7"/>
      <c r="I21" s="17"/>
      <c r="J21" s="22"/>
      <c r="K21" s="7" t="str">
        <f t="shared" si="1"/>
        <v/>
      </c>
    </row>
    <row r="22" ht="15.75" customHeight="1">
      <c r="A22" s="7"/>
      <c r="B22" s="22"/>
      <c r="C22" s="7"/>
      <c r="D22" s="7"/>
      <c r="E22" s="7"/>
      <c r="F22" s="7"/>
      <c r="G22" s="7"/>
      <c r="H22" s="7"/>
      <c r="I22" s="17"/>
      <c r="J22" s="22"/>
      <c r="K22" s="7" t="str">
        <f t="shared" si="1"/>
        <v/>
      </c>
    </row>
    <row r="23" ht="15.75" customHeight="1">
      <c r="A23" s="7"/>
      <c r="B23" s="22"/>
      <c r="C23" s="7"/>
      <c r="D23" s="7"/>
      <c r="E23" s="7"/>
      <c r="F23" s="7"/>
      <c r="G23" s="7"/>
      <c r="H23" s="7"/>
      <c r="I23" s="17"/>
      <c r="J23" s="22"/>
      <c r="K23" s="7" t="str">
        <f t="shared" si="1"/>
        <v/>
      </c>
    </row>
    <row r="24" ht="15.75" customHeight="1">
      <c r="A24" s="7"/>
      <c r="B24" s="22"/>
      <c r="C24" s="7"/>
      <c r="D24" s="7"/>
      <c r="E24" s="7"/>
      <c r="F24" s="7"/>
      <c r="G24" s="7"/>
      <c r="H24" s="7"/>
      <c r="I24" s="17"/>
      <c r="J24" s="22"/>
      <c r="K24" s="7" t="str">
        <f t="shared" si="1"/>
        <v/>
      </c>
    </row>
    <row r="25" ht="15.75" customHeight="1">
      <c r="A25" s="7"/>
      <c r="B25" s="22"/>
      <c r="C25" s="7"/>
      <c r="D25" s="7"/>
      <c r="E25" s="7"/>
      <c r="F25" s="7"/>
      <c r="G25" s="7"/>
      <c r="H25" s="7"/>
      <c r="I25" s="17"/>
      <c r="J25" s="22"/>
      <c r="K25" s="7" t="str">
        <f t="shared" si="1"/>
        <v/>
      </c>
    </row>
    <row r="26" ht="15.75" customHeight="1">
      <c r="A26" s="7"/>
      <c r="B26" s="22"/>
      <c r="C26" s="7"/>
      <c r="D26" s="7"/>
      <c r="E26" s="7"/>
      <c r="F26" s="7"/>
      <c r="G26" s="7"/>
      <c r="H26" s="7"/>
      <c r="I26" s="17"/>
      <c r="J26" s="22"/>
      <c r="K26" s="7" t="str">
        <f t="shared" si="1"/>
        <v/>
      </c>
    </row>
    <row r="27" ht="15.75" customHeight="1">
      <c r="A27" s="7"/>
      <c r="B27" s="22"/>
      <c r="C27" s="7"/>
      <c r="D27" s="7"/>
      <c r="E27" s="7"/>
      <c r="F27" s="7"/>
      <c r="G27" s="7"/>
      <c r="H27" s="7"/>
      <c r="I27" s="17"/>
      <c r="J27" s="22"/>
      <c r="K27" s="7" t="str">
        <f t="shared" si="1"/>
        <v/>
      </c>
    </row>
    <row r="28" ht="15.75" customHeight="1">
      <c r="A28" s="7"/>
      <c r="B28" s="22"/>
      <c r="C28" s="7"/>
      <c r="D28" s="7"/>
      <c r="E28" s="7"/>
      <c r="F28" s="7"/>
      <c r="G28" s="7"/>
      <c r="H28" s="7"/>
      <c r="I28" s="17"/>
      <c r="J28" s="22"/>
      <c r="K28" s="7" t="str">
        <f t="shared" si="1"/>
        <v/>
      </c>
    </row>
    <row r="29" ht="15.75" customHeight="1">
      <c r="A29" s="7"/>
      <c r="B29" s="22"/>
      <c r="C29" s="7"/>
      <c r="D29" s="7"/>
      <c r="E29" s="7"/>
      <c r="F29" s="7"/>
      <c r="G29" s="7"/>
      <c r="H29" s="7"/>
      <c r="I29" s="17"/>
      <c r="J29" s="22"/>
      <c r="K29" s="7" t="str">
        <f t="shared" si="1"/>
        <v/>
      </c>
    </row>
    <row r="30" ht="15.75" customHeight="1">
      <c r="A30" s="7"/>
      <c r="B30" s="22"/>
      <c r="C30" s="7"/>
      <c r="D30" s="7"/>
      <c r="E30" s="7"/>
      <c r="F30" s="7"/>
      <c r="G30" s="7"/>
      <c r="H30" s="7"/>
      <c r="I30" s="17"/>
      <c r="J30" s="22"/>
      <c r="K30" s="7" t="str">
        <f t="shared" si="1"/>
        <v/>
      </c>
    </row>
    <row r="31" ht="15.75" customHeight="1">
      <c r="A31" s="7"/>
      <c r="B31" s="22"/>
      <c r="C31" s="7"/>
      <c r="D31" s="7"/>
      <c r="E31" s="7"/>
      <c r="F31" s="7"/>
      <c r="G31" s="7"/>
      <c r="H31" s="7"/>
      <c r="I31" s="17"/>
      <c r="J31" s="22"/>
      <c r="K31" s="7" t="str">
        <f t="shared" si="1"/>
        <v/>
      </c>
    </row>
    <row r="32" ht="15.75" customHeight="1">
      <c r="A32" s="7"/>
      <c r="B32" s="22"/>
      <c r="C32" s="7"/>
      <c r="D32" s="7"/>
      <c r="E32" s="7"/>
      <c r="F32" s="7"/>
      <c r="G32" s="7"/>
      <c r="H32" s="7"/>
      <c r="I32" s="17"/>
      <c r="J32" s="22"/>
      <c r="K32" s="7" t="str">
        <f t="shared" si="1"/>
        <v/>
      </c>
    </row>
    <row r="33" ht="15.75" customHeight="1">
      <c r="A33" s="7"/>
      <c r="B33" s="22"/>
      <c r="C33" s="7"/>
      <c r="D33" s="7"/>
      <c r="E33" s="7"/>
      <c r="F33" s="7"/>
      <c r="G33" s="7"/>
      <c r="H33" s="7"/>
      <c r="I33" s="17"/>
      <c r="J33" s="22"/>
      <c r="K33" s="7" t="str">
        <f t="shared" si="1"/>
        <v/>
      </c>
    </row>
    <row r="34" ht="15.75" customHeight="1">
      <c r="A34" s="7"/>
      <c r="B34" s="22"/>
      <c r="C34" s="7"/>
      <c r="D34" s="7"/>
      <c r="E34" s="7"/>
      <c r="F34" s="7"/>
      <c r="G34" s="7"/>
      <c r="H34" s="7"/>
      <c r="I34" s="17"/>
      <c r="J34" s="22"/>
      <c r="K34" s="7" t="str">
        <f t="shared" si="1"/>
        <v/>
      </c>
    </row>
    <row r="35" ht="15.75" customHeight="1">
      <c r="A35" s="7"/>
      <c r="B35" s="22"/>
      <c r="C35" s="7"/>
      <c r="D35" s="7"/>
      <c r="E35" s="7"/>
      <c r="F35" s="7"/>
      <c r="G35" s="7"/>
      <c r="H35" s="7"/>
      <c r="I35" s="17"/>
      <c r="J35" s="22"/>
      <c r="K35" s="7" t="str">
        <f t="shared" si="1"/>
        <v/>
      </c>
    </row>
    <row r="36" ht="15.75" customHeight="1">
      <c r="A36" s="7"/>
      <c r="B36" s="22"/>
      <c r="C36" s="7"/>
      <c r="D36" s="7"/>
      <c r="E36" s="7"/>
      <c r="F36" s="7"/>
      <c r="G36" s="7"/>
      <c r="H36" s="7"/>
      <c r="I36" s="17"/>
      <c r="J36" s="22"/>
      <c r="K36" s="7" t="str">
        <f t="shared" si="1"/>
        <v/>
      </c>
    </row>
    <row r="37" ht="15.75" customHeight="1">
      <c r="A37" s="7"/>
      <c r="B37" s="22"/>
      <c r="C37" s="7"/>
      <c r="D37" s="7"/>
      <c r="E37" s="7"/>
      <c r="F37" s="7"/>
      <c r="G37" s="7"/>
      <c r="H37" s="7"/>
      <c r="I37" s="17"/>
      <c r="J37" s="22"/>
      <c r="K37" s="7" t="str">
        <f t="shared" si="1"/>
        <v/>
      </c>
    </row>
    <row r="38" ht="15.75" customHeight="1">
      <c r="A38" s="7"/>
      <c r="B38" s="22"/>
      <c r="C38" s="7"/>
      <c r="D38" s="7"/>
      <c r="E38" s="7"/>
      <c r="F38" s="7"/>
      <c r="G38" s="7"/>
      <c r="H38" s="7"/>
      <c r="I38" s="17"/>
      <c r="J38" s="22"/>
      <c r="K38" s="7" t="str">
        <f t="shared" si="1"/>
        <v/>
      </c>
    </row>
    <row r="39" ht="15.75" customHeight="1">
      <c r="A39" s="7"/>
      <c r="B39" s="22"/>
      <c r="C39" s="7"/>
      <c r="D39" s="7"/>
      <c r="E39" s="7"/>
      <c r="F39" s="7"/>
      <c r="G39" s="7"/>
      <c r="H39" s="7"/>
      <c r="I39" s="17"/>
      <c r="J39" s="22"/>
      <c r="K39" s="7" t="str">
        <f t="shared" si="1"/>
        <v/>
      </c>
    </row>
    <row r="40" ht="15.75" customHeight="1">
      <c r="A40" s="7"/>
      <c r="B40" s="22"/>
      <c r="C40" s="7"/>
      <c r="D40" s="7"/>
      <c r="E40" s="7"/>
      <c r="F40" s="7"/>
      <c r="G40" s="7"/>
      <c r="H40" s="7"/>
      <c r="I40" s="17"/>
      <c r="J40" s="22"/>
      <c r="K40" s="7" t="str">
        <f t="shared" si="1"/>
        <v/>
      </c>
    </row>
    <row r="41" ht="15.75" customHeight="1">
      <c r="A41" s="7"/>
      <c r="B41" s="22"/>
      <c r="C41" s="7"/>
      <c r="D41" s="7"/>
      <c r="E41" s="7"/>
      <c r="F41" s="7"/>
      <c r="G41" s="7"/>
      <c r="H41" s="7"/>
      <c r="I41" s="17"/>
      <c r="J41" s="22"/>
      <c r="K41" s="7" t="str">
        <f t="shared" si="1"/>
        <v/>
      </c>
    </row>
    <row r="42" ht="15.75" customHeight="1">
      <c r="A42" s="7"/>
      <c r="B42" s="22"/>
      <c r="C42" s="7"/>
      <c r="D42" s="7"/>
      <c r="E42" s="7"/>
      <c r="F42" s="7"/>
      <c r="G42" s="7"/>
      <c r="H42" s="7"/>
      <c r="I42" s="17"/>
      <c r="J42" s="22"/>
      <c r="K42" s="7" t="str">
        <f t="shared" si="1"/>
        <v/>
      </c>
    </row>
    <row r="43" ht="15.75" customHeight="1">
      <c r="A43" s="7"/>
      <c r="B43" s="22"/>
      <c r="C43" s="7"/>
      <c r="D43" s="7"/>
      <c r="E43" s="7"/>
      <c r="F43" s="7"/>
      <c r="G43" s="7"/>
      <c r="H43" s="7"/>
      <c r="I43" s="17"/>
      <c r="J43" s="22"/>
      <c r="K43" s="7" t="str">
        <f t="shared" si="1"/>
        <v/>
      </c>
    </row>
    <row r="44" ht="15.75" customHeight="1">
      <c r="A44" s="7"/>
      <c r="B44" s="22"/>
      <c r="C44" s="7"/>
      <c r="D44" s="7"/>
      <c r="E44" s="7"/>
      <c r="F44" s="7"/>
      <c r="G44" s="7"/>
      <c r="H44" s="7"/>
      <c r="I44" s="17"/>
      <c r="J44" s="22"/>
      <c r="K44" s="7" t="str">
        <f t="shared" si="1"/>
        <v/>
      </c>
    </row>
    <row r="45" ht="15.75" customHeight="1">
      <c r="A45" s="7"/>
      <c r="B45" s="22"/>
      <c r="C45" s="7"/>
      <c r="D45" s="7"/>
      <c r="E45" s="7"/>
      <c r="F45" s="7"/>
      <c r="G45" s="7"/>
      <c r="H45" s="7"/>
      <c r="I45" s="17"/>
      <c r="J45" s="22"/>
      <c r="K45" s="7" t="str">
        <f t="shared" si="1"/>
        <v/>
      </c>
    </row>
    <row r="46" ht="15.75" customHeight="1">
      <c r="A46" s="7"/>
      <c r="B46" s="22"/>
      <c r="C46" s="7"/>
      <c r="D46" s="7"/>
      <c r="E46" s="7"/>
      <c r="F46" s="7"/>
      <c r="G46" s="7"/>
      <c r="H46" s="7"/>
      <c r="I46" s="17"/>
      <c r="J46" s="22"/>
      <c r="K46" s="7" t="str">
        <f t="shared" si="1"/>
        <v/>
      </c>
    </row>
    <row r="47" ht="15.75" customHeight="1">
      <c r="A47" s="7"/>
      <c r="B47" s="22"/>
      <c r="C47" s="7"/>
      <c r="D47" s="7"/>
      <c r="E47" s="7"/>
      <c r="F47" s="7"/>
      <c r="G47" s="7"/>
      <c r="H47" s="7"/>
      <c r="I47" s="17"/>
      <c r="J47" s="22"/>
      <c r="K47" s="7" t="str">
        <f t="shared" si="1"/>
        <v/>
      </c>
    </row>
    <row r="48" ht="15.75" customHeight="1">
      <c r="A48" s="7"/>
      <c r="B48" s="22"/>
      <c r="C48" s="7"/>
      <c r="D48" s="7"/>
      <c r="E48" s="7"/>
      <c r="F48" s="7"/>
      <c r="G48" s="7"/>
      <c r="H48" s="7"/>
      <c r="I48" s="17"/>
      <c r="J48" s="22"/>
      <c r="K48" s="7" t="str">
        <f t="shared" si="1"/>
        <v/>
      </c>
    </row>
    <row r="49" ht="15.75" customHeight="1">
      <c r="A49" s="7"/>
      <c r="B49" s="22"/>
      <c r="C49" s="7"/>
      <c r="D49" s="7"/>
      <c r="E49" s="7"/>
      <c r="F49" s="7"/>
      <c r="G49" s="7"/>
      <c r="H49" s="7"/>
      <c r="I49" s="17"/>
      <c r="J49" s="22"/>
      <c r="K49" s="7" t="str">
        <f t="shared" si="1"/>
        <v/>
      </c>
    </row>
    <row r="50" ht="15.75" customHeight="1">
      <c r="A50" s="7"/>
      <c r="B50" s="22"/>
      <c r="C50" s="7"/>
      <c r="D50" s="7"/>
      <c r="E50" s="7"/>
      <c r="F50" s="7"/>
      <c r="G50" s="7"/>
      <c r="H50" s="7"/>
      <c r="I50" s="17"/>
      <c r="J50" s="22"/>
      <c r="K50" s="7" t="str">
        <f t="shared" si="1"/>
        <v/>
      </c>
    </row>
    <row r="51" ht="15.75" customHeight="1">
      <c r="A51" s="7"/>
      <c r="B51" s="22"/>
      <c r="C51" s="7"/>
      <c r="D51" s="7"/>
      <c r="E51" s="7"/>
      <c r="F51" s="7"/>
      <c r="G51" s="7"/>
      <c r="H51" s="7"/>
      <c r="I51" s="17"/>
      <c r="J51" s="22"/>
      <c r="K51" s="7" t="str">
        <f t="shared" si="1"/>
        <v/>
      </c>
    </row>
    <row r="52" ht="15.75" customHeight="1">
      <c r="A52" s="7"/>
      <c r="B52" s="22"/>
      <c r="C52" s="7"/>
      <c r="D52" s="7"/>
      <c r="E52" s="7"/>
      <c r="F52" s="7"/>
      <c r="G52" s="7"/>
      <c r="H52" s="7"/>
      <c r="I52" s="17"/>
      <c r="J52" s="22"/>
      <c r="K52" s="7" t="str">
        <f t="shared" si="1"/>
        <v/>
      </c>
    </row>
    <row r="53" ht="15.75" customHeight="1">
      <c r="A53" s="7"/>
      <c r="B53" s="22"/>
      <c r="C53" s="7"/>
      <c r="D53" s="7"/>
      <c r="E53" s="7"/>
      <c r="F53" s="7"/>
      <c r="G53" s="7"/>
      <c r="H53" s="7"/>
      <c r="I53" s="17"/>
      <c r="J53" s="22"/>
      <c r="K53" s="7" t="str">
        <f t="shared" si="1"/>
        <v/>
      </c>
    </row>
    <row r="54" ht="15.75" customHeight="1">
      <c r="A54" s="7"/>
      <c r="B54" s="22"/>
      <c r="C54" s="7"/>
      <c r="D54" s="7"/>
      <c r="E54" s="7"/>
      <c r="F54" s="7"/>
      <c r="G54" s="7"/>
      <c r="H54" s="7"/>
      <c r="I54" s="17"/>
      <c r="J54" s="22"/>
      <c r="K54" s="7" t="str">
        <f t="shared" si="1"/>
        <v/>
      </c>
    </row>
    <row r="55" ht="15.75" customHeight="1">
      <c r="A55" s="7"/>
      <c r="B55" s="22"/>
      <c r="C55" s="7"/>
      <c r="D55" s="7"/>
      <c r="E55" s="7"/>
      <c r="F55" s="7"/>
      <c r="G55" s="7"/>
      <c r="H55" s="7"/>
      <c r="I55" s="17"/>
      <c r="J55" s="22"/>
      <c r="K55" s="7" t="str">
        <f t="shared" si="1"/>
        <v/>
      </c>
    </row>
    <row r="56" ht="15.75" customHeight="1">
      <c r="A56" s="7"/>
      <c r="B56" s="22"/>
      <c r="C56" s="7"/>
      <c r="D56" s="7"/>
      <c r="E56" s="7"/>
      <c r="F56" s="7"/>
      <c r="G56" s="7"/>
      <c r="H56" s="7"/>
      <c r="I56" s="17"/>
      <c r="J56" s="22"/>
      <c r="K56" s="7" t="str">
        <f t="shared" si="1"/>
        <v/>
      </c>
    </row>
    <row r="57" ht="15.75" customHeight="1">
      <c r="A57" s="7"/>
      <c r="B57" s="22"/>
      <c r="C57" s="7"/>
      <c r="D57" s="7"/>
      <c r="E57" s="7"/>
      <c r="F57" s="7"/>
      <c r="G57" s="7"/>
      <c r="H57" s="7"/>
      <c r="I57" s="17"/>
      <c r="J57" s="22"/>
      <c r="K57" s="7" t="str">
        <f t="shared" si="1"/>
        <v/>
      </c>
    </row>
    <row r="58" ht="15.75" customHeight="1">
      <c r="A58" s="7"/>
      <c r="B58" s="22"/>
      <c r="C58" s="7"/>
      <c r="D58" s="7"/>
      <c r="E58" s="7"/>
      <c r="F58" s="7"/>
      <c r="G58" s="7"/>
      <c r="H58" s="7"/>
      <c r="I58" s="17"/>
      <c r="J58" s="22"/>
      <c r="K58" s="7" t="str">
        <f t="shared" si="1"/>
        <v/>
      </c>
    </row>
    <row r="59" ht="15.75" customHeight="1">
      <c r="A59" s="7"/>
      <c r="B59" s="22"/>
      <c r="C59" s="7"/>
      <c r="D59" s="7"/>
      <c r="E59" s="7"/>
      <c r="F59" s="7"/>
      <c r="G59" s="7"/>
      <c r="H59" s="7"/>
      <c r="I59" s="17"/>
      <c r="J59" s="22"/>
      <c r="K59" s="7" t="str">
        <f t="shared" si="1"/>
        <v/>
      </c>
    </row>
    <row r="60" ht="15.75" customHeight="1">
      <c r="A60" s="7"/>
      <c r="B60" s="22"/>
      <c r="C60" s="7"/>
      <c r="D60" s="7"/>
      <c r="E60" s="7"/>
      <c r="F60" s="7"/>
      <c r="G60" s="7"/>
      <c r="H60" s="7"/>
      <c r="I60" s="17"/>
      <c r="J60" s="22"/>
      <c r="K60" s="7" t="str">
        <f t="shared" si="1"/>
        <v/>
      </c>
    </row>
    <row r="61" ht="15.75" customHeight="1">
      <c r="A61" s="7"/>
      <c r="B61" s="22"/>
      <c r="C61" s="7"/>
      <c r="D61" s="7"/>
      <c r="E61" s="7"/>
      <c r="F61" s="7"/>
      <c r="G61" s="7"/>
      <c r="H61" s="7"/>
      <c r="I61" s="17"/>
      <c r="J61" s="22"/>
      <c r="K61" s="7" t="str">
        <f t="shared" si="1"/>
        <v/>
      </c>
    </row>
    <row r="62" ht="15.75" customHeight="1">
      <c r="A62" s="7"/>
      <c r="B62" s="22"/>
      <c r="C62" s="7"/>
      <c r="D62" s="7"/>
      <c r="E62" s="7"/>
      <c r="F62" s="7"/>
      <c r="G62" s="7"/>
      <c r="H62" s="7"/>
      <c r="I62" s="17"/>
      <c r="J62" s="22"/>
      <c r="K62" s="7" t="str">
        <f t="shared" si="1"/>
        <v/>
      </c>
    </row>
    <row r="63" ht="15.75" customHeight="1">
      <c r="A63" s="7"/>
      <c r="B63" s="22"/>
      <c r="C63" s="7"/>
      <c r="D63" s="7"/>
      <c r="E63" s="7"/>
      <c r="F63" s="7"/>
      <c r="G63" s="7"/>
      <c r="H63" s="7"/>
      <c r="I63" s="17"/>
      <c r="J63" s="22"/>
      <c r="K63" s="7" t="str">
        <f t="shared" si="1"/>
        <v/>
      </c>
    </row>
    <row r="64" ht="15.75" customHeight="1">
      <c r="A64" s="7"/>
      <c r="B64" s="22"/>
      <c r="C64" s="7"/>
      <c r="D64" s="7"/>
      <c r="E64" s="7"/>
      <c r="F64" s="7"/>
      <c r="G64" s="7"/>
      <c r="H64" s="7"/>
      <c r="I64" s="17"/>
      <c r="J64" s="22"/>
      <c r="K64" s="7" t="str">
        <f t="shared" si="1"/>
        <v/>
      </c>
    </row>
    <row r="65" ht="15.75" customHeight="1">
      <c r="A65" s="7"/>
      <c r="B65" s="22"/>
      <c r="C65" s="7"/>
      <c r="D65" s="7"/>
      <c r="E65" s="7"/>
      <c r="F65" s="7"/>
      <c r="G65" s="7"/>
      <c r="H65" s="7"/>
      <c r="I65" s="17"/>
      <c r="J65" s="22"/>
      <c r="K65" s="7" t="str">
        <f t="shared" si="1"/>
        <v/>
      </c>
    </row>
    <row r="66" ht="15.75" customHeight="1">
      <c r="A66" s="7"/>
      <c r="B66" s="22"/>
      <c r="C66" s="7"/>
      <c r="D66" s="7"/>
      <c r="E66" s="7"/>
      <c r="F66" s="7"/>
      <c r="G66" s="7"/>
      <c r="H66" s="7"/>
      <c r="I66" s="17"/>
      <c r="J66" s="22"/>
      <c r="K66" s="7" t="str">
        <f t="shared" si="1"/>
        <v/>
      </c>
    </row>
    <row r="67" ht="15.75" customHeight="1">
      <c r="A67" s="7"/>
      <c r="B67" s="22"/>
      <c r="C67" s="7"/>
      <c r="D67" s="7"/>
      <c r="E67" s="7"/>
      <c r="F67" s="7"/>
      <c r="G67" s="7"/>
      <c r="H67" s="7"/>
      <c r="I67" s="17"/>
      <c r="J67" s="22"/>
      <c r="K67" s="7" t="str">
        <f t="shared" si="1"/>
        <v/>
      </c>
    </row>
    <row r="68" ht="15.75" customHeight="1">
      <c r="A68" s="7"/>
      <c r="B68" s="22"/>
      <c r="C68" s="7"/>
      <c r="D68" s="7"/>
      <c r="E68" s="7"/>
      <c r="F68" s="7"/>
      <c r="G68" s="7"/>
      <c r="H68" s="7"/>
      <c r="I68" s="17"/>
      <c r="J68" s="22"/>
      <c r="K68" s="7" t="str">
        <f t="shared" si="1"/>
        <v/>
      </c>
    </row>
    <row r="69" ht="15.75" customHeight="1">
      <c r="A69" s="7"/>
      <c r="B69" s="22"/>
      <c r="C69" s="7"/>
      <c r="D69" s="7"/>
      <c r="E69" s="7"/>
      <c r="F69" s="7"/>
      <c r="G69" s="7"/>
      <c r="H69" s="7"/>
      <c r="I69" s="17"/>
      <c r="J69" s="22"/>
      <c r="K69" s="7" t="str">
        <f t="shared" si="1"/>
        <v/>
      </c>
    </row>
    <row r="70" ht="15.75" customHeight="1">
      <c r="A70" s="7"/>
      <c r="B70" s="22"/>
      <c r="C70" s="7"/>
      <c r="D70" s="7"/>
      <c r="E70" s="7"/>
      <c r="F70" s="7"/>
      <c r="G70" s="7"/>
      <c r="H70" s="7"/>
      <c r="I70" s="17"/>
      <c r="J70" s="22"/>
      <c r="K70" s="7" t="str">
        <f t="shared" si="1"/>
        <v/>
      </c>
    </row>
    <row r="71" ht="15.75" customHeight="1">
      <c r="A71" s="7"/>
      <c r="B71" s="22"/>
      <c r="C71" s="7"/>
      <c r="D71" s="7"/>
      <c r="E71" s="7"/>
      <c r="F71" s="7"/>
      <c r="G71" s="7"/>
      <c r="H71" s="7"/>
      <c r="I71" s="17"/>
      <c r="J71" s="22"/>
      <c r="K71" s="7" t="str">
        <f t="shared" si="1"/>
        <v/>
      </c>
    </row>
    <row r="72" ht="15.75" customHeight="1">
      <c r="A72" s="7"/>
      <c r="B72" s="22"/>
      <c r="C72" s="7"/>
      <c r="D72" s="7"/>
      <c r="E72" s="7"/>
      <c r="F72" s="7"/>
      <c r="G72" s="7"/>
      <c r="H72" s="7"/>
      <c r="I72" s="17"/>
      <c r="J72" s="22"/>
      <c r="K72" s="7" t="str">
        <f t="shared" si="1"/>
        <v/>
      </c>
    </row>
    <row r="73" ht="15.75" customHeight="1">
      <c r="A73" s="7"/>
      <c r="B73" s="22"/>
      <c r="C73" s="7"/>
      <c r="D73" s="7"/>
      <c r="E73" s="7"/>
      <c r="F73" s="7"/>
      <c r="G73" s="7"/>
      <c r="H73" s="7"/>
      <c r="I73" s="17"/>
      <c r="J73" s="22"/>
      <c r="K73" s="7" t="str">
        <f t="shared" si="1"/>
        <v/>
      </c>
    </row>
    <row r="74" ht="15.75" customHeight="1">
      <c r="A74" s="7"/>
      <c r="B74" s="22"/>
      <c r="C74" s="7"/>
      <c r="D74" s="7"/>
      <c r="E74" s="7"/>
      <c r="F74" s="7"/>
      <c r="G74" s="7"/>
      <c r="H74" s="7"/>
      <c r="I74" s="17"/>
      <c r="J74" s="22"/>
      <c r="K74" s="7" t="str">
        <f t="shared" si="1"/>
        <v/>
      </c>
    </row>
    <row r="75" ht="15.75" customHeight="1">
      <c r="A75" s="7"/>
      <c r="B75" s="22"/>
      <c r="C75" s="7"/>
      <c r="D75" s="7"/>
      <c r="E75" s="7"/>
      <c r="F75" s="7"/>
      <c r="G75" s="7"/>
      <c r="H75" s="7"/>
      <c r="I75" s="17"/>
      <c r="J75" s="22"/>
      <c r="K75" s="7" t="str">
        <f t="shared" si="1"/>
        <v/>
      </c>
    </row>
    <row r="76" ht="15.75" customHeight="1">
      <c r="A76" s="7"/>
      <c r="B76" s="22"/>
      <c r="C76" s="7"/>
      <c r="D76" s="7"/>
      <c r="E76" s="7"/>
      <c r="F76" s="7"/>
      <c r="G76" s="7"/>
      <c r="H76" s="7"/>
      <c r="I76" s="17"/>
      <c r="J76" s="22"/>
      <c r="K76" s="7" t="str">
        <f t="shared" si="1"/>
        <v/>
      </c>
    </row>
    <row r="77" ht="15.75" customHeight="1">
      <c r="A77" s="7"/>
      <c r="B77" s="22"/>
      <c r="C77" s="7"/>
      <c r="D77" s="7"/>
      <c r="E77" s="7"/>
      <c r="F77" s="7"/>
      <c r="G77" s="7"/>
      <c r="H77" s="7"/>
      <c r="I77" s="17"/>
      <c r="J77" s="22"/>
      <c r="K77" s="7" t="str">
        <f t="shared" si="1"/>
        <v/>
      </c>
    </row>
    <row r="78" ht="15.75" customHeight="1">
      <c r="A78" s="7"/>
      <c r="B78" s="22"/>
      <c r="C78" s="7"/>
      <c r="D78" s="7"/>
      <c r="E78" s="7"/>
      <c r="F78" s="7"/>
      <c r="G78" s="7"/>
      <c r="H78" s="7"/>
      <c r="I78" s="17"/>
      <c r="J78" s="22"/>
      <c r="K78" s="7" t="str">
        <f t="shared" si="1"/>
        <v/>
      </c>
    </row>
    <row r="79" ht="15.75" customHeight="1">
      <c r="A79" s="7"/>
      <c r="B79" s="22"/>
      <c r="C79" s="7"/>
      <c r="D79" s="7"/>
      <c r="E79" s="7"/>
      <c r="F79" s="7"/>
      <c r="G79" s="7"/>
      <c r="H79" s="7"/>
      <c r="I79" s="17"/>
      <c r="J79" s="22"/>
      <c r="K79" s="7" t="str">
        <f t="shared" si="1"/>
        <v/>
      </c>
    </row>
    <row r="80" ht="15.75" customHeight="1">
      <c r="A80" s="7"/>
      <c r="B80" s="22"/>
      <c r="C80" s="7"/>
      <c r="D80" s="7"/>
      <c r="E80" s="7"/>
      <c r="F80" s="7"/>
      <c r="G80" s="7"/>
      <c r="H80" s="7"/>
      <c r="I80" s="17"/>
      <c r="J80" s="22"/>
      <c r="K80" s="7" t="str">
        <f t="shared" si="1"/>
        <v/>
      </c>
    </row>
    <row r="81" ht="15.75" customHeight="1">
      <c r="A81" s="7"/>
      <c r="B81" s="22"/>
      <c r="C81" s="7"/>
      <c r="D81" s="7"/>
      <c r="E81" s="7"/>
      <c r="F81" s="7"/>
      <c r="G81" s="7"/>
      <c r="H81" s="7"/>
      <c r="I81" s="17"/>
      <c r="J81" s="22"/>
      <c r="K81" s="7" t="str">
        <f t="shared" si="1"/>
        <v/>
      </c>
    </row>
    <row r="82" ht="15.75" customHeight="1">
      <c r="A82" s="7"/>
      <c r="B82" s="22"/>
      <c r="C82" s="7"/>
      <c r="D82" s="7"/>
      <c r="E82" s="7"/>
      <c r="F82" s="7"/>
      <c r="G82" s="7"/>
      <c r="H82" s="7"/>
      <c r="I82" s="17"/>
      <c r="J82" s="22"/>
      <c r="K82" s="7" t="str">
        <f t="shared" si="1"/>
        <v/>
      </c>
    </row>
    <row r="83" ht="15.75" customHeight="1">
      <c r="A83" s="7"/>
      <c r="B83" s="22"/>
      <c r="C83" s="7"/>
      <c r="D83" s="7"/>
      <c r="E83" s="7"/>
      <c r="F83" s="7"/>
      <c r="G83" s="7"/>
      <c r="H83" s="7"/>
      <c r="I83" s="17"/>
      <c r="J83" s="22"/>
      <c r="K83" s="7" t="str">
        <f t="shared" si="1"/>
        <v/>
      </c>
    </row>
    <row r="84" ht="15.75" customHeight="1">
      <c r="A84" s="7"/>
      <c r="B84" s="22"/>
      <c r="C84" s="7"/>
      <c r="D84" s="7"/>
      <c r="E84" s="7"/>
      <c r="F84" s="7"/>
      <c r="G84" s="7"/>
      <c r="H84" s="7"/>
      <c r="I84" s="17"/>
      <c r="J84" s="22"/>
      <c r="K84" s="7" t="str">
        <f t="shared" si="1"/>
        <v/>
      </c>
    </row>
    <row r="85" ht="15.75" customHeight="1">
      <c r="A85" s="7"/>
      <c r="B85" s="22"/>
      <c r="C85" s="7"/>
      <c r="D85" s="7"/>
      <c r="E85" s="7"/>
      <c r="F85" s="7"/>
      <c r="G85" s="7"/>
      <c r="H85" s="7"/>
      <c r="I85" s="17"/>
      <c r="J85" s="22"/>
      <c r="K85" s="7" t="str">
        <f t="shared" si="1"/>
        <v/>
      </c>
    </row>
    <row r="86" ht="15.75" customHeight="1">
      <c r="A86" s="7"/>
      <c r="B86" s="22"/>
      <c r="C86" s="7"/>
      <c r="D86" s="7"/>
      <c r="E86" s="7"/>
      <c r="F86" s="7"/>
      <c r="G86" s="7"/>
      <c r="H86" s="7"/>
      <c r="I86" s="17"/>
      <c r="J86" s="22"/>
      <c r="K86" s="7" t="str">
        <f t="shared" si="1"/>
        <v/>
      </c>
    </row>
    <row r="87" ht="15.75" customHeight="1">
      <c r="A87" s="7"/>
      <c r="B87" s="22"/>
      <c r="C87" s="7"/>
      <c r="D87" s="7"/>
      <c r="E87" s="7"/>
      <c r="F87" s="7"/>
      <c r="G87" s="7"/>
      <c r="H87" s="7"/>
      <c r="I87" s="17"/>
      <c r="J87" s="22"/>
      <c r="K87" s="7" t="str">
        <f t="shared" si="1"/>
        <v/>
      </c>
    </row>
    <row r="88" ht="15.75" customHeight="1">
      <c r="A88" s="7"/>
      <c r="B88" s="22"/>
      <c r="C88" s="7"/>
      <c r="D88" s="7"/>
      <c r="E88" s="7"/>
      <c r="F88" s="7"/>
      <c r="G88" s="7"/>
      <c r="H88" s="7"/>
      <c r="I88" s="17"/>
      <c r="J88" s="22"/>
      <c r="K88" s="7" t="str">
        <f t="shared" si="1"/>
        <v/>
      </c>
    </row>
    <row r="89" ht="15.75" customHeight="1">
      <c r="A89" s="7"/>
      <c r="B89" s="22"/>
      <c r="C89" s="7"/>
      <c r="D89" s="7"/>
      <c r="E89" s="7"/>
      <c r="F89" s="7"/>
      <c r="G89" s="7"/>
      <c r="H89" s="7"/>
      <c r="I89" s="17"/>
      <c r="J89" s="22"/>
      <c r="K89" s="7" t="str">
        <f t="shared" si="1"/>
        <v/>
      </c>
    </row>
    <row r="90" ht="15.75" customHeight="1">
      <c r="A90" s="7"/>
      <c r="B90" s="22"/>
      <c r="C90" s="7"/>
      <c r="D90" s="7"/>
      <c r="E90" s="7"/>
      <c r="F90" s="7"/>
      <c r="G90" s="7"/>
      <c r="H90" s="7"/>
      <c r="I90" s="17"/>
      <c r="J90" s="22"/>
      <c r="K90" s="7" t="str">
        <f t="shared" si="1"/>
        <v/>
      </c>
    </row>
    <row r="91" ht="15.75" customHeight="1">
      <c r="A91" s="7"/>
      <c r="B91" s="22"/>
      <c r="C91" s="7"/>
      <c r="D91" s="7"/>
      <c r="E91" s="7"/>
      <c r="F91" s="7"/>
      <c r="G91" s="7"/>
      <c r="H91" s="7"/>
      <c r="I91" s="17"/>
      <c r="J91" s="22"/>
      <c r="K91" s="7" t="str">
        <f t="shared" si="1"/>
        <v/>
      </c>
    </row>
    <row r="92" ht="15.75" customHeight="1">
      <c r="A92" s="7"/>
      <c r="B92" s="22"/>
      <c r="C92" s="7"/>
      <c r="D92" s="7"/>
      <c r="E92" s="7"/>
      <c r="F92" s="7"/>
      <c r="G92" s="7"/>
      <c r="H92" s="7"/>
      <c r="I92" s="17"/>
      <c r="J92" s="22"/>
      <c r="K92" s="7" t="str">
        <f t="shared" si="1"/>
        <v/>
      </c>
    </row>
    <row r="93" ht="15.75" customHeight="1">
      <c r="A93" s="7"/>
      <c r="B93" s="22"/>
      <c r="C93" s="7"/>
      <c r="D93" s="7"/>
      <c r="E93" s="7"/>
      <c r="F93" s="7"/>
      <c r="G93" s="7"/>
      <c r="H93" s="7"/>
      <c r="I93" s="17"/>
      <c r="J93" s="22"/>
      <c r="K93" s="7" t="str">
        <f t="shared" si="1"/>
        <v/>
      </c>
    </row>
    <row r="94" ht="15.75" customHeight="1">
      <c r="A94" s="7"/>
      <c r="B94" s="22"/>
      <c r="C94" s="7"/>
      <c r="D94" s="7"/>
      <c r="E94" s="7"/>
      <c r="F94" s="7"/>
      <c r="G94" s="7"/>
      <c r="H94" s="7"/>
      <c r="I94" s="17"/>
      <c r="J94" s="22"/>
      <c r="K94" s="7" t="str">
        <f t="shared" si="1"/>
        <v/>
      </c>
    </row>
    <row r="95" ht="15.75" customHeight="1">
      <c r="A95" s="7"/>
      <c r="B95" s="22"/>
      <c r="C95" s="7"/>
      <c r="D95" s="7"/>
      <c r="E95" s="7"/>
      <c r="F95" s="7"/>
      <c r="G95" s="7"/>
      <c r="H95" s="7"/>
      <c r="I95" s="17"/>
      <c r="J95" s="22"/>
      <c r="K95" s="7" t="str">
        <f t="shared" si="1"/>
        <v/>
      </c>
    </row>
    <row r="96" ht="15.75" customHeight="1">
      <c r="A96" s="7"/>
      <c r="B96" s="22"/>
      <c r="C96" s="7"/>
      <c r="D96" s="7"/>
      <c r="E96" s="7"/>
      <c r="F96" s="7"/>
      <c r="G96" s="7"/>
      <c r="H96" s="7"/>
      <c r="I96" s="17"/>
      <c r="J96" s="22"/>
      <c r="K96" s="7" t="str">
        <f t="shared" si="1"/>
        <v/>
      </c>
    </row>
    <row r="97" ht="15.75" customHeight="1">
      <c r="A97" s="7"/>
      <c r="B97" s="22"/>
      <c r="C97" s="7"/>
      <c r="D97" s="7"/>
      <c r="E97" s="7"/>
      <c r="F97" s="7"/>
      <c r="G97" s="7"/>
      <c r="H97" s="7"/>
      <c r="I97" s="17"/>
      <c r="J97" s="22"/>
      <c r="K97" s="7" t="str">
        <f t="shared" si="1"/>
        <v/>
      </c>
    </row>
    <row r="98" ht="15.75" customHeight="1">
      <c r="A98" s="7"/>
      <c r="B98" s="22"/>
      <c r="C98" s="7"/>
      <c r="D98" s="7"/>
      <c r="E98" s="7"/>
      <c r="F98" s="7"/>
      <c r="G98" s="7"/>
      <c r="H98" s="7"/>
      <c r="I98" s="17"/>
      <c r="J98" s="22"/>
      <c r="K98" s="7" t="str">
        <f t="shared" si="1"/>
        <v/>
      </c>
    </row>
    <row r="99" ht="15.75" customHeight="1">
      <c r="A99" s="7"/>
      <c r="B99" s="22"/>
      <c r="C99" s="7"/>
      <c r="D99" s="7"/>
      <c r="E99" s="7"/>
      <c r="F99" s="7"/>
      <c r="G99" s="7"/>
      <c r="H99" s="7"/>
      <c r="I99" s="17"/>
      <c r="J99" s="22"/>
      <c r="K99" s="7" t="str">
        <f t="shared" si="1"/>
        <v/>
      </c>
    </row>
    <row r="100" ht="15.75" customHeight="1">
      <c r="A100" s="7"/>
      <c r="B100" s="22"/>
      <c r="C100" s="7"/>
      <c r="D100" s="7"/>
      <c r="E100" s="7"/>
      <c r="F100" s="7"/>
      <c r="G100" s="7"/>
      <c r="H100" s="7"/>
      <c r="I100" s="17"/>
      <c r="J100" s="22"/>
      <c r="K100" s="7" t="str">
        <f t="shared" si="1"/>
        <v/>
      </c>
    </row>
    <row r="101" ht="15.75" customHeight="1">
      <c r="A101" s="7"/>
      <c r="B101" s="22"/>
      <c r="C101" s="7"/>
      <c r="D101" s="7"/>
      <c r="E101" s="7"/>
      <c r="F101" s="7"/>
      <c r="G101" s="7"/>
      <c r="H101" s="7"/>
      <c r="I101" s="17"/>
      <c r="J101" s="22"/>
      <c r="K101" s="7" t="str">
        <f t="shared" si="1"/>
        <v/>
      </c>
    </row>
    <row r="102" ht="15.75" customHeight="1">
      <c r="A102" s="7"/>
      <c r="B102" s="22"/>
      <c r="C102" s="7"/>
      <c r="D102" s="7"/>
      <c r="E102" s="7"/>
      <c r="F102" s="7"/>
      <c r="G102" s="7"/>
      <c r="H102" s="7"/>
      <c r="I102" s="17"/>
      <c r="J102" s="22"/>
      <c r="K102" s="7" t="str">
        <f t="shared" si="1"/>
        <v/>
      </c>
    </row>
    <row r="103" ht="15.75" customHeight="1">
      <c r="A103" s="7"/>
      <c r="B103" s="22"/>
      <c r="C103" s="7"/>
      <c r="D103" s="7"/>
      <c r="E103" s="7"/>
      <c r="F103" s="7"/>
      <c r="G103" s="7"/>
      <c r="H103" s="7"/>
      <c r="I103" s="17"/>
      <c r="J103" s="22"/>
      <c r="K103" s="7" t="str">
        <f t="shared" si="1"/>
        <v/>
      </c>
    </row>
    <row r="104" ht="15.75" customHeight="1">
      <c r="A104" s="7"/>
      <c r="B104" s="22"/>
      <c r="C104" s="7"/>
      <c r="D104" s="7"/>
      <c r="E104" s="7"/>
      <c r="F104" s="7"/>
      <c r="G104" s="7"/>
      <c r="H104" s="7"/>
      <c r="I104" s="17"/>
      <c r="J104" s="22"/>
      <c r="K104" s="7" t="str">
        <f t="shared" si="1"/>
        <v/>
      </c>
    </row>
    <row r="105" ht="15.75" customHeight="1">
      <c r="A105" s="7"/>
      <c r="B105" s="22"/>
      <c r="C105" s="7"/>
      <c r="D105" s="7"/>
      <c r="E105" s="7"/>
      <c r="F105" s="7"/>
      <c r="G105" s="7"/>
      <c r="H105" s="7"/>
      <c r="I105" s="17"/>
      <c r="J105" s="22"/>
      <c r="K105" s="7" t="str">
        <f t="shared" si="1"/>
        <v/>
      </c>
    </row>
    <row r="106" ht="15.75" customHeight="1">
      <c r="A106" s="7"/>
      <c r="B106" s="22"/>
      <c r="C106" s="7"/>
      <c r="D106" s="7"/>
      <c r="E106" s="7"/>
      <c r="F106" s="7"/>
      <c r="G106" s="7"/>
      <c r="H106" s="7"/>
      <c r="I106" s="17"/>
      <c r="J106" s="22"/>
      <c r="K106" s="7" t="str">
        <f t="shared" si="1"/>
        <v/>
      </c>
    </row>
    <row r="107" ht="15.75" customHeight="1">
      <c r="A107" s="7"/>
      <c r="B107" s="22"/>
      <c r="C107" s="7"/>
      <c r="D107" s="7"/>
      <c r="E107" s="7"/>
      <c r="F107" s="7"/>
      <c r="G107" s="7"/>
      <c r="H107" s="7"/>
      <c r="I107" s="17"/>
      <c r="J107" s="22"/>
      <c r="K107" s="7" t="str">
        <f t="shared" si="1"/>
        <v/>
      </c>
    </row>
    <row r="108" ht="15.75" customHeight="1">
      <c r="A108" s="7"/>
      <c r="B108" s="22"/>
      <c r="C108" s="7"/>
      <c r="D108" s="7"/>
      <c r="E108" s="7"/>
      <c r="F108" s="7"/>
      <c r="G108" s="7"/>
      <c r="H108" s="7"/>
      <c r="I108" s="17"/>
      <c r="J108" s="22"/>
      <c r="K108" s="7" t="str">
        <f t="shared" si="1"/>
        <v/>
      </c>
    </row>
    <row r="109" ht="15.75" customHeight="1">
      <c r="A109" s="7"/>
      <c r="B109" s="22"/>
      <c r="C109" s="7"/>
      <c r="D109" s="7"/>
      <c r="E109" s="7"/>
      <c r="F109" s="7"/>
      <c r="G109" s="7"/>
      <c r="H109" s="7"/>
      <c r="I109" s="17"/>
      <c r="J109" s="22"/>
      <c r="K109" s="7" t="str">
        <f t="shared" si="1"/>
        <v/>
      </c>
    </row>
    <row r="110" ht="15.75" customHeight="1">
      <c r="A110" s="7"/>
      <c r="B110" s="22"/>
      <c r="C110" s="7"/>
      <c r="D110" s="7"/>
      <c r="E110" s="7"/>
      <c r="F110" s="7"/>
      <c r="G110" s="7"/>
      <c r="H110" s="7"/>
      <c r="I110" s="17"/>
      <c r="J110" s="22"/>
      <c r="K110" s="7" t="str">
        <f t="shared" si="1"/>
        <v/>
      </c>
    </row>
    <row r="111" ht="15.75" customHeight="1">
      <c r="A111" s="7"/>
      <c r="B111" s="22"/>
      <c r="C111" s="7"/>
      <c r="D111" s="7"/>
      <c r="E111" s="7"/>
      <c r="F111" s="7"/>
      <c r="G111" s="7"/>
      <c r="H111" s="7"/>
      <c r="I111" s="17"/>
      <c r="J111" s="22"/>
      <c r="K111" s="7" t="str">
        <f t="shared" si="1"/>
        <v/>
      </c>
    </row>
    <row r="112" ht="15.75" customHeight="1">
      <c r="A112" s="7"/>
      <c r="B112" s="22"/>
      <c r="C112" s="7"/>
      <c r="D112" s="7"/>
      <c r="E112" s="7"/>
      <c r="F112" s="7"/>
      <c r="G112" s="7"/>
      <c r="H112" s="7"/>
      <c r="I112" s="17"/>
      <c r="J112" s="22"/>
      <c r="K112" s="7" t="str">
        <f t="shared" si="1"/>
        <v/>
      </c>
    </row>
    <row r="113" ht="15.75" customHeight="1">
      <c r="A113" s="7"/>
      <c r="B113" s="22"/>
      <c r="C113" s="7"/>
      <c r="D113" s="7"/>
      <c r="E113" s="7"/>
      <c r="F113" s="7"/>
      <c r="G113" s="7"/>
      <c r="H113" s="7"/>
      <c r="I113" s="17"/>
      <c r="J113" s="22"/>
      <c r="K113" s="7" t="str">
        <f t="shared" si="1"/>
        <v/>
      </c>
    </row>
    <row r="114" ht="15.75" customHeight="1">
      <c r="A114" s="7"/>
      <c r="B114" s="22"/>
      <c r="C114" s="7"/>
      <c r="D114" s="7"/>
      <c r="E114" s="7"/>
      <c r="F114" s="7"/>
      <c r="G114" s="7"/>
      <c r="H114" s="7"/>
      <c r="I114" s="17"/>
      <c r="J114" s="22"/>
      <c r="K114" s="7" t="str">
        <f t="shared" si="1"/>
        <v/>
      </c>
    </row>
    <row r="115" ht="15.75" customHeight="1">
      <c r="A115" s="7"/>
      <c r="B115" s="22"/>
      <c r="C115" s="7"/>
      <c r="D115" s="7"/>
      <c r="E115" s="7"/>
      <c r="F115" s="7"/>
      <c r="G115" s="7"/>
      <c r="H115" s="7"/>
      <c r="I115" s="17"/>
      <c r="J115" s="22"/>
      <c r="K115" s="7" t="str">
        <f t="shared" si="1"/>
        <v/>
      </c>
    </row>
    <row r="116" ht="15.75" customHeight="1">
      <c r="A116" s="7"/>
      <c r="B116" s="22"/>
      <c r="C116" s="7"/>
      <c r="D116" s="7"/>
      <c r="E116" s="7"/>
      <c r="F116" s="7"/>
      <c r="G116" s="7"/>
      <c r="H116" s="7"/>
      <c r="I116" s="17"/>
      <c r="J116" s="22"/>
      <c r="K116" s="7" t="str">
        <f t="shared" si="1"/>
        <v/>
      </c>
    </row>
    <row r="117" ht="15.75" customHeight="1">
      <c r="A117" s="7"/>
      <c r="B117" s="22"/>
      <c r="C117" s="7"/>
      <c r="D117" s="7"/>
      <c r="E117" s="7"/>
      <c r="F117" s="7"/>
      <c r="G117" s="7"/>
      <c r="H117" s="7"/>
      <c r="I117" s="17"/>
      <c r="J117" s="22"/>
      <c r="K117" s="7" t="str">
        <f t="shared" si="1"/>
        <v/>
      </c>
    </row>
    <row r="118" ht="15.75" customHeight="1">
      <c r="A118" s="7"/>
      <c r="B118" s="22"/>
      <c r="C118" s="7"/>
      <c r="D118" s="7"/>
      <c r="E118" s="7"/>
      <c r="F118" s="7"/>
      <c r="G118" s="7"/>
      <c r="H118" s="7"/>
      <c r="I118" s="17"/>
      <c r="J118" s="22"/>
      <c r="K118" s="7" t="str">
        <f t="shared" si="1"/>
        <v/>
      </c>
    </row>
    <row r="119" ht="15.75" customHeight="1">
      <c r="A119" s="7"/>
      <c r="B119" s="22"/>
      <c r="C119" s="7"/>
      <c r="D119" s="7"/>
      <c r="E119" s="7"/>
      <c r="F119" s="7"/>
      <c r="G119" s="7"/>
      <c r="H119" s="7"/>
      <c r="I119" s="17"/>
      <c r="J119" s="22"/>
      <c r="K119" s="7" t="str">
        <f t="shared" si="1"/>
        <v/>
      </c>
    </row>
    <row r="120" ht="15.75" customHeight="1">
      <c r="A120" s="7"/>
      <c r="B120" s="22"/>
      <c r="C120" s="7"/>
      <c r="D120" s="7"/>
      <c r="E120" s="7"/>
      <c r="F120" s="7"/>
      <c r="G120" s="7"/>
      <c r="H120" s="7"/>
      <c r="I120" s="17"/>
      <c r="J120" s="22"/>
      <c r="K120" s="7" t="str">
        <f t="shared" si="1"/>
        <v/>
      </c>
    </row>
    <row r="121" ht="15.75" customHeight="1">
      <c r="A121" s="7"/>
      <c r="B121" s="22"/>
      <c r="C121" s="7"/>
      <c r="D121" s="7"/>
      <c r="E121" s="7"/>
      <c r="F121" s="7"/>
      <c r="G121" s="7"/>
      <c r="H121" s="7"/>
      <c r="I121" s="17"/>
      <c r="J121" s="22"/>
      <c r="K121" s="7" t="str">
        <f t="shared" si="1"/>
        <v/>
      </c>
    </row>
    <row r="122" ht="15.75" customHeight="1">
      <c r="A122" s="7"/>
      <c r="B122" s="22"/>
      <c r="C122" s="7"/>
      <c r="D122" s="7"/>
      <c r="E122" s="7"/>
      <c r="F122" s="7"/>
      <c r="G122" s="7"/>
      <c r="H122" s="7"/>
      <c r="I122" s="17"/>
      <c r="J122" s="22"/>
      <c r="K122" s="7" t="str">
        <f t="shared" si="1"/>
        <v/>
      </c>
    </row>
    <row r="123" ht="15.75" customHeight="1">
      <c r="A123" s="7"/>
      <c r="B123" s="22"/>
      <c r="C123" s="7"/>
      <c r="D123" s="7"/>
      <c r="E123" s="7"/>
      <c r="F123" s="7"/>
      <c r="G123" s="7"/>
      <c r="H123" s="7"/>
      <c r="I123" s="17"/>
      <c r="J123" s="22"/>
      <c r="K123" s="7" t="str">
        <f t="shared" si="1"/>
        <v/>
      </c>
    </row>
    <row r="124" ht="15.75" customHeight="1">
      <c r="A124" s="7"/>
      <c r="B124" s="22"/>
      <c r="C124" s="7"/>
      <c r="D124" s="7"/>
      <c r="E124" s="7"/>
      <c r="F124" s="7"/>
      <c r="G124" s="7"/>
      <c r="H124" s="7"/>
      <c r="I124" s="17"/>
      <c r="J124" s="22"/>
      <c r="K124" s="7" t="str">
        <f t="shared" si="1"/>
        <v/>
      </c>
    </row>
    <row r="125" ht="15.75" customHeight="1">
      <c r="A125" s="7"/>
      <c r="B125" s="22"/>
      <c r="C125" s="7"/>
      <c r="D125" s="7"/>
      <c r="E125" s="7"/>
      <c r="F125" s="7"/>
      <c r="G125" s="7"/>
      <c r="H125" s="7"/>
      <c r="I125" s="17"/>
      <c r="J125" s="22"/>
      <c r="K125" s="7" t="str">
        <f t="shared" si="1"/>
        <v/>
      </c>
    </row>
    <row r="126" ht="15.75" customHeight="1">
      <c r="A126" s="7"/>
      <c r="B126" s="22"/>
      <c r="C126" s="7"/>
      <c r="D126" s="7"/>
      <c r="E126" s="7"/>
      <c r="F126" s="7"/>
      <c r="G126" s="7"/>
      <c r="H126" s="7"/>
      <c r="I126" s="17"/>
      <c r="J126" s="22"/>
      <c r="K126" s="7" t="str">
        <f t="shared" si="1"/>
        <v/>
      </c>
    </row>
    <row r="127" ht="15.75" customHeight="1">
      <c r="A127" s="7"/>
      <c r="B127" s="22"/>
      <c r="C127" s="7"/>
      <c r="D127" s="7"/>
      <c r="E127" s="7"/>
      <c r="F127" s="7"/>
      <c r="G127" s="7"/>
      <c r="H127" s="7"/>
      <c r="I127" s="17"/>
      <c r="J127" s="22"/>
      <c r="K127" s="7" t="str">
        <f t="shared" si="1"/>
        <v/>
      </c>
    </row>
    <row r="128" ht="15.75" customHeight="1">
      <c r="A128" s="7"/>
      <c r="B128" s="22"/>
      <c r="C128" s="7"/>
      <c r="D128" s="7"/>
      <c r="E128" s="7"/>
      <c r="F128" s="7"/>
      <c r="G128" s="7"/>
      <c r="H128" s="7"/>
      <c r="I128" s="17"/>
      <c r="J128" s="22"/>
      <c r="K128" s="7" t="str">
        <f t="shared" si="1"/>
        <v/>
      </c>
    </row>
    <row r="129" ht="15.75" customHeight="1">
      <c r="A129" s="7"/>
      <c r="B129" s="22"/>
      <c r="C129" s="7"/>
      <c r="D129" s="7"/>
      <c r="E129" s="7"/>
      <c r="F129" s="7"/>
      <c r="G129" s="7"/>
      <c r="H129" s="7"/>
      <c r="I129" s="17"/>
      <c r="J129" s="22"/>
      <c r="K129" s="7" t="str">
        <f t="shared" si="1"/>
        <v/>
      </c>
    </row>
    <row r="130" ht="15.75" customHeight="1">
      <c r="A130" s="7"/>
      <c r="B130" s="22"/>
      <c r="C130" s="7"/>
      <c r="D130" s="7"/>
      <c r="E130" s="7"/>
      <c r="F130" s="7"/>
      <c r="G130" s="7"/>
      <c r="H130" s="7"/>
      <c r="I130" s="17"/>
      <c r="J130" s="22"/>
      <c r="K130" s="7" t="str">
        <f t="shared" si="1"/>
        <v/>
      </c>
    </row>
    <row r="131" ht="15.75" customHeight="1">
      <c r="A131" s="7"/>
      <c r="B131" s="22"/>
      <c r="C131" s="7"/>
      <c r="D131" s="7"/>
      <c r="E131" s="7"/>
      <c r="F131" s="7"/>
      <c r="G131" s="7"/>
      <c r="H131" s="7"/>
      <c r="I131" s="17"/>
      <c r="J131" s="22"/>
      <c r="K131" s="7" t="str">
        <f t="shared" si="1"/>
        <v/>
      </c>
    </row>
    <row r="132" ht="15.75" customHeight="1">
      <c r="A132" s="7"/>
      <c r="B132" s="22"/>
      <c r="C132" s="7"/>
      <c r="D132" s="7"/>
      <c r="E132" s="7"/>
      <c r="F132" s="7"/>
      <c r="G132" s="7"/>
      <c r="H132" s="7"/>
      <c r="I132" s="17"/>
      <c r="J132" s="22"/>
      <c r="K132" s="7" t="str">
        <f t="shared" si="1"/>
        <v/>
      </c>
    </row>
    <row r="133" ht="15.75" customHeight="1">
      <c r="A133" s="7"/>
      <c r="B133" s="22"/>
      <c r="C133" s="7"/>
      <c r="D133" s="7"/>
      <c r="E133" s="7"/>
      <c r="F133" s="7"/>
      <c r="G133" s="7"/>
      <c r="H133" s="7"/>
      <c r="I133" s="17"/>
      <c r="J133" s="22"/>
      <c r="K133" s="7" t="str">
        <f t="shared" si="1"/>
        <v/>
      </c>
    </row>
    <row r="134" ht="15.75" customHeight="1">
      <c r="A134" s="7"/>
      <c r="B134" s="22"/>
      <c r="C134" s="7"/>
      <c r="D134" s="7"/>
      <c r="E134" s="7"/>
      <c r="F134" s="7"/>
      <c r="G134" s="7"/>
      <c r="H134" s="7"/>
      <c r="I134" s="17"/>
      <c r="J134" s="22"/>
      <c r="K134" s="7" t="str">
        <f t="shared" si="1"/>
        <v/>
      </c>
    </row>
    <row r="135" ht="15.75" customHeight="1">
      <c r="A135" s="7"/>
      <c r="B135" s="22"/>
      <c r="C135" s="7"/>
      <c r="D135" s="7"/>
      <c r="E135" s="7"/>
      <c r="F135" s="7"/>
      <c r="G135" s="7"/>
      <c r="H135" s="7"/>
      <c r="I135" s="17"/>
      <c r="J135" s="22"/>
      <c r="K135" s="7" t="str">
        <f t="shared" si="1"/>
        <v/>
      </c>
    </row>
    <row r="136" ht="15.75" customHeight="1">
      <c r="A136" s="7"/>
      <c r="B136" s="22"/>
      <c r="C136" s="7"/>
      <c r="D136" s="7"/>
      <c r="E136" s="7"/>
      <c r="F136" s="7"/>
      <c r="G136" s="7"/>
      <c r="H136" s="7"/>
      <c r="I136" s="17"/>
      <c r="J136" s="22"/>
      <c r="K136" s="7" t="str">
        <f t="shared" si="1"/>
        <v/>
      </c>
    </row>
    <row r="137" ht="15.75" customHeight="1">
      <c r="A137" s="7"/>
      <c r="B137" s="22"/>
      <c r="C137" s="7"/>
      <c r="D137" s="7"/>
      <c r="E137" s="7"/>
      <c r="F137" s="7"/>
      <c r="G137" s="7"/>
      <c r="H137" s="7"/>
      <c r="I137" s="17"/>
      <c r="J137" s="22"/>
      <c r="K137" s="7" t="str">
        <f t="shared" si="1"/>
        <v/>
      </c>
    </row>
    <row r="138" ht="15.75" customHeight="1">
      <c r="A138" s="7"/>
      <c r="B138" s="22"/>
      <c r="C138" s="7"/>
      <c r="D138" s="7"/>
      <c r="E138" s="7"/>
      <c r="F138" s="7"/>
      <c r="G138" s="7"/>
      <c r="H138" s="7"/>
      <c r="I138" s="17"/>
      <c r="J138" s="22"/>
      <c r="K138" s="7" t="str">
        <f t="shared" si="1"/>
        <v/>
      </c>
    </row>
    <row r="139" ht="15.75" customHeight="1">
      <c r="A139" s="7"/>
      <c r="B139" s="22"/>
      <c r="C139" s="7"/>
      <c r="D139" s="7"/>
      <c r="E139" s="7"/>
      <c r="F139" s="7"/>
      <c r="G139" s="7"/>
      <c r="H139" s="7"/>
      <c r="I139" s="17"/>
      <c r="J139" s="22"/>
      <c r="K139" s="7" t="str">
        <f t="shared" si="1"/>
        <v/>
      </c>
    </row>
    <row r="140" ht="15.75" customHeight="1">
      <c r="A140" s="7"/>
      <c r="B140" s="22"/>
      <c r="C140" s="7"/>
      <c r="D140" s="7"/>
      <c r="E140" s="7"/>
      <c r="F140" s="7"/>
      <c r="G140" s="7"/>
      <c r="H140" s="7"/>
      <c r="I140" s="17"/>
      <c r="J140" s="22"/>
      <c r="K140" s="7" t="str">
        <f t="shared" si="1"/>
        <v/>
      </c>
    </row>
    <row r="141" ht="15.75" customHeight="1">
      <c r="A141" s="7"/>
      <c r="B141" s="22"/>
      <c r="C141" s="7"/>
      <c r="D141" s="7"/>
      <c r="E141" s="7"/>
      <c r="F141" s="7"/>
      <c r="G141" s="7"/>
      <c r="H141" s="7"/>
      <c r="I141" s="17"/>
      <c r="J141" s="22"/>
      <c r="K141" s="7" t="str">
        <f t="shared" si="1"/>
        <v/>
      </c>
    </row>
    <row r="142" ht="15.75" customHeight="1">
      <c r="A142" s="7"/>
      <c r="B142" s="22"/>
      <c r="C142" s="7"/>
      <c r="D142" s="7"/>
      <c r="E142" s="7"/>
      <c r="F142" s="7"/>
      <c r="G142" s="7"/>
      <c r="H142" s="7"/>
      <c r="I142" s="17"/>
      <c r="J142" s="22"/>
      <c r="K142" s="7" t="str">
        <f t="shared" si="1"/>
        <v/>
      </c>
    </row>
    <row r="143" ht="15.75" customHeight="1">
      <c r="A143" s="7"/>
      <c r="B143" s="22"/>
      <c r="C143" s="7"/>
      <c r="D143" s="7"/>
      <c r="E143" s="7"/>
      <c r="F143" s="7"/>
      <c r="G143" s="7"/>
      <c r="H143" s="7"/>
      <c r="I143" s="17"/>
      <c r="J143" s="22"/>
      <c r="K143" s="7" t="str">
        <f t="shared" si="1"/>
        <v/>
      </c>
    </row>
    <row r="144" ht="15.75" customHeight="1">
      <c r="A144" s="7"/>
      <c r="B144" s="22"/>
      <c r="C144" s="7"/>
      <c r="D144" s="7"/>
      <c r="E144" s="7"/>
      <c r="F144" s="7"/>
      <c r="G144" s="7"/>
      <c r="H144" s="7"/>
      <c r="I144" s="17"/>
      <c r="J144" s="22"/>
      <c r="K144" s="7" t="str">
        <f t="shared" si="1"/>
        <v/>
      </c>
    </row>
    <row r="145" ht="15.75" customHeight="1">
      <c r="A145" s="7"/>
      <c r="B145" s="22"/>
      <c r="C145" s="7"/>
      <c r="D145" s="7"/>
      <c r="E145" s="7"/>
      <c r="F145" s="7"/>
      <c r="G145" s="7"/>
      <c r="H145" s="7"/>
      <c r="I145" s="17"/>
      <c r="J145" s="22"/>
      <c r="K145" s="7" t="str">
        <f t="shared" si="1"/>
        <v/>
      </c>
    </row>
    <row r="146" ht="15.75" customHeight="1">
      <c r="A146" s="7"/>
      <c r="B146" s="22"/>
      <c r="C146" s="7"/>
      <c r="D146" s="7"/>
      <c r="E146" s="7"/>
      <c r="F146" s="7"/>
      <c r="G146" s="7"/>
      <c r="H146" s="7"/>
      <c r="I146" s="17"/>
      <c r="J146" s="22"/>
      <c r="K146" s="7" t="str">
        <f t="shared" si="1"/>
        <v/>
      </c>
    </row>
    <row r="147" ht="15.75" customHeight="1">
      <c r="A147" s="7"/>
      <c r="B147" s="22"/>
      <c r="C147" s="7"/>
      <c r="D147" s="7"/>
      <c r="E147" s="7"/>
      <c r="F147" s="7"/>
      <c r="G147" s="7"/>
      <c r="H147" s="7"/>
      <c r="I147" s="17"/>
      <c r="J147" s="22"/>
      <c r="K147" s="7" t="str">
        <f t="shared" si="1"/>
        <v/>
      </c>
    </row>
    <row r="148" ht="15.75" customHeight="1">
      <c r="A148" s="7"/>
      <c r="B148" s="22"/>
      <c r="C148" s="7"/>
      <c r="D148" s="7"/>
      <c r="E148" s="7"/>
      <c r="F148" s="7"/>
      <c r="G148" s="7"/>
      <c r="H148" s="7"/>
      <c r="I148" s="17"/>
      <c r="J148" s="22"/>
      <c r="K148" s="7" t="str">
        <f t="shared" si="1"/>
        <v/>
      </c>
    </row>
    <row r="149" ht="15.75" customHeight="1">
      <c r="A149" s="7"/>
      <c r="B149" s="22"/>
      <c r="C149" s="7"/>
      <c r="D149" s="7"/>
      <c r="E149" s="7"/>
      <c r="F149" s="7"/>
      <c r="G149" s="7"/>
      <c r="H149" s="7"/>
      <c r="I149" s="17"/>
      <c r="J149" s="22"/>
      <c r="K149" s="7" t="str">
        <f t="shared" si="1"/>
        <v/>
      </c>
    </row>
    <row r="150" ht="15.75" customHeight="1">
      <c r="A150" s="7"/>
      <c r="B150" s="22"/>
      <c r="C150" s="7"/>
      <c r="D150" s="7"/>
      <c r="E150" s="7"/>
      <c r="F150" s="7"/>
      <c r="G150" s="7"/>
      <c r="H150" s="7"/>
      <c r="I150" s="17"/>
      <c r="J150" s="22"/>
      <c r="K150" s="7" t="str">
        <f t="shared" si="1"/>
        <v/>
      </c>
    </row>
  </sheetData>
  <mergeCells count="1">
    <mergeCell ref="M1:N1"/>
  </mergeCells>
  <dataValidations>
    <dataValidation type="list" allowBlank="1" sqref="H2:H150">
      <formula1>"Nao iniciado,Em andamento,Concluido,Atrasado"</formula1>
    </dataValidation>
    <dataValidation type="list" allowBlank="1" sqref="E2:E150">
      <formula1>"Troca de peca,Troca do produto,Devolucao total,Devolucao parcial"</formula1>
    </dataValidation>
    <dataValidation type="list" allowBlank="1" sqref="G2:G150">
      <formula1>"Sim,Nao"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15.0"/>
    <col customWidth="1" min="4" max="4" width="14.0"/>
    <col customWidth="1" min="5" max="5" width="12.0"/>
    <col customWidth="1" min="6" max="6" width="14.0"/>
    <col customWidth="1" min="7" max="7" width="13.0"/>
    <col customWidth="1" min="8" max="9" width="18.0"/>
    <col customWidth="1" min="10" max="10" width="24.0"/>
    <col customWidth="1" min="11" max="20" width="8.71"/>
  </cols>
  <sheetData>
    <row r="1">
      <c r="A1" s="6" t="s">
        <v>29</v>
      </c>
      <c r="B1" s="6" t="s">
        <v>131</v>
      </c>
      <c r="C1" s="6" t="s">
        <v>221</v>
      </c>
      <c r="D1" s="6" t="s">
        <v>222</v>
      </c>
      <c r="E1" s="6" t="s">
        <v>223</v>
      </c>
      <c r="F1" s="6" t="s">
        <v>224</v>
      </c>
      <c r="G1" s="6" t="s">
        <v>225</v>
      </c>
      <c r="H1" s="6" t="s">
        <v>226</v>
      </c>
      <c r="I1" s="6" t="s">
        <v>227</v>
      </c>
      <c r="J1" s="6" t="s">
        <v>143</v>
      </c>
      <c r="L1" s="5" t="s">
        <v>228</v>
      </c>
    </row>
    <row r="2">
      <c r="A2" s="29" t="s">
        <v>146</v>
      </c>
      <c r="B2" s="29" t="s">
        <v>147</v>
      </c>
      <c r="C2" s="28">
        <v>45726.0</v>
      </c>
      <c r="D2" s="28">
        <v>46266.0</v>
      </c>
      <c r="E2" s="29">
        <v>3.0</v>
      </c>
      <c r="F2" s="30">
        <v>15800.0</v>
      </c>
      <c r="G2" s="29" t="s">
        <v>123</v>
      </c>
      <c r="H2" s="28">
        <v>46388.0</v>
      </c>
      <c r="I2" s="29" t="s">
        <v>229</v>
      </c>
      <c r="J2" s="29" t="s">
        <v>230</v>
      </c>
      <c r="L2" s="6" t="s">
        <v>7</v>
      </c>
      <c r="M2" s="6" t="s">
        <v>98</v>
      </c>
    </row>
    <row r="3">
      <c r="A3" s="7"/>
      <c r="B3" s="7"/>
      <c r="C3" s="22"/>
      <c r="D3" s="22"/>
      <c r="E3" s="7"/>
      <c r="F3" s="17"/>
      <c r="G3" s="7"/>
      <c r="H3" s="22"/>
      <c r="I3" s="7"/>
      <c r="J3" s="7"/>
      <c r="L3" s="7" t="s">
        <v>229</v>
      </c>
      <c r="M3" s="7" t="str">
        <f>COUNTIF(I3:I150,L3)</f>
        <v>0</v>
      </c>
    </row>
    <row r="4">
      <c r="A4" s="7"/>
      <c r="B4" s="7"/>
      <c r="C4" s="22"/>
      <c r="D4" s="22"/>
      <c r="E4" s="7"/>
      <c r="F4" s="17"/>
      <c r="G4" s="7"/>
      <c r="H4" s="22"/>
      <c r="I4" s="7"/>
      <c r="J4" s="7"/>
      <c r="L4" s="7" t="s">
        <v>231</v>
      </c>
      <c r="M4" s="7" t="str">
        <f>COUNTIF(I3:I150,L4)</f>
        <v>0</v>
      </c>
    </row>
    <row r="5">
      <c r="A5" s="7"/>
      <c r="B5" s="7"/>
      <c r="C5" s="22"/>
      <c r="D5" s="22"/>
      <c r="E5" s="7"/>
      <c r="F5" s="17"/>
      <c r="G5" s="7"/>
      <c r="H5" s="22"/>
      <c r="I5" s="7"/>
      <c r="J5" s="7"/>
      <c r="L5" s="7" t="s">
        <v>232</v>
      </c>
      <c r="M5" s="7" t="str">
        <f>COUNTIF(I3:I150,L5)</f>
        <v>0</v>
      </c>
    </row>
    <row r="6">
      <c r="A6" s="7"/>
      <c r="B6" s="7"/>
      <c r="C6" s="22"/>
      <c r="D6" s="22"/>
      <c r="E6" s="7"/>
      <c r="F6" s="17"/>
      <c r="G6" s="7"/>
      <c r="H6" s="22"/>
      <c r="I6" s="7"/>
      <c r="J6" s="7"/>
      <c r="L6" s="7" t="s">
        <v>233</v>
      </c>
      <c r="M6" s="7" t="str">
        <f>COUNTIF(I3:I150,L6)</f>
        <v>0</v>
      </c>
    </row>
    <row r="7">
      <c r="A7" s="7"/>
      <c r="B7" s="7"/>
      <c r="C7" s="22"/>
      <c r="D7" s="22"/>
      <c r="E7" s="7"/>
      <c r="F7" s="17"/>
      <c r="G7" s="7"/>
      <c r="H7" s="22"/>
      <c r="I7" s="7"/>
      <c r="J7" s="7"/>
    </row>
    <row r="8">
      <c r="A8" s="7"/>
      <c r="B8" s="7"/>
      <c r="C8" s="22"/>
      <c r="D8" s="22"/>
      <c r="E8" s="7"/>
      <c r="F8" s="17"/>
      <c r="G8" s="7"/>
      <c r="H8" s="22"/>
      <c r="I8" s="7"/>
      <c r="J8" s="7"/>
    </row>
    <row r="9">
      <c r="A9" s="7"/>
      <c r="B9" s="7"/>
      <c r="C9" s="22"/>
      <c r="D9" s="22"/>
      <c r="E9" s="7"/>
      <c r="F9" s="17"/>
      <c r="G9" s="7"/>
      <c r="H9" s="22"/>
      <c r="I9" s="7"/>
      <c r="J9" s="7"/>
    </row>
    <row r="10">
      <c r="A10" s="7"/>
      <c r="B10" s="7"/>
      <c r="C10" s="22"/>
      <c r="D10" s="22"/>
      <c r="E10" s="7"/>
      <c r="F10" s="17"/>
      <c r="G10" s="7"/>
      <c r="H10" s="22"/>
      <c r="I10" s="7"/>
      <c r="J10" s="7"/>
    </row>
    <row r="11">
      <c r="A11" s="7"/>
      <c r="B11" s="7"/>
      <c r="C11" s="22"/>
      <c r="D11" s="22"/>
      <c r="E11" s="7"/>
      <c r="F11" s="17"/>
      <c r="G11" s="7"/>
      <c r="H11" s="22"/>
      <c r="I11" s="7"/>
      <c r="J11" s="7"/>
    </row>
    <row r="12">
      <c r="A12" s="7"/>
      <c r="B12" s="7"/>
      <c r="C12" s="22"/>
      <c r="D12" s="22"/>
      <c r="E12" s="7"/>
      <c r="F12" s="17"/>
      <c r="G12" s="7"/>
      <c r="H12" s="22"/>
      <c r="I12" s="7"/>
      <c r="J12" s="7"/>
    </row>
    <row r="13">
      <c r="A13" s="7"/>
      <c r="B13" s="7"/>
      <c r="C13" s="22"/>
      <c r="D13" s="22"/>
      <c r="E13" s="7"/>
      <c r="F13" s="17"/>
      <c r="G13" s="7"/>
      <c r="H13" s="22"/>
      <c r="I13" s="7"/>
      <c r="J13" s="7"/>
    </row>
    <row r="14">
      <c r="A14" s="7"/>
      <c r="B14" s="7"/>
      <c r="C14" s="22"/>
      <c r="D14" s="22"/>
      <c r="E14" s="7"/>
      <c r="F14" s="17"/>
      <c r="G14" s="7"/>
      <c r="H14" s="22"/>
      <c r="I14" s="7"/>
      <c r="J14" s="7"/>
    </row>
    <row r="15">
      <c r="A15" s="7"/>
      <c r="B15" s="7"/>
      <c r="C15" s="22"/>
      <c r="D15" s="22"/>
      <c r="E15" s="7"/>
      <c r="F15" s="17"/>
      <c r="G15" s="7"/>
      <c r="H15" s="22"/>
      <c r="I15" s="7"/>
      <c r="J15" s="7"/>
    </row>
    <row r="16">
      <c r="A16" s="7"/>
      <c r="B16" s="7"/>
      <c r="C16" s="22"/>
      <c r="D16" s="22"/>
      <c r="E16" s="7"/>
      <c r="F16" s="17"/>
      <c r="G16" s="7"/>
      <c r="H16" s="22"/>
      <c r="I16" s="7"/>
      <c r="J16" s="7"/>
    </row>
    <row r="17">
      <c r="A17" s="7"/>
      <c r="B17" s="7"/>
      <c r="C17" s="22"/>
      <c r="D17" s="22"/>
      <c r="E17" s="7"/>
      <c r="F17" s="17"/>
      <c r="G17" s="7"/>
      <c r="H17" s="22"/>
      <c r="I17" s="7"/>
      <c r="J17" s="7"/>
    </row>
    <row r="18">
      <c r="A18" s="7"/>
      <c r="B18" s="7"/>
      <c r="C18" s="22"/>
      <c r="D18" s="22"/>
      <c r="E18" s="7"/>
      <c r="F18" s="17"/>
      <c r="G18" s="7"/>
      <c r="H18" s="22"/>
      <c r="I18" s="7"/>
      <c r="J18" s="7"/>
    </row>
    <row r="19">
      <c r="A19" s="7"/>
      <c r="B19" s="7"/>
      <c r="C19" s="22"/>
      <c r="D19" s="22"/>
      <c r="E19" s="7"/>
      <c r="F19" s="17"/>
      <c r="G19" s="7"/>
      <c r="H19" s="22"/>
      <c r="I19" s="7"/>
      <c r="J19" s="7"/>
    </row>
    <row r="20">
      <c r="A20" s="7"/>
      <c r="B20" s="7"/>
      <c r="C20" s="22"/>
      <c r="D20" s="22"/>
      <c r="E20" s="7"/>
      <c r="F20" s="17"/>
      <c r="G20" s="7"/>
      <c r="H20" s="22"/>
      <c r="I20" s="7"/>
      <c r="J20" s="7"/>
    </row>
    <row r="21" ht="15.75" customHeight="1">
      <c r="A21" s="7"/>
      <c r="B21" s="7"/>
      <c r="C21" s="22"/>
      <c r="D21" s="22"/>
      <c r="E21" s="7"/>
      <c r="F21" s="17"/>
      <c r="G21" s="7"/>
      <c r="H21" s="22"/>
      <c r="I21" s="7"/>
      <c r="J21" s="7"/>
    </row>
    <row r="22" ht="15.75" customHeight="1">
      <c r="A22" s="7"/>
      <c r="B22" s="7"/>
      <c r="C22" s="22"/>
      <c r="D22" s="22"/>
      <c r="E22" s="7"/>
      <c r="F22" s="17"/>
      <c r="G22" s="7"/>
      <c r="H22" s="22"/>
      <c r="I22" s="7"/>
      <c r="J22" s="7"/>
    </row>
    <row r="23" ht="15.75" customHeight="1">
      <c r="A23" s="7"/>
      <c r="B23" s="7"/>
      <c r="C23" s="22"/>
      <c r="D23" s="22"/>
      <c r="E23" s="7"/>
      <c r="F23" s="17"/>
      <c r="G23" s="7"/>
      <c r="H23" s="22"/>
      <c r="I23" s="7"/>
      <c r="J23" s="7"/>
    </row>
    <row r="24" ht="15.75" customHeight="1">
      <c r="A24" s="7"/>
      <c r="B24" s="7"/>
      <c r="C24" s="22"/>
      <c r="D24" s="22"/>
      <c r="E24" s="7"/>
      <c r="F24" s="17"/>
      <c r="G24" s="7"/>
      <c r="H24" s="22"/>
      <c r="I24" s="7"/>
      <c r="J24" s="7"/>
    </row>
    <row r="25" ht="15.75" customHeight="1">
      <c r="A25" s="7"/>
      <c r="B25" s="7"/>
      <c r="C25" s="22"/>
      <c r="D25" s="22"/>
      <c r="E25" s="7"/>
      <c r="F25" s="17"/>
      <c r="G25" s="7"/>
      <c r="H25" s="22"/>
      <c r="I25" s="7"/>
      <c r="J25" s="7"/>
    </row>
    <row r="26" ht="15.75" customHeight="1">
      <c r="A26" s="7"/>
      <c r="B26" s="7"/>
      <c r="C26" s="22"/>
      <c r="D26" s="22"/>
      <c r="E26" s="7"/>
      <c r="F26" s="17"/>
      <c r="G26" s="7"/>
      <c r="H26" s="22"/>
      <c r="I26" s="7"/>
      <c r="J26" s="7"/>
    </row>
    <row r="27" ht="15.75" customHeight="1">
      <c r="A27" s="7"/>
      <c r="B27" s="7"/>
      <c r="C27" s="22"/>
      <c r="D27" s="22"/>
      <c r="E27" s="7"/>
      <c r="F27" s="17"/>
      <c r="G27" s="7"/>
      <c r="H27" s="22"/>
      <c r="I27" s="7"/>
      <c r="J27" s="7"/>
    </row>
    <row r="28" ht="15.75" customHeight="1">
      <c r="A28" s="7"/>
      <c r="B28" s="7"/>
      <c r="C28" s="22"/>
      <c r="D28" s="22"/>
      <c r="E28" s="7"/>
      <c r="F28" s="17"/>
      <c r="G28" s="7"/>
      <c r="H28" s="22"/>
      <c r="I28" s="7"/>
      <c r="J28" s="7"/>
    </row>
    <row r="29" ht="15.75" customHeight="1">
      <c r="A29" s="7"/>
      <c r="B29" s="7"/>
      <c r="C29" s="22"/>
      <c r="D29" s="22"/>
      <c r="E29" s="7"/>
      <c r="F29" s="17"/>
      <c r="G29" s="7"/>
      <c r="H29" s="22"/>
      <c r="I29" s="7"/>
      <c r="J29" s="7"/>
    </row>
    <row r="30" ht="15.75" customHeight="1">
      <c r="A30" s="7"/>
      <c r="B30" s="7"/>
      <c r="C30" s="22"/>
      <c r="D30" s="22"/>
      <c r="E30" s="7"/>
      <c r="F30" s="17"/>
      <c r="G30" s="7"/>
      <c r="H30" s="22"/>
      <c r="I30" s="7"/>
      <c r="J30" s="7"/>
    </row>
    <row r="31" ht="15.75" customHeight="1">
      <c r="A31" s="7"/>
      <c r="B31" s="7"/>
      <c r="C31" s="22"/>
      <c r="D31" s="22"/>
      <c r="E31" s="7"/>
      <c r="F31" s="17"/>
      <c r="G31" s="7"/>
      <c r="H31" s="22"/>
      <c r="I31" s="7"/>
      <c r="J31" s="7"/>
    </row>
    <row r="32" ht="15.75" customHeight="1">
      <c r="A32" s="7"/>
      <c r="B32" s="7"/>
      <c r="C32" s="22"/>
      <c r="D32" s="22"/>
      <c r="E32" s="7"/>
      <c r="F32" s="17"/>
      <c r="G32" s="7"/>
      <c r="H32" s="22"/>
      <c r="I32" s="7"/>
      <c r="J32" s="7"/>
    </row>
    <row r="33" ht="15.75" customHeight="1">
      <c r="A33" s="7"/>
      <c r="B33" s="7"/>
      <c r="C33" s="22"/>
      <c r="D33" s="22"/>
      <c r="E33" s="7"/>
      <c r="F33" s="17"/>
      <c r="G33" s="7"/>
      <c r="H33" s="22"/>
      <c r="I33" s="7"/>
      <c r="J33" s="7"/>
    </row>
    <row r="34" ht="15.75" customHeight="1">
      <c r="A34" s="7"/>
      <c r="B34" s="7"/>
      <c r="C34" s="22"/>
      <c r="D34" s="22"/>
      <c r="E34" s="7"/>
      <c r="F34" s="17"/>
      <c r="G34" s="7"/>
      <c r="H34" s="22"/>
      <c r="I34" s="7"/>
      <c r="J34" s="7"/>
    </row>
    <row r="35" ht="15.75" customHeight="1">
      <c r="A35" s="7"/>
      <c r="B35" s="7"/>
      <c r="C35" s="22"/>
      <c r="D35" s="22"/>
      <c r="E35" s="7"/>
      <c r="F35" s="17"/>
      <c r="G35" s="7"/>
      <c r="H35" s="22"/>
      <c r="I35" s="7"/>
      <c r="J35" s="7"/>
    </row>
    <row r="36" ht="15.75" customHeight="1">
      <c r="A36" s="7"/>
      <c r="B36" s="7"/>
      <c r="C36" s="22"/>
      <c r="D36" s="22"/>
      <c r="E36" s="7"/>
      <c r="F36" s="17"/>
      <c r="G36" s="7"/>
      <c r="H36" s="22"/>
      <c r="I36" s="7"/>
      <c r="J36" s="7"/>
    </row>
    <row r="37" ht="15.75" customHeight="1">
      <c r="A37" s="7"/>
      <c r="B37" s="7"/>
      <c r="C37" s="22"/>
      <c r="D37" s="22"/>
      <c r="E37" s="7"/>
      <c r="F37" s="17"/>
      <c r="G37" s="7"/>
      <c r="H37" s="22"/>
      <c r="I37" s="7"/>
      <c r="J37" s="7"/>
    </row>
    <row r="38" ht="15.75" customHeight="1">
      <c r="A38" s="7"/>
      <c r="B38" s="7"/>
      <c r="C38" s="22"/>
      <c r="D38" s="22"/>
      <c r="E38" s="7"/>
      <c r="F38" s="17"/>
      <c r="G38" s="7"/>
      <c r="H38" s="22"/>
      <c r="I38" s="7"/>
      <c r="J38" s="7"/>
    </row>
    <row r="39" ht="15.75" customHeight="1">
      <c r="A39" s="7"/>
      <c r="B39" s="7"/>
      <c r="C39" s="22"/>
      <c r="D39" s="22"/>
      <c r="E39" s="7"/>
      <c r="F39" s="17"/>
      <c r="G39" s="7"/>
      <c r="H39" s="22"/>
      <c r="I39" s="7"/>
      <c r="J39" s="7"/>
    </row>
    <row r="40" ht="15.75" customHeight="1">
      <c r="A40" s="7"/>
      <c r="B40" s="7"/>
      <c r="C40" s="22"/>
      <c r="D40" s="22"/>
      <c r="E40" s="7"/>
      <c r="F40" s="17"/>
      <c r="G40" s="7"/>
      <c r="H40" s="22"/>
      <c r="I40" s="7"/>
      <c r="J40" s="7"/>
    </row>
    <row r="41" ht="15.75" customHeight="1">
      <c r="A41" s="7"/>
      <c r="B41" s="7"/>
      <c r="C41" s="22"/>
      <c r="D41" s="22"/>
      <c r="E41" s="7"/>
      <c r="F41" s="17"/>
      <c r="G41" s="7"/>
      <c r="H41" s="22"/>
      <c r="I41" s="7"/>
      <c r="J41" s="7"/>
    </row>
    <row r="42" ht="15.75" customHeight="1">
      <c r="A42" s="7"/>
      <c r="B42" s="7"/>
      <c r="C42" s="22"/>
      <c r="D42" s="22"/>
      <c r="E42" s="7"/>
      <c r="F42" s="17"/>
      <c r="G42" s="7"/>
      <c r="H42" s="22"/>
      <c r="I42" s="7"/>
      <c r="J42" s="7"/>
    </row>
    <row r="43" ht="15.75" customHeight="1">
      <c r="A43" s="7"/>
      <c r="B43" s="7"/>
      <c r="C43" s="22"/>
      <c r="D43" s="22"/>
      <c r="E43" s="7"/>
      <c r="F43" s="17"/>
      <c r="G43" s="7"/>
      <c r="H43" s="22"/>
      <c r="I43" s="7"/>
      <c r="J43" s="7"/>
    </row>
    <row r="44" ht="15.75" customHeight="1">
      <c r="A44" s="7"/>
      <c r="B44" s="7"/>
      <c r="C44" s="22"/>
      <c r="D44" s="22"/>
      <c r="E44" s="7"/>
      <c r="F44" s="17"/>
      <c r="G44" s="7"/>
      <c r="H44" s="22"/>
      <c r="I44" s="7"/>
      <c r="J44" s="7"/>
    </row>
    <row r="45" ht="15.75" customHeight="1">
      <c r="A45" s="7"/>
      <c r="B45" s="7"/>
      <c r="C45" s="22"/>
      <c r="D45" s="22"/>
      <c r="E45" s="7"/>
      <c r="F45" s="17"/>
      <c r="G45" s="7"/>
      <c r="H45" s="22"/>
      <c r="I45" s="7"/>
      <c r="J45" s="7"/>
    </row>
    <row r="46" ht="15.75" customHeight="1">
      <c r="A46" s="7"/>
      <c r="B46" s="7"/>
      <c r="C46" s="22"/>
      <c r="D46" s="22"/>
      <c r="E46" s="7"/>
      <c r="F46" s="17"/>
      <c r="G46" s="7"/>
      <c r="H46" s="22"/>
      <c r="I46" s="7"/>
      <c r="J46" s="7"/>
    </row>
    <row r="47" ht="15.75" customHeight="1">
      <c r="A47" s="7"/>
      <c r="B47" s="7"/>
      <c r="C47" s="22"/>
      <c r="D47" s="22"/>
      <c r="E47" s="7"/>
      <c r="F47" s="17"/>
      <c r="G47" s="7"/>
      <c r="H47" s="22"/>
      <c r="I47" s="7"/>
      <c r="J47" s="7"/>
    </row>
    <row r="48" ht="15.75" customHeight="1">
      <c r="A48" s="7"/>
      <c r="B48" s="7"/>
      <c r="C48" s="22"/>
      <c r="D48" s="22"/>
      <c r="E48" s="7"/>
      <c r="F48" s="17"/>
      <c r="G48" s="7"/>
      <c r="H48" s="22"/>
      <c r="I48" s="7"/>
      <c r="J48" s="7"/>
    </row>
    <row r="49" ht="15.75" customHeight="1">
      <c r="A49" s="7"/>
      <c r="B49" s="7"/>
      <c r="C49" s="22"/>
      <c r="D49" s="22"/>
      <c r="E49" s="7"/>
      <c r="F49" s="17"/>
      <c r="G49" s="7"/>
      <c r="H49" s="22"/>
      <c r="I49" s="7"/>
      <c r="J49" s="7"/>
    </row>
    <row r="50" ht="15.75" customHeight="1">
      <c r="A50" s="7"/>
      <c r="B50" s="7"/>
      <c r="C50" s="22"/>
      <c r="D50" s="22"/>
      <c r="E50" s="7"/>
      <c r="F50" s="17"/>
      <c r="G50" s="7"/>
      <c r="H50" s="22"/>
      <c r="I50" s="7"/>
      <c r="J50" s="7"/>
    </row>
    <row r="51" ht="15.75" customHeight="1">
      <c r="A51" s="7"/>
      <c r="B51" s="7"/>
      <c r="C51" s="22"/>
      <c r="D51" s="22"/>
      <c r="E51" s="7"/>
      <c r="F51" s="17"/>
      <c r="G51" s="7"/>
      <c r="H51" s="22"/>
      <c r="I51" s="7"/>
      <c r="J51" s="7"/>
    </row>
    <row r="52" ht="15.75" customHeight="1">
      <c r="A52" s="7"/>
      <c r="B52" s="7"/>
      <c r="C52" s="22"/>
      <c r="D52" s="22"/>
      <c r="E52" s="7"/>
      <c r="F52" s="17"/>
      <c r="G52" s="7"/>
      <c r="H52" s="22"/>
      <c r="I52" s="7"/>
      <c r="J52" s="7"/>
    </row>
    <row r="53" ht="15.75" customHeight="1">
      <c r="A53" s="7"/>
      <c r="B53" s="7"/>
      <c r="C53" s="22"/>
      <c r="D53" s="22"/>
      <c r="E53" s="7"/>
      <c r="F53" s="17"/>
      <c r="G53" s="7"/>
      <c r="H53" s="22"/>
      <c r="I53" s="7"/>
      <c r="J53" s="7"/>
    </row>
    <row r="54" ht="15.75" customHeight="1">
      <c r="A54" s="7"/>
      <c r="B54" s="7"/>
      <c r="C54" s="22"/>
      <c r="D54" s="22"/>
      <c r="E54" s="7"/>
      <c r="F54" s="17"/>
      <c r="G54" s="7"/>
      <c r="H54" s="22"/>
      <c r="I54" s="7"/>
      <c r="J54" s="7"/>
    </row>
    <row r="55" ht="15.75" customHeight="1">
      <c r="A55" s="7"/>
      <c r="B55" s="7"/>
      <c r="C55" s="22"/>
      <c r="D55" s="22"/>
      <c r="E55" s="7"/>
      <c r="F55" s="17"/>
      <c r="G55" s="7"/>
      <c r="H55" s="22"/>
      <c r="I55" s="7"/>
      <c r="J55" s="7"/>
    </row>
    <row r="56" ht="15.75" customHeight="1">
      <c r="A56" s="7"/>
      <c r="B56" s="7"/>
      <c r="C56" s="22"/>
      <c r="D56" s="22"/>
      <c r="E56" s="7"/>
      <c r="F56" s="17"/>
      <c r="G56" s="7"/>
      <c r="H56" s="22"/>
      <c r="I56" s="7"/>
      <c r="J56" s="7"/>
    </row>
    <row r="57" ht="15.75" customHeight="1">
      <c r="A57" s="7"/>
      <c r="B57" s="7"/>
      <c r="C57" s="22"/>
      <c r="D57" s="22"/>
      <c r="E57" s="7"/>
      <c r="F57" s="17"/>
      <c r="G57" s="7"/>
      <c r="H57" s="22"/>
      <c r="I57" s="7"/>
      <c r="J57" s="7"/>
    </row>
    <row r="58" ht="15.75" customHeight="1">
      <c r="A58" s="7"/>
      <c r="B58" s="7"/>
      <c r="C58" s="22"/>
      <c r="D58" s="22"/>
      <c r="E58" s="7"/>
      <c r="F58" s="17"/>
      <c r="G58" s="7"/>
      <c r="H58" s="22"/>
      <c r="I58" s="7"/>
      <c r="J58" s="7"/>
    </row>
    <row r="59" ht="15.75" customHeight="1">
      <c r="A59" s="7"/>
      <c r="B59" s="7"/>
      <c r="C59" s="22"/>
      <c r="D59" s="22"/>
      <c r="E59" s="7"/>
      <c r="F59" s="17"/>
      <c r="G59" s="7"/>
      <c r="H59" s="22"/>
      <c r="I59" s="7"/>
      <c r="J59" s="7"/>
    </row>
    <row r="60" ht="15.75" customHeight="1">
      <c r="A60" s="7"/>
      <c r="B60" s="7"/>
      <c r="C60" s="22"/>
      <c r="D60" s="22"/>
      <c r="E60" s="7"/>
      <c r="F60" s="17"/>
      <c r="G60" s="7"/>
      <c r="H60" s="22"/>
      <c r="I60" s="7"/>
      <c r="J60" s="7"/>
    </row>
    <row r="61" ht="15.75" customHeight="1">
      <c r="A61" s="7"/>
      <c r="B61" s="7"/>
      <c r="C61" s="22"/>
      <c r="D61" s="22"/>
      <c r="E61" s="7"/>
      <c r="F61" s="17"/>
      <c r="G61" s="7"/>
      <c r="H61" s="22"/>
      <c r="I61" s="7"/>
      <c r="J61" s="7"/>
    </row>
    <row r="62" ht="15.75" customHeight="1">
      <c r="A62" s="7"/>
      <c r="B62" s="7"/>
      <c r="C62" s="22"/>
      <c r="D62" s="22"/>
      <c r="E62" s="7"/>
      <c r="F62" s="17"/>
      <c r="G62" s="7"/>
      <c r="H62" s="22"/>
      <c r="I62" s="7"/>
      <c r="J62" s="7"/>
    </row>
    <row r="63" ht="15.75" customHeight="1">
      <c r="A63" s="7"/>
      <c r="B63" s="7"/>
      <c r="C63" s="22"/>
      <c r="D63" s="22"/>
      <c r="E63" s="7"/>
      <c r="F63" s="17"/>
      <c r="G63" s="7"/>
      <c r="H63" s="22"/>
      <c r="I63" s="7"/>
      <c r="J63" s="7"/>
    </row>
    <row r="64" ht="15.75" customHeight="1">
      <c r="A64" s="7"/>
      <c r="B64" s="7"/>
      <c r="C64" s="22"/>
      <c r="D64" s="22"/>
      <c r="E64" s="7"/>
      <c r="F64" s="17"/>
      <c r="G64" s="7"/>
      <c r="H64" s="22"/>
      <c r="I64" s="7"/>
      <c r="J64" s="7"/>
    </row>
    <row r="65" ht="15.75" customHeight="1">
      <c r="A65" s="7"/>
      <c r="B65" s="7"/>
      <c r="C65" s="22"/>
      <c r="D65" s="22"/>
      <c r="E65" s="7"/>
      <c r="F65" s="17"/>
      <c r="G65" s="7"/>
      <c r="H65" s="22"/>
      <c r="I65" s="7"/>
      <c r="J65" s="7"/>
    </row>
    <row r="66" ht="15.75" customHeight="1">
      <c r="A66" s="7"/>
      <c r="B66" s="7"/>
      <c r="C66" s="22"/>
      <c r="D66" s="22"/>
      <c r="E66" s="7"/>
      <c r="F66" s="17"/>
      <c r="G66" s="7"/>
      <c r="H66" s="22"/>
      <c r="I66" s="7"/>
      <c r="J66" s="7"/>
    </row>
    <row r="67" ht="15.75" customHeight="1">
      <c r="A67" s="7"/>
      <c r="B67" s="7"/>
      <c r="C67" s="22"/>
      <c r="D67" s="22"/>
      <c r="E67" s="7"/>
      <c r="F67" s="17"/>
      <c r="G67" s="7"/>
      <c r="H67" s="22"/>
      <c r="I67" s="7"/>
      <c r="J67" s="7"/>
    </row>
    <row r="68" ht="15.75" customHeight="1">
      <c r="A68" s="7"/>
      <c r="B68" s="7"/>
      <c r="C68" s="22"/>
      <c r="D68" s="22"/>
      <c r="E68" s="7"/>
      <c r="F68" s="17"/>
      <c r="G68" s="7"/>
      <c r="H68" s="22"/>
      <c r="I68" s="7"/>
      <c r="J68" s="7"/>
    </row>
    <row r="69" ht="15.75" customHeight="1">
      <c r="A69" s="7"/>
      <c r="B69" s="7"/>
      <c r="C69" s="22"/>
      <c r="D69" s="22"/>
      <c r="E69" s="7"/>
      <c r="F69" s="17"/>
      <c r="G69" s="7"/>
      <c r="H69" s="22"/>
      <c r="I69" s="7"/>
      <c r="J69" s="7"/>
    </row>
    <row r="70" ht="15.75" customHeight="1">
      <c r="A70" s="7"/>
      <c r="B70" s="7"/>
      <c r="C70" s="22"/>
      <c r="D70" s="22"/>
      <c r="E70" s="7"/>
      <c r="F70" s="17"/>
      <c r="G70" s="7"/>
      <c r="H70" s="22"/>
      <c r="I70" s="7"/>
      <c r="J70" s="7"/>
    </row>
    <row r="71" ht="15.75" customHeight="1">
      <c r="A71" s="7"/>
      <c r="B71" s="7"/>
      <c r="C71" s="22"/>
      <c r="D71" s="22"/>
      <c r="E71" s="7"/>
      <c r="F71" s="17"/>
      <c r="G71" s="7"/>
      <c r="H71" s="22"/>
      <c r="I71" s="7"/>
      <c r="J71" s="7"/>
    </row>
    <row r="72" ht="15.75" customHeight="1">
      <c r="A72" s="7"/>
      <c r="B72" s="7"/>
      <c r="C72" s="22"/>
      <c r="D72" s="22"/>
      <c r="E72" s="7"/>
      <c r="F72" s="17"/>
      <c r="G72" s="7"/>
      <c r="H72" s="22"/>
      <c r="I72" s="7"/>
      <c r="J72" s="7"/>
    </row>
    <row r="73" ht="15.75" customHeight="1">
      <c r="A73" s="7"/>
      <c r="B73" s="7"/>
      <c r="C73" s="22"/>
      <c r="D73" s="22"/>
      <c r="E73" s="7"/>
      <c r="F73" s="17"/>
      <c r="G73" s="7"/>
      <c r="H73" s="22"/>
      <c r="I73" s="7"/>
      <c r="J73" s="7"/>
    </row>
    <row r="74" ht="15.75" customHeight="1">
      <c r="A74" s="7"/>
      <c r="B74" s="7"/>
      <c r="C74" s="22"/>
      <c r="D74" s="22"/>
      <c r="E74" s="7"/>
      <c r="F74" s="17"/>
      <c r="G74" s="7"/>
      <c r="H74" s="22"/>
      <c r="I74" s="7"/>
      <c r="J74" s="7"/>
    </row>
    <row r="75" ht="15.75" customHeight="1">
      <c r="A75" s="7"/>
      <c r="B75" s="7"/>
      <c r="C75" s="22"/>
      <c r="D75" s="22"/>
      <c r="E75" s="7"/>
      <c r="F75" s="17"/>
      <c r="G75" s="7"/>
      <c r="H75" s="22"/>
      <c r="I75" s="7"/>
      <c r="J75" s="7"/>
    </row>
    <row r="76" ht="15.75" customHeight="1">
      <c r="A76" s="7"/>
      <c r="B76" s="7"/>
      <c r="C76" s="22"/>
      <c r="D76" s="22"/>
      <c r="E76" s="7"/>
      <c r="F76" s="17"/>
      <c r="G76" s="7"/>
      <c r="H76" s="22"/>
      <c r="I76" s="7"/>
      <c r="J76" s="7"/>
    </row>
    <row r="77" ht="15.75" customHeight="1">
      <c r="A77" s="7"/>
      <c r="B77" s="7"/>
      <c r="C77" s="22"/>
      <c r="D77" s="22"/>
      <c r="E77" s="7"/>
      <c r="F77" s="17"/>
      <c r="G77" s="7"/>
      <c r="H77" s="22"/>
      <c r="I77" s="7"/>
      <c r="J77" s="7"/>
    </row>
    <row r="78" ht="15.75" customHeight="1">
      <c r="A78" s="7"/>
      <c r="B78" s="7"/>
      <c r="C78" s="22"/>
      <c r="D78" s="22"/>
      <c r="E78" s="7"/>
      <c r="F78" s="17"/>
      <c r="G78" s="7"/>
      <c r="H78" s="22"/>
      <c r="I78" s="7"/>
      <c r="J78" s="7"/>
    </row>
    <row r="79" ht="15.75" customHeight="1">
      <c r="A79" s="7"/>
      <c r="B79" s="7"/>
      <c r="C79" s="22"/>
      <c r="D79" s="22"/>
      <c r="E79" s="7"/>
      <c r="F79" s="17"/>
      <c r="G79" s="7"/>
      <c r="H79" s="22"/>
      <c r="I79" s="7"/>
      <c r="J79" s="7"/>
    </row>
    <row r="80" ht="15.75" customHeight="1">
      <c r="A80" s="7"/>
      <c r="B80" s="7"/>
      <c r="C80" s="22"/>
      <c r="D80" s="22"/>
      <c r="E80" s="7"/>
      <c r="F80" s="17"/>
      <c r="G80" s="7"/>
      <c r="H80" s="22"/>
      <c r="I80" s="7"/>
      <c r="J80" s="7"/>
    </row>
    <row r="81" ht="15.75" customHeight="1">
      <c r="A81" s="7"/>
      <c r="B81" s="7"/>
      <c r="C81" s="22"/>
      <c r="D81" s="22"/>
      <c r="E81" s="7"/>
      <c r="F81" s="17"/>
      <c r="G81" s="7"/>
      <c r="H81" s="22"/>
      <c r="I81" s="7"/>
      <c r="J81" s="7"/>
    </row>
    <row r="82" ht="15.75" customHeight="1">
      <c r="A82" s="7"/>
      <c r="B82" s="7"/>
      <c r="C82" s="22"/>
      <c r="D82" s="22"/>
      <c r="E82" s="7"/>
      <c r="F82" s="17"/>
      <c r="G82" s="7"/>
      <c r="H82" s="22"/>
      <c r="I82" s="7"/>
      <c r="J82" s="7"/>
    </row>
    <row r="83" ht="15.75" customHeight="1">
      <c r="A83" s="7"/>
      <c r="B83" s="7"/>
      <c r="C83" s="22"/>
      <c r="D83" s="22"/>
      <c r="E83" s="7"/>
      <c r="F83" s="17"/>
      <c r="G83" s="7"/>
      <c r="H83" s="22"/>
      <c r="I83" s="7"/>
      <c r="J83" s="7"/>
    </row>
    <row r="84" ht="15.75" customHeight="1">
      <c r="A84" s="7"/>
      <c r="B84" s="7"/>
      <c r="C84" s="22"/>
      <c r="D84" s="22"/>
      <c r="E84" s="7"/>
      <c r="F84" s="17"/>
      <c r="G84" s="7"/>
      <c r="H84" s="22"/>
      <c r="I84" s="7"/>
      <c r="J84" s="7"/>
    </row>
    <row r="85" ht="15.75" customHeight="1">
      <c r="A85" s="7"/>
      <c r="B85" s="7"/>
      <c r="C85" s="22"/>
      <c r="D85" s="22"/>
      <c r="E85" s="7"/>
      <c r="F85" s="17"/>
      <c r="G85" s="7"/>
      <c r="H85" s="22"/>
      <c r="I85" s="7"/>
      <c r="J85" s="7"/>
    </row>
    <row r="86" ht="15.75" customHeight="1">
      <c r="A86" s="7"/>
      <c r="B86" s="7"/>
      <c r="C86" s="22"/>
      <c r="D86" s="22"/>
      <c r="E86" s="7"/>
      <c r="F86" s="17"/>
      <c r="G86" s="7"/>
      <c r="H86" s="22"/>
      <c r="I86" s="7"/>
      <c r="J86" s="7"/>
    </row>
    <row r="87" ht="15.75" customHeight="1">
      <c r="A87" s="7"/>
      <c r="B87" s="7"/>
      <c r="C87" s="22"/>
      <c r="D87" s="22"/>
      <c r="E87" s="7"/>
      <c r="F87" s="17"/>
      <c r="G87" s="7"/>
      <c r="H87" s="22"/>
      <c r="I87" s="7"/>
      <c r="J87" s="7"/>
    </row>
    <row r="88" ht="15.75" customHeight="1">
      <c r="A88" s="7"/>
      <c r="B88" s="7"/>
      <c r="C88" s="22"/>
      <c r="D88" s="22"/>
      <c r="E88" s="7"/>
      <c r="F88" s="17"/>
      <c r="G88" s="7"/>
      <c r="H88" s="22"/>
      <c r="I88" s="7"/>
      <c r="J88" s="7"/>
    </row>
    <row r="89" ht="15.75" customHeight="1">
      <c r="A89" s="7"/>
      <c r="B89" s="7"/>
      <c r="C89" s="22"/>
      <c r="D89" s="22"/>
      <c r="E89" s="7"/>
      <c r="F89" s="17"/>
      <c r="G89" s="7"/>
      <c r="H89" s="22"/>
      <c r="I89" s="7"/>
      <c r="J89" s="7"/>
    </row>
    <row r="90" ht="15.75" customHeight="1">
      <c r="A90" s="7"/>
      <c r="B90" s="7"/>
      <c r="C90" s="22"/>
      <c r="D90" s="22"/>
      <c r="E90" s="7"/>
      <c r="F90" s="17"/>
      <c r="G90" s="7"/>
      <c r="H90" s="22"/>
      <c r="I90" s="7"/>
      <c r="J90" s="7"/>
    </row>
    <row r="91" ht="15.75" customHeight="1">
      <c r="A91" s="7"/>
      <c r="B91" s="7"/>
      <c r="C91" s="22"/>
      <c r="D91" s="22"/>
      <c r="E91" s="7"/>
      <c r="F91" s="17"/>
      <c r="G91" s="7"/>
      <c r="H91" s="22"/>
      <c r="I91" s="7"/>
      <c r="J91" s="7"/>
    </row>
    <row r="92" ht="15.75" customHeight="1">
      <c r="A92" s="7"/>
      <c r="B92" s="7"/>
      <c r="C92" s="22"/>
      <c r="D92" s="22"/>
      <c r="E92" s="7"/>
      <c r="F92" s="17"/>
      <c r="G92" s="7"/>
      <c r="H92" s="22"/>
      <c r="I92" s="7"/>
      <c r="J92" s="7"/>
    </row>
    <row r="93" ht="15.75" customHeight="1">
      <c r="A93" s="7"/>
      <c r="B93" s="7"/>
      <c r="C93" s="22"/>
      <c r="D93" s="22"/>
      <c r="E93" s="7"/>
      <c r="F93" s="17"/>
      <c r="G93" s="7"/>
      <c r="H93" s="22"/>
      <c r="I93" s="7"/>
      <c r="J93" s="7"/>
    </row>
    <row r="94" ht="15.75" customHeight="1">
      <c r="A94" s="7"/>
      <c r="B94" s="7"/>
      <c r="C94" s="22"/>
      <c r="D94" s="22"/>
      <c r="E94" s="7"/>
      <c r="F94" s="17"/>
      <c r="G94" s="7"/>
      <c r="H94" s="22"/>
      <c r="I94" s="7"/>
      <c r="J94" s="7"/>
    </row>
    <row r="95" ht="15.75" customHeight="1">
      <c r="A95" s="7"/>
      <c r="B95" s="7"/>
      <c r="C95" s="22"/>
      <c r="D95" s="22"/>
      <c r="E95" s="7"/>
      <c r="F95" s="17"/>
      <c r="G95" s="7"/>
      <c r="H95" s="22"/>
      <c r="I95" s="7"/>
      <c r="J95" s="7"/>
    </row>
    <row r="96" ht="15.75" customHeight="1">
      <c r="A96" s="7"/>
      <c r="B96" s="7"/>
      <c r="C96" s="22"/>
      <c r="D96" s="22"/>
      <c r="E96" s="7"/>
      <c r="F96" s="17"/>
      <c r="G96" s="7"/>
      <c r="H96" s="22"/>
      <c r="I96" s="7"/>
      <c r="J96" s="7"/>
    </row>
    <row r="97" ht="15.75" customHeight="1">
      <c r="A97" s="7"/>
      <c r="B97" s="7"/>
      <c r="C97" s="22"/>
      <c r="D97" s="22"/>
      <c r="E97" s="7"/>
      <c r="F97" s="17"/>
      <c r="G97" s="7"/>
      <c r="H97" s="22"/>
      <c r="I97" s="7"/>
      <c r="J97" s="7"/>
    </row>
    <row r="98" ht="15.75" customHeight="1">
      <c r="A98" s="7"/>
      <c r="B98" s="7"/>
      <c r="C98" s="22"/>
      <c r="D98" s="22"/>
      <c r="E98" s="7"/>
      <c r="F98" s="17"/>
      <c r="G98" s="7"/>
      <c r="H98" s="22"/>
      <c r="I98" s="7"/>
      <c r="J98" s="7"/>
    </row>
    <row r="99" ht="15.75" customHeight="1">
      <c r="A99" s="7"/>
      <c r="B99" s="7"/>
      <c r="C99" s="22"/>
      <c r="D99" s="22"/>
      <c r="E99" s="7"/>
      <c r="F99" s="17"/>
      <c r="G99" s="7"/>
      <c r="H99" s="22"/>
      <c r="I99" s="7"/>
      <c r="J99" s="7"/>
    </row>
    <row r="100" ht="15.75" customHeight="1">
      <c r="A100" s="7"/>
      <c r="B100" s="7"/>
      <c r="C100" s="22"/>
      <c r="D100" s="22"/>
      <c r="E100" s="7"/>
      <c r="F100" s="17"/>
      <c r="G100" s="7"/>
      <c r="H100" s="22"/>
      <c r="I100" s="7"/>
      <c r="J100" s="7"/>
    </row>
    <row r="101" ht="15.75" customHeight="1">
      <c r="A101" s="7"/>
      <c r="B101" s="7"/>
      <c r="C101" s="22"/>
      <c r="D101" s="22"/>
      <c r="E101" s="7"/>
      <c r="F101" s="17"/>
      <c r="G101" s="7"/>
      <c r="H101" s="22"/>
      <c r="I101" s="7"/>
      <c r="J101" s="7"/>
    </row>
    <row r="102" ht="15.75" customHeight="1">
      <c r="A102" s="7"/>
      <c r="B102" s="7"/>
      <c r="C102" s="22"/>
      <c r="D102" s="22"/>
      <c r="E102" s="7"/>
      <c r="F102" s="17"/>
      <c r="G102" s="7"/>
      <c r="H102" s="22"/>
      <c r="I102" s="7"/>
      <c r="J102" s="7"/>
    </row>
    <row r="103" ht="15.75" customHeight="1">
      <c r="A103" s="7"/>
      <c r="B103" s="7"/>
      <c r="C103" s="22"/>
      <c r="D103" s="22"/>
      <c r="E103" s="7"/>
      <c r="F103" s="17"/>
      <c r="G103" s="7"/>
      <c r="H103" s="22"/>
      <c r="I103" s="7"/>
      <c r="J103" s="7"/>
    </row>
    <row r="104" ht="15.75" customHeight="1">
      <c r="A104" s="7"/>
      <c r="B104" s="7"/>
      <c r="C104" s="22"/>
      <c r="D104" s="22"/>
      <c r="E104" s="7"/>
      <c r="F104" s="17"/>
      <c r="G104" s="7"/>
      <c r="H104" s="22"/>
      <c r="I104" s="7"/>
      <c r="J104" s="7"/>
    </row>
    <row r="105" ht="15.75" customHeight="1">
      <c r="A105" s="7"/>
      <c r="B105" s="7"/>
      <c r="C105" s="22"/>
      <c r="D105" s="22"/>
      <c r="E105" s="7"/>
      <c r="F105" s="17"/>
      <c r="G105" s="7"/>
      <c r="H105" s="22"/>
      <c r="I105" s="7"/>
      <c r="J105" s="7"/>
    </row>
    <row r="106" ht="15.75" customHeight="1">
      <c r="A106" s="7"/>
      <c r="B106" s="7"/>
      <c r="C106" s="22"/>
      <c r="D106" s="22"/>
      <c r="E106" s="7"/>
      <c r="F106" s="17"/>
      <c r="G106" s="7"/>
      <c r="H106" s="22"/>
      <c r="I106" s="7"/>
      <c r="J106" s="7"/>
    </row>
    <row r="107" ht="15.75" customHeight="1">
      <c r="A107" s="7"/>
      <c r="B107" s="7"/>
      <c r="C107" s="22"/>
      <c r="D107" s="22"/>
      <c r="E107" s="7"/>
      <c r="F107" s="17"/>
      <c r="G107" s="7"/>
      <c r="H107" s="22"/>
      <c r="I107" s="7"/>
      <c r="J107" s="7"/>
    </row>
    <row r="108" ht="15.75" customHeight="1">
      <c r="A108" s="7"/>
      <c r="B108" s="7"/>
      <c r="C108" s="22"/>
      <c r="D108" s="22"/>
      <c r="E108" s="7"/>
      <c r="F108" s="17"/>
      <c r="G108" s="7"/>
      <c r="H108" s="22"/>
      <c r="I108" s="7"/>
      <c r="J108" s="7"/>
    </row>
    <row r="109" ht="15.75" customHeight="1">
      <c r="A109" s="7"/>
      <c r="B109" s="7"/>
      <c r="C109" s="22"/>
      <c r="D109" s="22"/>
      <c r="E109" s="7"/>
      <c r="F109" s="17"/>
      <c r="G109" s="7"/>
      <c r="H109" s="22"/>
      <c r="I109" s="7"/>
      <c r="J109" s="7"/>
    </row>
    <row r="110" ht="15.75" customHeight="1">
      <c r="A110" s="7"/>
      <c r="B110" s="7"/>
      <c r="C110" s="22"/>
      <c r="D110" s="22"/>
      <c r="E110" s="7"/>
      <c r="F110" s="17"/>
      <c r="G110" s="7"/>
      <c r="H110" s="22"/>
      <c r="I110" s="7"/>
      <c r="J110" s="7"/>
    </row>
    <row r="111" ht="15.75" customHeight="1">
      <c r="A111" s="7"/>
      <c r="B111" s="7"/>
      <c r="C111" s="22"/>
      <c r="D111" s="22"/>
      <c r="E111" s="7"/>
      <c r="F111" s="17"/>
      <c r="G111" s="7"/>
      <c r="H111" s="22"/>
      <c r="I111" s="7"/>
      <c r="J111" s="7"/>
    </row>
    <row r="112" ht="15.75" customHeight="1">
      <c r="A112" s="7"/>
      <c r="B112" s="7"/>
      <c r="C112" s="22"/>
      <c r="D112" s="22"/>
      <c r="E112" s="7"/>
      <c r="F112" s="17"/>
      <c r="G112" s="7"/>
      <c r="H112" s="22"/>
      <c r="I112" s="7"/>
      <c r="J112" s="7"/>
    </row>
    <row r="113" ht="15.75" customHeight="1">
      <c r="A113" s="7"/>
      <c r="B113" s="7"/>
      <c r="C113" s="22"/>
      <c r="D113" s="22"/>
      <c r="E113" s="7"/>
      <c r="F113" s="17"/>
      <c r="G113" s="7"/>
      <c r="H113" s="22"/>
      <c r="I113" s="7"/>
      <c r="J113" s="7"/>
    </row>
    <row r="114" ht="15.75" customHeight="1">
      <c r="A114" s="7"/>
      <c r="B114" s="7"/>
      <c r="C114" s="22"/>
      <c r="D114" s="22"/>
      <c r="E114" s="7"/>
      <c r="F114" s="17"/>
      <c r="G114" s="7"/>
      <c r="H114" s="22"/>
      <c r="I114" s="7"/>
      <c r="J114" s="7"/>
    </row>
    <row r="115" ht="15.75" customHeight="1">
      <c r="A115" s="7"/>
      <c r="B115" s="7"/>
      <c r="C115" s="22"/>
      <c r="D115" s="22"/>
      <c r="E115" s="7"/>
      <c r="F115" s="17"/>
      <c r="G115" s="7"/>
      <c r="H115" s="22"/>
      <c r="I115" s="7"/>
      <c r="J115" s="7"/>
    </row>
    <row r="116" ht="15.75" customHeight="1">
      <c r="A116" s="7"/>
      <c r="B116" s="7"/>
      <c r="C116" s="22"/>
      <c r="D116" s="22"/>
      <c r="E116" s="7"/>
      <c r="F116" s="17"/>
      <c r="G116" s="7"/>
      <c r="H116" s="22"/>
      <c r="I116" s="7"/>
      <c r="J116" s="7"/>
    </row>
    <row r="117" ht="15.75" customHeight="1">
      <c r="A117" s="7"/>
      <c r="B117" s="7"/>
      <c r="C117" s="22"/>
      <c r="D117" s="22"/>
      <c r="E117" s="7"/>
      <c r="F117" s="17"/>
      <c r="G117" s="7"/>
      <c r="H117" s="22"/>
      <c r="I117" s="7"/>
      <c r="J117" s="7"/>
    </row>
    <row r="118" ht="15.75" customHeight="1">
      <c r="A118" s="7"/>
      <c r="B118" s="7"/>
      <c r="C118" s="22"/>
      <c r="D118" s="22"/>
      <c r="E118" s="7"/>
      <c r="F118" s="17"/>
      <c r="G118" s="7"/>
      <c r="H118" s="22"/>
      <c r="I118" s="7"/>
      <c r="J118" s="7"/>
    </row>
    <row r="119" ht="15.75" customHeight="1">
      <c r="A119" s="7"/>
      <c r="B119" s="7"/>
      <c r="C119" s="22"/>
      <c r="D119" s="22"/>
      <c r="E119" s="7"/>
      <c r="F119" s="17"/>
      <c r="G119" s="7"/>
      <c r="H119" s="22"/>
      <c r="I119" s="7"/>
      <c r="J119" s="7"/>
    </row>
    <row r="120" ht="15.75" customHeight="1">
      <c r="A120" s="7"/>
      <c r="B120" s="7"/>
      <c r="C120" s="22"/>
      <c r="D120" s="22"/>
      <c r="E120" s="7"/>
      <c r="F120" s="17"/>
      <c r="G120" s="7"/>
      <c r="H120" s="22"/>
      <c r="I120" s="7"/>
      <c r="J120" s="7"/>
    </row>
    <row r="121" ht="15.75" customHeight="1">
      <c r="A121" s="7"/>
      <c r="B121" s="7"/>
      <c r="C121" s="22"/>
      <c r="D121" s="22"/>
      <c r="E121" s="7"/>
      <c r="F121" s="17"/>
      <c r="G121" s="7"/>
      <c r="H121" s="22"/>
      <c r="I121" s="7"/>
      <c r="J121" s="7"/>
    </row>
    <row r="122" ht="15.75" customHeight="1">
      <c r="A122" s="7"/>
      <c r="B122" s="7"/>
      <c r="C122" s="22"/>
      <c r="D122" s="22"/>
      <c r="E122" s="7"/>
      <c r="F122" s="17"/>
      <c r="G122" s="7"/>
      <c r="H122" s="22"/>
      <c r="I122" s="7"/>
      <c r="J122" s="7"/>
    </row>
    <row r="123" ht="15.75" customHeight="1">
      <c r="A123" s="7"/>
      <c r="B123" s="7"/>
      <c r="C123" s="22"/>
      <c r="D123" s="22"/>
      <c r="E123" s="7"/>
      <c r="F123" s="17"/>
      <c r="G123" s="7"/>
      <c r="H123" s="22"/>
      <c r="I123" s="7"/>
      <c r="J123" s="7"/>
    </row>
    <row r="124" ht="15.75" customHeight="1">
      <c r="A124" s="7"/>
      <c r="B124" s="7"/>
      <c r="C124" s="22"/>
      <c r="D124" s="22"/>
      <c r="E124" s="7"/>
      <c r="F124" s="17"/>
      <c r="G124" s="7"/>
      <c r="H124" s="22"/>
      <c r="I124" s="7"/>
      <c r="J124" s="7"/>
    </row>
    <row r="125" ht="15.75" customHeight="1">
      <c r="A125" s="7"/>
      <c r="B125" s="7"/>
      <c r="C125" s="22"/>
      <c r="D125" s="22"/>
      <c r="E125" s="7"/>
      <c r="F125" s="17"/>
      <c r="G125" s="7"/>
      <c r="H125" s="22"/>
      <c r="I125" s="7"/>
      <c r="J125" s="7"/>
    </row>
    <row r="126" ht="15.75" customHeight="1">
      <c r="A126" s="7"/>
      <c r="B126" s="7"/>
      <c r="C126" s="22"/>
      <c r="D126" s="22"/>
      <c r="E126" s="7"/>
      <c r="F126" s="17"/>
      <c r="G126" s="7"/>
      <c r="H126" s="22"/>
      <c r="I126" s="7"/>
      <c r="J126" s="7"/>
    </row>
    <row r="127" ht="15.75" customHeight="1">
      <c r="A127" s="7"/>
      <c r="B127" s="7"/>
      <c r="C127" s="22"/>
      <c r="D127" s="22"/>
      <c r="E127" s="7"/>
      <c r="F127" s="17"/>
      <c r="G127" s="7"/>
      <c r="H127" s="22"/>
      <c r="I127" s="7"/>
      <c r="J127" s="7"/>
    </row>
    <row r="128" ht="15.75" customHeight="1">
      <c r="A128" s="7"/>
      <c r="B128" s="7"/>
      <c r="C128" s="22"/>
      <c r="D128" s="22"/>
      <c r="E128" s="7"/>
      <c r="F128" s="17"/>
      <c r="G128" s="7"/>
      <c r="H128" s="22"/>
      <c r="I128" s="7"/>
      <c r="J128" s="7"/>
    </row>
    <row r="129" ht="15.75" customHeight="1">
      <c r="A129" s="7"/>
      <c r="B129" s="7"/>
      <c r="C129" s="22"/>
      <c r="D129" s="22"/>
      <c r="E129" s="7"/>
      <c r="F129" s="17"/>
      <c r="G129" s="7"/>
      <c r="H129" s="22"/>
      <c r="I129" s="7"/>
      <c r="J129" s="7"/>
    </row>
    <row r="130" ht="15.75" customHeight="1">
      <c r="A130" s="7"/>
      <c r="B130" s="7"/>
      <c r="C130" s="22"/>
      <c r="D130" s="22"/>
      <c r="E130" s="7"/>
      <c r="F130" s="17"/>
      <c r="G130" s="7"/>
      <c r="H130" s="22"/>
      <c r="I130" s="7"/>
      <c r="J130" s="7"/>
    </row>
    <row r="131" ht="15.75" customHeight="1">
      <c r="A131" s="7"/>
      <c r="B131" s="7"/>
      <c r="C131" s="22"/>
      <c r="D131" s="22"/>
      <c r="E131" s="7"/>
      <c r="F131" s="17"/>
      <c r="G131" s="7"/>
      <c r="H131" s="22"/>
      <c r="I131" s="7"/>
      <c r="J131" s="7"/>
    </row>
    <row r="132" ht="15.75" customHeight="1">
      <c r="A132" s="7"/>
      <c r="B132" s="7"/>
      <c r="C132" s="22"/>
      <c r="D132" s="22"/>
      <c r="E132" s="7"/>
      <c r="F132" s="17"/>
      <c r="G132" s="7"/>
      <c r="H132" s="22"/>
      <c r="I132" s="7"/>
      <c r="J132" s="7"/>
    </row>
    <row r="133" ht="15.75" customHeight="1">
      <c r="A133" s="7"/>
      <c r="B133" s="7"/>
      <c r="C133" s="22"/>
      <c r="D133" s="22"/>
      <c r="E133" s="7"/>
      <c r="F133" s="17"/>
      <c r="G133" s="7"/>
      <c r="H133" s="22"/>
      <c r="I133" s="7"/>
      <c r="J133" s="7"/>
    </row>
    <row r="134" ht="15.75" customHeight="1">
      <c r="A134" s="7"/>
      <c r="B134" s="7"/>
      <c r="C134" s="22"/>
      <c r="D134" s="22"/>
      <c r="E134" s="7"/>
      <c r="F134" s="17"/>
      <c r="G134" s="7"/>
      <c r="H134" s="22"/>
      <c r="I134" s="7"/>
      <c r="J134" s="7"/>
    </row>
    <row r="135" ht="15.75" customHeight="1">
      <c r="A135" s="7"/>
      <c r="B135" s="7"/>
      <c r="C135" s="22"/>
      <c r="D135" s="22"/>
      <c r="E135" s="7"/>
      <c r="F135" s="17"/>
      <c r="G135" s="7"/>
      <c r="H135" s="22"/>
      <c r="I135" s="7"/>
      <c r="J135" s="7"/>
    </row>
    <row r="136" ht="15.75" customHeight="1">
      <c r="A136" s="7"/>
      <c r="B136" s="7"/>
      <c r="C136" s="22"/>
      <c r="D136" s="22"/>
      <c r="E136" s="7"/>
      <c r="F136" s="17"/>
      <c r="G136" s="7"/>
      <c r="H136" s="22"/>
      <c r="I136" s="7"/>
      <c r="J136" s="7"/>
    </row>
    <row r="137" ht="15.75" customHeight="1">
      <c r="A137" s="7"/>
      <c r="B137" s="7"/>
      <c r="C137" s="22"/>
      <c r="D137" s="22"/>
      <c r="E137" s="7"/>
      <c r="F137" s="17"/>
      <c r="G137" s="7"/>
      <c r="H137" s="22"/>
      <c r="I137" s="7"/>
      <c r="J137" s="7"/>
    </row>
    <row r="138" ht="15.75" customHeight="1">
      <c r="A138" s="7"/>
      <c r="B138" s="7"/>
      <c r="C138" s="22"/>
      <c r="D138" s="22"/>
      <c r="E138" s="7"/>
      <c r="F138" s="17"/>
      <c r="G138" s="7"/>
      <c r="H138" s="22"/>
      <c r="I138" s="7"/>
      <c r="J138" s="7"/>
    </row>
    <row r="139" ht="15.75" customHeight="1">
      <c r="A139" s="7"/>
      <c r="B139" s="7"/>
      <c r="C139" s="22"/>
      <c r="D139" s="22"/>
      <c r="E139" s="7"/>
      <c r="F139" s="17"/>
      <c r="G139" s="7"/>
      <c r="H139" s="22"/>
      <c r="I139" s="7"/>
      <c r="J139" s="7"/>
    </row>
    <row r="140" ht="15.75" customHeight="1">
      <c r="A140" s="7"/>
      <c r="B140" s="7"/>
      <c r="C140" s="22"/>
      <c r="D140" s="22"/>
      <c r="E140" s="7"/>
      <c r="F140" s="17"/>
      <c r="G140" s="7"/>
      <c r="H140" s="22"/>
      <c r="I140" s="7"/>
      <c r="J140" s="7"/>
    </row>
    <row r="141" ht="15.75" customHeight="1">
      <c r="A141" s="7"/>
      <c r="B141" s="7"/>
      <c r="C141" s="22"/>
      <c r="D141" s="22"/>
      <c r="E141" s="7"/>
      <c r="F141" s="17"/>
      <c r="G141" s="7"/>
      <c r="H141" s="22"/>
      <c r="I141" s="7"/>
      <c r="J141" s="7"/>
    </row>
    <row r="142" ht="15.75" customHeight="1">
      <c r="A142" s="7"/>
      <c r="B142" s="7"/>
      <c r="C142" s="22"/>
      <c r="D142" s="22"/>
      <c r="E142" s="7"/>
      <c r="F142" s="17"/>
      <c r="G142" s="7"/>
      <c r="H142" s="22"/>
      <c r="I142" s="7"/>
      <c r="J142" s="7"/>
    </row>
    <row r="143" ht="15.75" customHeight="1">
      <c r="A143" s="7"/>
      <c r="B143" s="7"/>
      <c r="C143" s="22"/>
      <c r="D143" s="22"/>
      <c r="E143" s="7"/>
      <c r="F143" s="17"/>
      <c r="G143" s="7"/>
      <c r="H143" s="22"/>
      <c r="I143" s="7"/>
      <c r="J143" s="7"/>
    </row>
    <row r="144" ht="15.75" customHeight="1">
      <c r="A144" s="7"/>
      <c r="B144" s="7"/>
      <c r="C144" s="22"/>
      <c r="D144" s="22"/>
      <c r="E144" s="7"/>
      <c r="F144" s="17"/>
      <c r="G144" s="7"/>
      <c r="H144" s="22"/>
      <c r="I144" s="7"/>
      <c r="J144" s="7"/>
    </row>
    <row r="145" ht="15.75" customHeight="1">
      <c r="A145" s="7"/>
      <c r="B145" s="7"/>
      <c r="C145" s="22"/>
      <c r="D145" s="22"/>
      <c r="E145" s="7"/>
      <c r="F145" s="17"/>
      <c r="G145" s="7"/>
      <c r="H145" s="22"/>
      <c r="I145" s="7"/>
      <c r="J145" s="7"/>
    </row>
    <row r="146" ht="15.75" customHeight="1">
      <c r="A146" s="7"/>
      <c r="B146" s="7"/>
      <c r="C146" s="22"/>
      <c r="D146" s="22"/>
      <c r="E146" s="7"/>
      <c r="F146" s="17"/>
      <c r="G146" s="7"/>
      <c r="H146" s="22"/>
      <c r="I146" s="7"/>
      <c r="J146" s="7"/>
    </row>
    <row r="147" ht="15.75" customHeight="1">
      <c r="A147" s="7"/>
      <c r="B147" s="7"/>
      <c r="C147" s="22"/>
      <c r="D147" s="22"/>
      <c r="E147" s="7"/>
      <c r="F147" s="17"/>
      <c r="G147" s="7"/>
      <c r="H147" s="22"/>
      <c r="I147" s="7"/>
      <c r="J147" s="7"/>
    </row>
    <row r="148" ht="15.75" customHeight="1">
      <c r="A148" s="7"/>
      <c r="B148" s="7"/>
      <c r="C148" s="22"/>
      <c r="D148" s="22"/>
      <c r="E148" s="7"/>
      <c r="F148" s="17"/>
      <c r="G148" s="7"/>
      <c r="H148" s="22"/>
      <c r="I148" s="7"/>
      <c r="J148" s="7"/>
    </row>
    <row r="149" ht="15.75" customHeight="1">
      <c r="A149" s="7"/>
      <c r="B149" s="7"/>
      <c r="C149" s="22"/>
      <c r="D149" s="22"/>
      <c r="E149" s="7"/>
      <c r="F149" s="17"/>
      <c r="G149" s="7"/>
      <c r="H149" s="22"/>
      <c r="I149" s="7"/>
      <c r="J149" s="7"/>
    </row>
    <row r="150" ht="15.75" customHeight="1">
      <c r="A150" s="7"/>
      <c r="B150" s="7"/>
      <c r="C150" s="22"/>
      <c r="D150" s="22"/>
      <c r="E150" s="7"/>
      <c r="F150" s="17"/>
      <c r="G150" s="7"/>
      <c r="H150" s="22"/>
      <c r="I150" s="7"/>
      <c r="J150" s="7"/>
    </row>
  </sheetData>
  <mergeCells count="1">
    <mergeCell ref="L1:M1"/>
  </mergeCells>
  <dataValidations>
    <dataValidation type="list" allowBlank="1" sqref="I2:I150">
      <formula1>"Ativo,Em risco,Inativo,VIP"</formula1>
    </dataValidation>
    <dataValidation type="list" allowBlank="1" sqref="G2:G150">
      <formula1>"Sim,Nao"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2.0"/>
    <col customWidth="1" min="3" max="3" width="16.0"/>
    <col customWidth="1" min="4" max="4" width="14.0"/>
    <col customWidth="1" min="5" max="5" width="13.0"/>
    <col customWidth="1" min="6" max="6" width="12.0"/>
    <col customWidth="1" min="7" max="7" width="16.0"/>
    <col customWidth="1" min="8" max="8" width="30.0"/>
    <col customWidth="1" min="9" max="19" width="8.71"/>
  </cols>
  <sheetData>
    <row r="1">
      <c r="A1" s="6" t="s">
        <v>75</v>
      </c>
      <c r="B1" s="6" t="s">
        <v>234</v>
      </c>
      <c r="C1" s="6" t="s">
        <v>235</v>
      </c>
      <c r="D1" s="6" t="s">
        <v>137</v>
      </c>
      <c r="E1" s="6" t="s">
        <v>167</v>
      </c>
      <c r="F1" s="6" t="s">
        <v>31</v>
      </c>
      <c r="G1" s="6" t="s">
        <v>7</v>
      </c>
      <c r="H1" s="6" t="s">
        <v>236</v>
      </c>
      <c r="J1" s="5" t="s">
        <v>237</v>
      </c>
    </row>
    <row r="2">
      <c r="A2" s="28">
        <v>46266.0</v>
      </c>
      <c r="B2" s="29" t="s">
        <v>238</v>
      </c>
      <c r="C2" s="29">
        <v>1.0</v>
      </c>
      <c r="D2" s="29" t="s">
        <v>207</v>
      </c>
      <c r="E2" s="28">
        <v>46295.0</v>
      </c>
      <c r="F2" s="29" t="s">
        <v>152</v>
      </c>
      <c r="G2" s="29" t="s">
        <v>153</v>
      </c>
      <c r="H2" s="29" t="s">
        <v>239</v>
      </c>
      <c r="J2" s="6" t="s">
        <v>7</v>
      </c>
      <c r="K2" s="6" t="s">
        <v>98</v>
      </c>
    </row>
    <row r="3">
      <c r="A3" s="22"/>
      <c r="B3" s="7"/>
      <c r="C3" s="7"/>
      <c r="D3" s="7"/>
      <c r="E3" s="22"/>
      <c r="F3" s="7"/>
      <c r="G3" s="7"/>
      <c r="H3" s="7"/>
      <c r="J3" s="7" t="s">
        <v>240</v>
      </c>
      <c r="K3" s="7" t="str">
        <f>COUNTIF(G3:G100,J3)</f>
        <v>0</v>
      </c>
    </row>
    <row r="4">
      <c r="A4" s="22"/>
      <c r="B4" s="7"/>
      <c r="C4" s="7"/>
      <c r="D4" s="7"/>
      <c r="E4" s="22"/>
      <c r="F4" s="7"/>
      <c r="G4" s="7"/>
      <c r="H4" s="7"/>
      <c r="J4" s="7" t="s">
        <v>153</v>
      </c>
      <c r="K4" s="7" t="str">
        <f>COUNTIF(G3:G100,J4)</f>
        <v>0</v>
      </c>
    </row>
    <row r="5">
      <c r="A5" s="22"/>
      <c r="B5" s="7"/>
      <c r="C5" s="7"/>
      <c r="D5" s="7"/>
      <c r="E5" s="22"/>
      <c r="F5" s="7"/>
      <c r="G5" s="7"/>
      <c r="H5" s="7"/>
      <c r="J5" s="7" t="s">
        <v>241</v>
      </c>
      <c r="K5" s="7" t="str">
        <f>COUNTIF(G3:G100,J5)</f>
        <v>0</v>
      </c>
    </row>
    <row r="6">
      <c r="A6" s="22"/>
      <c r="B6" s="7"/>
      <c r="C6" s="7"/>
      <c r="D6" s="7"/>
      <c r="E6" s="22"/>
      <c r="F6" s="7"/>
      <c r="G6" s="7"/>
      <c r="H6" s="7"/>
      <c r="J6" s="7" t="s">
        <v>242</v>
      </c>
      <c r="K6" s="7" t="str">
        <f>COUNTIF(G3:G100,J6)</f>
        <v>0</v>
      </c>
    </row>
    <row r="7">
      <c r="A7" s="22"/>
      <c r="B7" s="7"/>
      <c r="C7" s="7"/>
      <c r="D7" s="7"/>
      <c r="E7" s="22"/>
      <c r="F7" s="7"/>
      <c r="G7" s="7"/>
      <c r="H7" s="7"/>
    </row>
    <row r="8">
      <c r="A8" s="22"/>
      <c r="B8" s="7"/>
      <c r="C8" s="7"/>
      <c r="D8" s="7"/>
      <c r="E8" s="22"/>
      <c r="F8" s="7"/>
      <c r="G8" s="7"/>
      <c r="H8" s="7"/>
    </row>
    <row r="9">
      <c r="A9" s="22"/>
      <c r="B9" s="7"/>
      <c r="C9" s="7"/>
      <c r="D9" s="7"/>
      <c r="E9" s="22"/>
      <c r="F9" s="7"/>
      <c r="G9" s="7"/>
      <c r="H9" s="7"/>
    </row>
    <row r="10">
      <c r="A10" s="22"/>
      <c r="B10" s="7"/>
      <c r="C10" s="7"/>
      <c r="D10" s="7"/>
      <c r="E10" s="22"/>
      <c r="F10" s="7"/>
      <c r="G10" s="7"/>
      <c r="H10" s="7"/>
    </row>
    <row r="11">
      <c r="A11" s="22"/>
      <c r="B11" s="7"/>
      <c r="C11" s="7"/>
      <c r="D11" s="7"/>
      <c r="E11" s="22"/>
      <c r="F11" s="7"/>
      <c r="G11" s="7"/>
      <c r="H11" s="7"/>
    </row>
    <row r="12">
      <c r="A12" s="22"/>
      <c r="B12" s="7"/>
      <c r="C12" s="7"/>
      <c r="D12" s="7"/>
      <c r="E12" s="22"/>
      <c r="F12" s="7"/>
      <c r="G12" s="7"/>
      <c r="H12" s="7"/>
    </row>
    <row r="13">
      <c r="A13" s="22"/>
      <c r="B13" s="7"/>
      <c r="C13" s="7"/>
      <c r="D13" s="7"/>
      <c r="E13" s="22"/>
      <c r="F13" s="7"/>
      <c r="G13" s="7"/>
      <c r="H13" s="7"/>
    </row>
    <row r="14">
      <c r="A14" s="22"/>
      <c r="B14" s="7"/>
      <c r="C14" s="7"/>
      <c r="D14" s="7"/>
      <c r="E14" s="22"/>
      <c r="F14" s="7"/>
      <c r="G14" s="7"/>
      <c r="H14" s="7"/>
    </row>
    <row r="15">
      <c r="A15" s="22"/>
      <c r="B15" s="7"/>
      <c r="C15" s="7"/>
      <c r="D15" s="7"/>
      <c r="E15" s="22"/>
      <c r="F15" s="7"/>
      <c r="G15" s="7"/>
      <c r="H15" s="7"/>
    </row>
    <row r="16">
      <c r="A16" s="22"/>
      <c r="B16" s="7"/>
      <c r="C16" s="7"/>
      <c r="D16" s="7"/>
      <c r="E16" s="22"/>
      <c r="F16" s="7"/>
      <c r="G16" s="7"/>
      <c r="H16" s="7"/>
    </row>
    <row r="17">
      <c r="A17" s="22"/>
      <c r="B17" s="7"/>
      <c r="C17" s="7"/>
      <c r="D17" s="7"/>
      <c r="E17" s="22"/>
      <c r="F17" s="7"/>
      <c r="G17" s="7"/>
      <c r="H17" s="7"/>
    </row>
    <row r="18">
      <c r="A18" s="22"/>
      <c r="B18" s="7"/>
      <c r="C18" s="7"/>
      <c r="D18" s="7"/>
      <c r="E18" s="22"/>
      <c r="F18" s="7"/>
      <c r="G18" s="7"/>
      <c r="H18" s="7"/>
    </row>
    <row r="19">
      <c r="A19" s="22"/>
      <c r="B19" s="7"/>
      <c r="C19" s="7"/>
      <c r="D19" s="7"/>
      <c r="E19" s="22"/>
      <c r="F19" s="7"/>
      <c r="G19" s="7"/>
      <c r="H19" s="7"/>
    </row>
    <row r="20">
      <c r="A20" s="22"/>
      <c r="B20" s="7"/>
      <c r="C20" s="7"/>
      <c r="D20" s="7"/>
      <c r="E20" s="22"/>
      <c r="F20" s="7"/>
      <c r="G20" s="7"/>
      <c r="H20" s="7"/>
    </row>
    <row r="21" ht="15.75" customHeight="1">
      <c r="A21" s="22"/>
      <c r="B21" s="7"/>
      <c r="C21" s="7"/>
      <c r="D21" s="7"/>
      <c r="E21" s="22"/>
      <c r="F21" s="7"/>
      <c r="G21" s="7"/>
      <c r="H21" s="7"/>
    </row>
    <row r="22" ht="15.75" customHeight="1">
      <c r="A22" s="22"/>
      <c r="B22" s="7"/>
      <c r="C22" s="7"/>
      <c r="D22" s="7"/>
      <c r="E22" s="22"/>
      <c r="F22" s="7"/>
      <c r="G22" s="7"/>
      <c r="H22" s="7"/>
    </row>
    <row r="23" ht="15.75" customHeight="1">
      <c r="A23" s="22"/>
      <c r="B23" s="7"/>
      <c r="C23" s="7"/>
      <c r="D23" s="7"/>
      <c r="E23" s="22"/>
      <c r="F23" s="7"/>
      <c r="G23" s="7"/>
      <c r="H23" s="7"/>
    </row>
    <row r="24" ht="15.75" customHeight="1">
      <c r="A24" s="22"/>
      <c r="B24" s="7"/>
      <c r="C24" s="7"/>
      <c r="D24" s="7"/>
      <c r="E24" s="22"/>
      <c r="F24" s="7"/>
      <c r="G24" s="7"/>
      <c r="H24" s="7"/>
    </row>
    <row r="25" ht="15.75" customHeight="1">
      <c r="A25" s="22"/>
      <c r="B25" s="7"/>
      <c r="C25" s="7"/>
      <c r="D25" s="7"/>
      <c r="E25" s="22"/>
      <c r="F25" s="7"/>
      <c r="G25" s="7"/>
      <c r="H25" s="7"/>
    </row>
    <row r="26" ht="15.75" customHeight="1">
      <c r="A26" s="22"/>
      <c r="B26" s="7"/>
      <c r="C26" s="7"/>
      <c r="D26" s="7"/>
      <c r="E26" s="22"/>
      <c r="F26" s="7"/>
      <c r="G26" s="7"/>
      <c r="H26" s="7"/>
    </row>
    <row r="27" ht="15.75" customHeight="1">
      <c r="A27" s="22"/>
      <c r="B27" s="7"/>
      <c r="C27" s="7"/>
      <c r="D27" s="7"/>
      <c r="E27" s="22"/>
      <c r="F27" s="7"/>
      <c r="G27" s="7"/>
      <c r="H27" s="7"/>
    </row>
    <row r="28" ht="15.75" customHeight="1">
      <c r="A28" s="22"/>
      <c r="B28" s="7"/>
      <c r="C28" s="7"/>
      <c r="D28" s="7"/>
      <c r="E28" s="22"/>
      <c r="F28" s="7"/>
      <c r="G28" s="7"/>
      <c r="H28" s="7"/>
    </row>
    <row r="29" ht="15.75" customHeight="1">
      <c r="A29" s="22"/>
      <c r="B29" s="7"/>
      <c r="C29" s="7"/>
      <c r="D29" s="7"/>
      <c r="E29" s="22"/>
      <c r="F29" s="7"/>
      <c r="G29" s="7"/>
      <c r="H29" s="7"/>
    </row>
    <row r="30" ht="15.75" customHeight="1">
      <c r="A30" s="22"/>
      <c r="B30" s="7"/>
      <c r="C30" s="7"/>
      <c r="D30" s="7"/>
      <c r="E30" s="22"/>
      <c r="F30" s="7"/>
      <c r="G30" s="7"/>
      <c r="H30" s="7"/>
    </row>
    <row r="31" ht="15.75" customHeight="1">
      <c r="A31" s="22"/>
      <c r="B31" s="7"/>
      <c r="C31" s="7"/>
      <c r="D31" s="7"/>
      <c r="E31" s="22"/>
      <c r="F31" s="7"/>
      <c r="G31" s="7"/>
      <c r="H31" s="7"/>
    </row>
    <row r="32" ht="15.75" customHeight="1">
      <c r="A32" s="22"/>
      <c r="B32" s="7"/>
      <c r="C32" s="7"/>
      <c r="D32" s="7"/>
      <c r="E32" s="22"/>
      <c r="F32" s="7"/>
      <c r="G32" s="7"/>
      <c r="H32" s="7"/>
    </row>
    <row r="33" ht="15.75" customHeight="1">
      <c r="A33" s="22"/>
      <c r="B33" s="7"/>
      <c r="C33" s="7"/>
      <c r="D33" s="7"/>
      <c r="E33" s="22"/>
      <c r="F33" s="7"/>
      <c r="G33" s="7"/>
      <c r="H33" s="7"/>
    </row>
    <row r="34" ht="15.75" customHeight="1">
      <c r="A34" s="22"/>
      <c r="B34" s="7"/>
      <c r="C34" s="7"/>
      <c r="D34" s="7"/>
      <c r="E34" s="22"/>
      <c r="F34" s="7"/>
      <c r="G34" s="7"/>
      <c r="H34" s="7"/>
    </row>
    <row r="35" ht="15.75" customHeight="1">
      <c r="A35" s="22"/>
      <c r="B35" s="7"/>
      <c r="C35" s="7"/>
      <c r="D35" s="7"/>
      <c r="E35" s="22"/>
      <c r="F35" s="7"/>
      <c r="G35" s="7"/>
      <c r="H35" s="7"/>
    </row>
    <row r="36" ht="15.75" customHeight="1">
      <c r="A36" s="22"/>
      <c r="B36" s="7"/>
      <c r="C36" s="7"/>
      <c r="D36" s="7"/>
      <c r="E36" s="22"/>
      <c r="F36" s="7"/>
      <c r="G36" s="7"/>
      <c r="H36" s="7"/>
    </row>
    <row r="37" ht="15.75" customHeight="1">
      <c r="A37" s="22"/>
      <c r="B37" s="7"/>
      <c r="C37" s="7"/>
      <c r="D37" s="7"/>
      <c r="E37" s="22"/>
      <c r="F37" s="7"/>
      <c r="G37" s="7"/>
      <c r="H37" s="7"/>
    </row>
    <row r="38" ht="15.75" customHeight="1">
      <c r="A38" s="22"/>
      <c r="B38" s="7"/>
      <c r="C38" s="7"/>
      <c r="D38" s="7"/>
      <c r="E38" s="22"/>
      <c r="F38" s="7"/>
      <c r="G38" s="7"/>
      <c r="H38" s="7"/>
    </row>
    <row r="39" ht="15.75" customHeight="1">
      <c r="A39" s="22"/>
      <c r="B39" s="7"/>
      <c r="C39" s="7"/>
      <c r="D39" s="7"/>
      <c r="E39" s="22"/>
      <c r="F39" s="7"/>
      <c r="G39" s="7"/>
      <c r="H39" s="7"/>
    </row>
    <row r="40" ht="15.75" customHeight="1">
      <c r="A40" s="22"/>
      <c r="B40" s="7"/>
      <c r="C40" s="7"/>
      <c r="D40" s="7"/>
      <c r="E40" s="22"/>
      <c r="F40" s="7"/>
      <c r="G40" s="7"/>
      <c r="H40" s="7"/>
    </row>
    <row r="41" ht="15.75" customHeight="1">
      <c r="A41" s="22"/>
      <c r="B41" s="7"/>
      <c r="C41" s="7"/>
      <c r="D41" s="7"/>
      <c r="E41" s="22"/>
      <c r="F41" s="7"/>
      <c r="G41" s="7"/>
      <c r="H41" s="7"/>
    </row>
    <row r="42" ht="15.75" customHeight="1">
      <c r="A42" s="22"/>
      <c r="B42" s="7"/>
      <c r="C42" s="7"/>
      <c r="D42" s="7"/>
      <c r="E42" s="22"/>
      <c r="F42" s="7"/>
      <c r="G42" s="7"/>
      <c r="H42" s="7"/>
    </row>
    <row r="43" ht="15.75" customHeight="1">
      <c r="A43" s="22"/>
      <c r="B43" s="7"/>
      <c r="C43" s="7"/>
      <c r="D43" s="7"/>
      <c r="E43" s="22"/>
      <c r="F43" s="7"/>
      <c r="G43" s="7"/>
      <c r="H43" s="7"/>
    </row>
    <row r="44" ht="15.75" customHeight="1">
      <c r="A44" s="22"/>
      <c r="B44" s="7"/>
      <c r="C44" s="7"/>
      <c r="D44" s="7"/>
      <c r="E44" s="22"/>
      <c r="F44" s="7"/>
      <c r="G44" s="7"/>
      <c r="H44" s="7"/>
    </row>
    <row r="45" ht="15.75" customHeight="1">
      <c r="A45" s="22"/>
      <c r="B45" s="7"/>
      <c r="C45" s="7"/>
      <c r="D45" s="7"/>
      <c r="E45" s="22"/>
      <c r="F45" s="7"/>
      <c r="G45" s="7"/>
      <c r="H45" s="7"/>
    </row>
    <row r="46" ht="15.75" customHeight="1">
      <c r="A46" s="22"/>
      <c r="B46" s="7"/>
      <c r="C46" s="7"/>
      <c r="D46" s="7"/>
      <c r="E46" s="22"/>
      <c r="F46" s="7"/>
      <c r="G46" s="7"/>
      <c r="H46" s="7"/>
    </row>
    <row r="47" ht="15.75" customHeight="1">
      <c r="A47" s="22"/>
      <c r="B47" s="7"/>
      <c r="C47" s="7"/>
      <c r="D47" s="7"/>
      <c r="E47" s="22"/>
      <c r="F47" s="7"/>
      <c r="G47" s="7"/>
      <c r="H47" s="7"/>
    </row>
    <row r="48" ht="15.75" customHeight="1">
      <c r="A48" s="22"/>
      <c r="B48" s="7"/>
      <c r="C48" s="7"/>
      <c r="D48" s="7"/>
      <c r="E48" s="22"/>
      <c r="F48" s="7"/>
      <c r="G48" s="7"/>
      <c r="H48" s="7"/>
    </row>
    <row r="49" ht="15.75" customHeight="1">
      <c r="A49" s="22"/>
      <c r="B49" s="7"/>
      <c r="C49" s="7"/>
      <c r="D49" s="7"/>
      <c r="E49" s="22"/>
      <c r="F49" s="7"/>
      <c r="G49" s="7"/>
      <c r="H49" s="7"/>
    </row>
    <row r="50" ht="15.75" customHeight="1">
      <c r="A50" s="22"/>
      <c r="B50" s="7"/>
      <c r="C50" s="7"/>
      <c r="D50" s="7"/>
      <c r="E50" s="22"/>
      <c r="F50" s="7"/>
      <c r="G50" s="7"/>
      <c r="H50" s="7"/>
    </row>
    <row r="51" ht="15.75" customHeight="1">
      <c r="A51" s="22"/>
      <c r="B51" s="7"/>
      <c r="C51" s="7"/>
      <c r="D51" s="7"/>
      <c r="E51" s="22"/>
      <c r="F51" s="7"/>
      <c r="G51" s="7"/>
      <c r="H51" s="7"/>
    </row>
    <row r="52" ht="15.75" customHeight="1">
      <c r="A52" s="22"/>
      <c r="B52" s="7"/>
      <c r="C52" s="7"/>
      <c r="D52" s="7"/>
      <c r="E52" s="22"/>
      <c r="F52" s="7"/>
      <c r="G52" s="7"/>
      <c r="H52" s="7"/>
    </row>
    <row r="53" ht="15.75" customHeight="1">
      <c r="A53" s="22"/>
      <c r="B53" s="7"/>
      <c r="C53" s="7"/>
      <c r="D53" s="7"/>
      <c r="E53" s="22"/>
      <c r="F53" s="7"/>
      <c r="G53" s="7"/>
      <c r="H53" s="7"/>
    </row>
    <row r="54" ht="15.75" customHeight="1">
      <c r="A54" s="22"/>
      <c r="B54" s="7"/>
      <c r="C54" s="7"/>
      <c r="D54" s="7"/>
      <c r="E54" s="22"/>
      <c r="F54" s="7"/>
      <c r="G54" s="7"/>
      <c r="H54" s="7"/>
    </row>
    <row r="55" ht="15.75" customHeight="1">
      <c r="A55" s="22"/>
      <c r="B55" s="7"/>
      <c r="C55" s="7"/>
      <c r="D55" s="7"/>
      <c r="E55" s="22"/>
      <c r="F55" s="7"/>
      <c r="G55" s="7"/>
      <c r="H55" s="7"/>
    </row>
    <row r="56" ht="15.75" customHeight="1">
      <c r="A56" s="22"/>
      <c r="B56" s="7"/>
      <c r="C56" s="7"/>
      <c r="D56" s="7"/>
      <c r="E56" s="22"/>
      <c r="F56" s="7"/>
      <c r="G56" s="7"/>
      <c r="H56" s="7"/>
    </row>
    <row r="57" ht="15.75" customHeight="1">
      <c r="A57" s="22"/>
      <c r="B57" s="7"/>
      <c r="C57" s="7"/>
      <c r="D57" s="7"/>
      <c r="E57" s="22"/>
      <c r="F57" s="7"/>
      <c r="G57" s="7"/>
      <c r="H57" s="7"/>
    </row>
    <row r="58" ht="15.75" customHeight="1">
      <c r="A58" s="22"/>
      <c r="B58" s="7"/>
      <c r="C58" s="7"/>
      <c r="D58" s="7"/>
      <c r="E58" s="22"/>
      <c r="F58" s="7"/>
      <c r="G58" s="7"/>
      <c r="H58" s="7"/>
    </row>
    <row r="59" ht="15.75" customHeight="1">
      <c r="A59" s="22"/>
      <c r="B59" s="7"/>
      <c r="C59" s="7"/>
      <c r="D59" s="7"/>
      <c r="E59" s="22"/>
      <c r="F59" s="7"/>
      <c r="G59" s="7"/>
      <c r="H59" s="7"/>
    </row>
    <row r="60" ht="15.75" customHeight="1">
      <c r="A60" s="22"/>
      <c r="B60" s="7"/>
      <c r="C60" s="7"/>
      <c r="D60" s="7"/>
      <c r="E60" s="22"/>
      <c r="F60" s="7"/>
      <c r="G60" s="7"/>
      <c r="H60" s="7"/>
    </row>
    <row r="61" ht="15.75" customHeight="1">
      <c r="A61" s="22"/>
      <c r="B61" s="7"/>
      <c r="C61" s="7"/>
      <c r="D61" s="7"/>
      <c r="E61" s="22"/>
      <c r="F61" s="7"/>
      <c r="G61" s="7"/>
      <c r="H61" s="7"/>
    </row>
    <row r="62" ht="15.75" customHeight="1">
      <c r="A62" s="22"/>
      <c r="B62" s="7"/>
      <c r="C62" s="7"/>
      <c r="D62" s="7"/>
      <c r="E62" s="22"/>
      <c r="F62" s="7"/>
      <c r="G62" s="7"/>
      <c r="H62" s="7"/>
    </row>
    <row r="63" ht="15.75" customHeight="1">
      <c r="A63" s="22"/>
      <c r="B63" s="7"/>
      <c r="C63" s="7"/>
      <c r="D63" s="7"/>
      <c r="E63" s="22"/>
      <c r="F63" s="7"/>
      <c r="G63" s="7"/>
      <c r="H63" s="7"/>
    </row>
    <row r="64" ht="15.75" customHeight="1">
      <c r="A64" s="22"/>
      <c r="B64" s="7"/>
      <c r="C64" s="7"/>
      <c r="D64" s="7"/>
      <c r="E64" s="22"/>
      <c r="F64" s="7"/>
      <c r="G64" s="7"/>
      <c r="H64" s="7"/>
    </row>
    <row r="65" ht="15.75" customHeight="1">
      <c r="A65" s="22"/>
      <c r="B65" s="7"/>
      <c r="C65" s="7"/>
      <c r="D65" s="7"/>
      <c r="E65" s="22"/>
      <c r="F65" s="7"/>
      <c r="G65" s="7"/>
      <c r="H65" s="7"/>
    </row>
    <row r="66" ht="15.75" customHeight="1">
      <c r="A66" s="22"/>
      <c r="B66" s="7"/>
      <c r="C66" s="7"/>
      <c r="D66" s="7"/>
      <c r="E66" s="22"/>
      <c r="F66" s="7"/>
      <c r="G66" s="7"/>
      <c r="H66" s="7"/>
    </row>
    <row r="67" ht="15.75" customHeight="1">
      <c r="A67" s="22"/>
      <c r="B67" s="7"/>
      <c r="C67" s="7"/>
      <c r="D67" s="7"/>
      <c r="E67" s="22"/>
      <c r="F67" s="7"/>
      <c r="G67" s="7"/>
      <c r="H67" s="7"/>
    </row>
    <row r="68" ht="15.75" customHeight="1">
      <c r="A68" s="22"/>
      <c r="B68" s="7"/>
      <c r="C68" s="7"/>
      <c r="D68" s="7"/>
      <c r="E68" s="22"/>
      <c r="F68" s="7"/>
      <c r="G68" s="7"/>
      <c r="H68" s="7"/>
    </row>
    <row r="69" ht="15.75" customHeight="1">
      <c r="A69" s="22"/>
      <c r="B69" s="7"/>
      <c r="C69" s="7"/>
      <c r="D69" s="7"/>
      <c r="E69" s="22"/>
      <c r="F69" s="7"/>
      <c r="G69" s="7"/>
      <c r="H69" s="7"/>
    </row>
    <row r="70" ht="15.75" customHeight="1">
      <c r="A70" s="22"/>
      <c r="B70" s="7"/>
      <c r="C70" s="7"/>
      <c r="D70" s="7"/>
      <c r="E70" s="22"/>
      <c r="F70" s="7"/>
      <c r="G70" s="7"/>
      <c r="H70" s="7"/>
    </row>
    <row r="71" ht="15.75" customHeight="1">
      <c r="A71" s="22"/>
      <c r="B71" s="7"/>
      <c r="C71" s="7"/>
      <c r="D71" s="7"/>
      <c r="E71" s="22"/>
      <c r="F71" s="7"/>
      <c r="G71" s="7"/>
      <c r="H71" s="7"/>
    </row>
    <row r="72" ht="15.75" customHeight="1">
      <c r="A72" s="22"/>
      <c r="B72" s="7"/>
      <c r="C72" s="7"/>
      <c r="D72" s="7"/>
      <c r="E72" s="22"/>
      <c r="F72" s="7"/>
      <c r="G72" s="7"/>
      <c r="H72" s="7"/>
    </row>
    <row r="73" ht="15.75" customHeight="1">
      <c r="A73" s="22"/>
      <c r="B73" s="7"/>
      <c r="C73" s="7"/>
      <c r="D73" s="7"/>
      <c r="E73" s="22"/>
      <c r="F73" s="7"/>
      <c r="G73" s="7"/>
      <c r="H73" s="7"/>
    </row>
    <row r="74" ht="15.75" customHeight="1">
      <c r="A74" s="22"/>
      <c r="B74" s="7"/>
      <c r="C74" s="7"/>
      <c r="D74" s="7"/>
      <c r="E74" s="22"/>
      <c r="F74" s="7"/>
      <c r="G74" s="7"/>
      <c r="H74" s="7"/>
    </row>
    <row r="75" ht="15.75" customHeight="1">
      <c r="A75" s="22"/>
      <c r="B75" s="7"/>
      <c r="C75" s="7"/>
      <c r="D75" s="7"/>
      <c r="E75" s="22"/>
      <c r="F75" s="7"/>
      <c r="G75" s="7"/>
      <c r="H75" s="7"/>
    </row>
    <row r="76" ht="15.75" customHeight="1">
      <c r="A76" s="22"/>
      <c r="B76" s="7"/>
      <c r="C76" s="7"/>
      <c r="D76" s="7"/>
      <c r="E76" s="22"/>
      <c r="F76" s="7"/>
      <c r="G76" s="7"/>
      <c r="H76" s="7"/>
    </row>
    <row r="77" ht="15.75" customHeight="1">
      <c r="A77" s="22"/>
      <c r="B77" s="7"/>
      <c r="C77" s="7"/>
      <c r="D77" s="7"/>
      <c r="E77" s="22"/>
      <c r="F77" s="7"/>
      <c r="G77" s="7"/>
      <c r="H77" s="7"/>
    </row>
    <row r="78" ht="15.75" customHeight="1">
      <c r="A78" s="22"/>
      <c r="B78" s="7"/>
      <c r="C78" s="7"/>
      <c r="D78" s="7"/>
      <c r="E78" s="22"/>
      <c r="F78" s="7"/>
      <c r="G78" s="7"/>
      <c r="H78" s="7"/>
    </row>
    <row r="79" ht="15.75" customHeight="1">
      <c r="A79" s="22"/>
      <c r="B79" s="7"/>
      <c r="C79" s="7"/>
      <c r="D79" s="7"/>
      <c r="E79" s="22"/>
      <c r="F79" s="7"/>
      <c r="G79" s="7"/>
      <c r="H79" s="7"/>
    </row>
    <row r="80" ht="15.75" customHeight="1">
      <c r="A80" s="22"/>
      <c r="B80" s="7"/>
      <c r="C80" s="7"/>
      <c r="D80" s="7"/>
      <c r="E80" s="22"/>
      <c r="F80" s="7"/>
      <c r="G80" s="7"/>
      <c r="H80" s="7"/>
    </row>
    <row r="81" ht="15.75" customHeight="1">
      <c r="A81" s="22"/>
      <c r="B81" s="7"/>
      <c r="C81" s="7"/>
      <c r="D81" s="7"/>
      <c r="E81" s="22"/>
      <c r="F81" s="7"/>
      <c r="G81" s="7"/>
      <c r="H81" s="7"/>
    </row>
    <row r="82" ht="15.75" customHeight="1">
      <c r="A82" s="22"/>
      <c r="B82" s="7"/>
      <c r="C82" s="7"/>
      <c r="D82" s="7"/>
      <c r="E82" s="22"/>
      <c r="F82" s="7"/>
      <c r="G82" s="7"/>
      <c r="H82" s="7"/>
    </row>
    <row r="83" ht="15.75" customHeight="1">
      <c r="A83" s="22"/>
      <c r="B83" s="7"/>
      <c r="C83" s="7"/>
      <c r="D83" s="7"/>
      <c r="E83" s="22"/>
      <c r="F83" s="7"/>
      <c r="G83" s="7"/>
      <c r="H83" s="7"/>
    </row>
    <row r="84" ht="15.75" customHeight="1">
      <c r="A84" s="22"/>
      <c r="B84" s="7"/>
      <c r="C84" s="7"/>
      <c r="D84" s="7"/>
      <c r="E84" s="22"/>
      <c r="F84" s="7"/>
      <c r="G84" s="7"/>
      <c r="H84" s="7"/>
    </row>
    <row r="85" ht="15.75" customHeight="1">
      <c r="A85" s="22"/>
      <c r="B85" s="7"/>
      <c r="C85" s="7"/>
      <c r="D85" s="7"/>
      <c r="E85" s="22"/>
      <c r="F85" s="7"/>
      <c r="G85" s="7"/>
      <c r="H85" s="7"/>
    </row>
    <row r="86" ht="15.75" customHeight="1">
      <c r="A86" s="22"/>
      <c r="B86" s="7"/>
      <c r="C86" s="7"/>
      <c r="D86" s="7"/>
      <c r="E86" s="22"/>
      <c r="F86" s="7"/>
      <c r="G86" s="7"/>
      <c r="H86" s="7"/>
    </row>
    <row r="87" ht="15.75" customHeight="1">
      <c r="A87" s="22"/>
      <c r="B87" s="7"/>
      <c r="C87" s="7"/>
      <c r="D87" s="7"/>
      <c r="E87" s="22"/>
      <c r="F87" s="7"/>
      <c r="G87" s="7"/>
      <c r="H87" s="7"/>
    </row>
    <row r="88" ht="15.75" customHeight="1">
      <c r="A88" s="22"/>
      <c r="B88" s="7"/>
      <c r="C88" s="7"/>
      <c r="D88" s="7"/>
      <c r="E88" s="22"/>
      <c r="F88" s="7"/>
      <c r="G88" s="7"/>
      <c r="H88" s="7"/>
    </row>
    <row r="89" ht="15.75" customHeight="1">
      <c r="A89" s="22"/>
      <c r="B89" s="7"/>
      <c r="C89" s="7"/>
      <c r="D89" s="7"/>
      <c r="E89" s="22"/>
      <c r="F89" s="7"/>
      <c r="G89" s="7"/>
      <c r="H89" s="7"/>
    </row>
    <row r="90" ht="15.75" customHeight="1">
      <c r="A90" s="22"/>
      <c r="B90" s="7"/>
      <c r="C90" s="7"/>
      <c r="D90" s="7"/>
      <c r="E90" s="22"/>
      <c r="F90" s="7"/>
      <c r="G90" s="7"/>
      <c r="H90" s="7"/>
    </row>
    <row r="91" ht="15.75" customHeight="1">
      <c r="A91" s="22"/>
      <c r="B91" s="7"/>
      <c r="C91" s="7"/>
      <c r="D91" s="7"/>
      <c r="E91" s="22"/>
      <c r="F91" s="7"/>
      <c r="G91" s="7"/>
      <c r="H91" s="7"/>
    </row>
    <row r="92" ht="15.75" customHeight="1">
      <c r="A92" s="22"/>
      <c r="B92" s="7"/>
      <c r="C92" s="7"/>
      <c r="D92" s="7"/>
      <c r="E92" s="22"/>
      <c r="F92" s="7"/>
      <c r="G92" s="7"/>
      <c r="H92" s="7"/>
    </row>
    <row r="93" ht="15.75" customHeight="1">
      <c r="A93" s="22"/>
      <c r="B93" s="7"/>
      <c r="C93" s="7"/>
      <c r="D93" s="7"/>
      <c r="E93" s="22"/>
      <c r="F93" s="7"/>
      <c r="G93" s="7"/>
      <c r="H93" s="7"/>
    </row>
    <row r="94" ht="15.75" customHeight="1">
      <c r="A94" s="22"/>
      <c r="B94" s="7"/>
      <c r="C94" s="7"/>
      <c r="D94" s="7"/>
      <c r="E94" s="22"/>
      <c r="F94" s="7"/>
      <c r="G94" s="7"/>
      <c r="H94" s="7"/>
    </row>
    <row r="95" ht="15.75" customHeight="1">
      <c r="A95" s="22"/>
      <c r="B95" s="7"/>
      <c r="C95" s="7"/>
      <c r="D95" s="7"/>
      <c r="E95" s="22"/>
      <c r="F95" s="7"/>
      <c r="G95" s="7"/>
      <c r="H95" s="7"/>
    </row>
    <row r="96" ht="15.75" customHeight="1">
      <c r="A96" s="22"/>
      <c r="B96" s="7"/>
      <c r="C96" s="7"/>
      <c r="D96" s="7"/>
      <c r="E96" s="22"/>
      <c r="F96" s="7"/>
      <c r="G96" s="7"/>
      <c r="H96" s="7"/>
    </row>
    <row r="97" ht="15.75" customHeight="1">
      <c r="A97" s="22"/>
      <c r="B97" s="7"/>
      <c r="C97" s="7"/>
      <c r="D97" s="7"/>
      <c r="E97" s="22"/>
      <c r="F97" s="7"/>
      <c r="G97" s="7"/>
      <c r="H97" s="7"/>
    </row>
    <row r="98" ht="15.75" customHeight="1">
      <c r="A98" s="22"/>
      <c r="B98" s="7"/>
      <c r="C98" s="7"/>
      <c r="D98" s="7"/>
      <c r="E98" s="22"/>
      <c r="F98" s="7"/>
      <c r="G98" s="7"/>
      <c r="H98" s="7"/>
    </row>
    <row r="99" ht="15.75" customHeight="1">
      <c r="A99" s="22"/>
      <c r="B99" s="7"/>
      <c r="C99" s="7"/>
      <c r="D99" s="7"/>
      <c r="E99" s="22"/>
      <c r="F99" s="7"/>
      <c r="G99" s="7"/>
      <c r="H99" s="7"/>
    </row>
    <row r="100" ht="15.75" customHeight="1">
      <c r="A100" s="22"/>
      <c r="B100" s="7"/>
      <c r="C100" s="7"/>
      <c r="D100" s="7"/>
      <c r="E100" s="22"/>
      <c r="F100" s="7"/>
      <c r="G100" s="7"/>
      <c r="H100" s="7"/>
    </row>
  </sheetData>
  <mergeCells count="1">
    <mergeCell ref="J1:K1"/>
  </mergeCells>
  <conditionalFormatting sqref="G2:G100">
    <cfRule type="cellIs" dxfId="0" priority="1" operator="equal">
      <formula>"Concluido"</formula>
    </cfRule>
  </conditionalFormatting>
  <conditionalFormatting sqref="G2:G100">
    <cfRule type="cellIs" dxfId="2" priority="2" operator="equal">
      <formula>"Atrasado"</formula>
    </cfRule>
  </conditionalFormatting>
  <conditionalFormatting sqref="G2:G100">
    <cfRule type="cellIs" dxfId="1" priority="3" operator="equal">
      <formula>"Em andamento"</formula>
    </cfRule>
  </conditionalFormatting>
  <dataValidations>
    <dataValidation type="list" allowBlank="1" sqref="G2:G100">
      <formula1>"Nao iniciado,Em andamento,Concluido,Atrasado"</formula1>
    </dataValidation>
    <dataValidation type="list" allowBlank="1" sqref="F2:F100">
      <formula1>"Alta,Media,Baixa"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22.0"/>
    <col customWidth="1" min="7" max="11" width="8.71"/>
  </cols>
  <sheetData>
    <row r="1">
      <c r="A1" s="34" t="s">
        <v>243</v>
      </c>
      <c r="B1" s="34" t="s">
        <v>244</v>
      </c>
      <c r="C1" s="34" t="s">
        <v>245</v>
      </c>
      <c r="D1" s="34" t="s">
        <v>246</v>
      </c>
      <c r="E1" s="34" t="s">
        <v>247</v>
      </c>
      <c r="F1" s="34" t="s">
        <v>248</v>
      </c>
      <c r="G1" s="34" t="s">
        <v>249</v>
      </c>
      <c r="H1" s="34" t="s">
        <v>250</v>
      </c>
      <c r="I1" s="34" t="s">
        <v>251</v>
      </c>
      <c r="J1" s="34" t="s">
        <v>252</v>
      </c>
      <c r="K1" s="34" t="s">
        <v>253</v>
      </c>
    </row>
    <row r="2">
      <c r="A2" s="35" t="s">
        <v>156</v>
      </c>
      <c r="B2" s="35" t="s">
        <v>152</v>
      </c>
      <c r="C2" s="35" t="s">
        <v>41</v>
      </c>
      <c r="D2" s="35" t="s">
        <v>78</v>
      </c>
      <c r="E2" s="35" t="s">
        <v>254</v>
      </c>
      <c r="F2" s="35" t="s">
        <v>117</v>
      </c>
      <c r="G2" s="35" t="s">
        <v>123</v>
      </c>
      <c r="H2" s="35" t="s">
        <v>240</v>
      </c>
      <c r="I2" s="35" t="s">
        <v>101</v>
      </c>
      <c r="J2" s="35" t="s">
        <v>255</v>
      </c>
      <c r="K2" s="35" t="s">
        <v>90</v>
      </c>
    </row>
    <row r="3">
      <c r="A3" s="35" t="s">
        <v>153</v>
      </c>
      <c r="B3" s="35" t="s">
        <v>256</v>
      </c>
      <c r="C3" s="35" t="s">
        <v>42</v>
      </c>
      <c r="D3" s="35" t="s">
        <v>257</v>
      </c>
      <c r="E3" s="35" t="s">
        <v>148</v>
      </c>
      <c r="F3" s="35" t="s">
        <v>87</v>
      </c>
      <c r="G3" s="35" t="s">
        <v>93</v>
      </c>
      <c r="H3" s="35" t="s">
        <v>153</v>
      </c>
      <c r="I3" s="35" t="s">
        <v>102</v>
      </c>
      <c r="J3" s="35" t="s">
        <v>89</v>
      </c>
      <c r="K3" s="35" t="s">
        <v>110</v>
      </c>
    </row>
    <row r="4">
      <c r="A4" s="35" t="s">
        <v>157</v>
      </c>
      <c r="B4" s="35" t="s">
        <v>258</v>
      </c>
      <c r="C4" s="35" t="s">
        <v>43</v>
      </c>
      <c r="D4" s="35" t="s">
        <v>259</v>
      </c>
      <c r="E4" s="35" t="s">
        <v>260</v>
      </c>
      <c r="F4" s="35" t="s">
        <v>118</v>
      </c>
      <c r="H4" s="35" t="s">
        <v>241</v>
      </c>
      <c r="I4" s="35" t="s">
        <v>103</v>
      </c>
      <c r="J4" s="35" t="s">
        <v>261</v>
      </c>
      <c r="K4" s="35" t="s">
        <v>111</v>
      </c>
    </row>
    <row r="5">
      <c r="A5" s="35" t="s">
        <v>94</v>
      </c>
      <c r="C5" s="35" t="s">
        <v>44</v>
      </c>
      <c r="D5" s="35" t="s">
        <v>47</v>
      </c>
      <c r="E5" s="35" t="s">
        <v>262</v>
      </c>
      <c r="F5" s="35" t="s">
        <v>119</v>
      </c>
      <c r="H5" s="35" t="s">
        <v>242</v>
      </c>
      <c r="I5" s="35" t="s">
        <v>104</v>
      </c>
      <c r="J5" s="35" t="s">
        <v>263</v>
      </c>
      <c r="K5" s="35" t="s">
        <v>112</v>
      </c>
    </row>
    <row r="6">
      <c r="A6" s="35" t="s">
        <v>158</v>
      </c>
      <c r="C6" s="35" t="s">
        <v>45</v>
      </c>
      <c r="D6" s="35" t="s">
        <v>150</v>
      </c>
      <c r="E6" s="35" t="s">
        <v>264</v>
      </c>
      <c r="F6" s="35" t="s">
        <v>120</v>
      </c>
      <c r="I6" s="35" t="s">
        <v>105</v>
      </c>
      <c r="J6" s="35" t="s">
        <v>265</v>
      </c>
      <c r="K6" s="35" t="s">
        <v>113</v>
      </c>
    </row>
    <row r="7">
      <c r="C7" s="35" t="s">
        <v>46</v>
      </c>
      <c r="D7" s="35" t="s">
        <v>266</v>
      </c>
      <c r="E7" s="35" t="s">
        <v>267</v>
      </c>
      <c r="F7" s="35" t="s">
        <v>121</v>
      </c>
      <c r="I7" s="35" t="s">
        <v>106</v>
      </c>
      <c r="J7" s="35" t="s">
        <v>268</v>
      </c>
      <c r="K7" s="35" t="s">
        <v>114</v>
      </c>
    </row>
    <row r="8">
      <c r="C8" s="35" t="s">
        <v>47</v>
      </c>
      <c r="D8" s="35" t="s">
        <v>269</v>
      </c>
      <c r="F8" s="35" t="s">
        <v>115</v>
      </c>
      <c r="I8" s="35" t="s">
        <v>107</v>
      </c>
      <c r="J8" s="35" t="s">
        <v>115</v>
      </c>
      <c r="K8" s="35" t="s">
        <v>115</v>
      </c>
    </row>
    <row r="9">
      <c r="C9" s="35" t="s">
        <v>48</v>
      </c>
      <c r="D9" s="35" t="s">
        <v>115</v>
      </c>
      <c r="I9" s="35" t="s">
        <v>50</v>
      </c>
    </row>
    <row r="10">
      <c r="C10" s="35" t="s">
        <v>49</v>
      </c>
    </row>
    <row r="11">
      <c r="A11" s="4" t="s">
        <v>270</v>
      </c>
      <c r="C11" s="35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2026-09-03T23:00:19Z</dcterms:created>
  <dc:creator>openpyxl</dc:creator>
  <dc:description/>
  <dc:language>en-US</dc:language>
  <cp:lastModifiedBy/>
  <dcterms:modified xsi:type="dcterms:W3CDTF">2026-09-03T23:00:25Z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