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8.xml" ContentType="application/vnd.openxmlformats-officedocument.drawingml.chart+xml"/>
  <Override PartName="/xl/drawings/charts/chart9.xml" ContentType="application/vnd.openxmlformats-officedocument.drawingml.chart+xml"/>
  <Override PartName="/xl/drawings/charts/chart10.xml" ContentType="application/vnd.openxmlformats-officedocument.drawingml.chart+xml"/>
  <Override PartName="/xl/drawings/charts/chart11.xml" ContentType="application/vnd.openxmlformats-officedocument.drawingml.chart+xml"/>
  <Override PartName="/xl/drawings/charts/chart12.xml" ContentType="application/vnd.openxmlformats-officedocument.drawingml.chart+xml"/>
  <Override PartName="/xl/drawings/charts/chart13.xml" ContentType="application/vnd.openxmlformats-officedocument.drawingml.chart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drawings/charts/chart14.xml" ContentType="application/vnd.openxmlformats-officedocument.drawingml.chart+xml"/>
  <Override PartName="/xl/drawings/charts/chart15.xml" ContentType="application/vnd.openxmlformats-officedocument.drawingml.char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drawings/charts/chart16.xml" ContentType="application/vnd.openxmlformats-officedocument.drawingml.chart+xml"/>
  <Override PartName="/xl/tables/table2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5ec4637adf41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ICADORES" sheetId="2" r:id="Re508a2b6052d4d4e"/>
    <x:sheet xmlns:r="http://schemas.openxmlformats.org/officeDocument/2006/relationships" name="RESUMO MENSAL" sheetId="3" r:id="Rf223e6dddb71494a"/>
    <x:sheet xmlns:r="http://schemas.openxmlformats.org/officeDocument/2006/relationships" name="BASE NC" sheetId="4" r:id="R6591f62139444332"/>
    <x:sheet xmlns:r="http://schemas.openxmlformats.org/officeDocument/2006/relationships" name="SAC" sheetId="5" r:id="R9007fdfbf99b4d6f"/>
    <x:sheet xmlns:r="http://schemas.openxmlformats.org/officeDocument/2006/relationships" name="POS-VENDA" sheetId="7" r:id="Ra60d1e96ba324cfd"/>
    <x:sheet xmlns:r="http://schemas.openxmlformats.org/officeDocument/2006/relationships" name="LISTAS" sheetId="12" r:id="R7cd7986210d64eb9"/>
  </x:sheets>
</x:workbook>
</file>

<file path=xl/sharedStrings.xml><?xml version="1.0" encoding="utf-8"?>
<x:sst xmlns:x="http://schemas.openxmlformats.org/spreadsheetml/2006/main">
  <x:si>
    <x:t xml:space="preserve">STATUS_CHAMADO</x:t>
  </x:si>
  <x:si>
    <x:t xml:space="preserve">PRIORIDADE</x:t>
  </x:si>
  <x:si>
    <x:t xml:space="preserve">CAUSA</x:t>
  </x:si>
  <x:si>
    <x:t xml:space="preserve">TIPO_CHAMADO</x:t>
  </x:si>
  <x:si>
    <x:t xml:space="preserve">CANAL</x:t>
  </x:si>
  <x:si>
    <x:t xml:space="preserve">CATEGORIA_PRODUTO</x:t>
  </x:si>
  <x:si>
    <x:t xml:space="preserve">SIM_NAO</x:t>
  </x:si>
  <x:si>
    <x:t xml:space="preserve">STATUS_ACAO</x:t>
  </x:si>
  <x:si>
    <x:t xml:space="preserve">FALHA_EMBALAGEM</x:t>
  </x:si>
  <x:si>
    <x:t xml:space="preserve">CAUSA_PROVAVEL</x:t>
  </x:si>
  <x:si>
    <x:t xml:space="preserve">SETOR_RESPONSAVEL</x:t>
  </x:si>
  <x:si>
    <x:t xml:space="preserve">Aberto</x:t>
  </x:si>
  <x:si>
    <x:t xml:space="preserve">Alta</x:t>
  </x:si>
  <x:si>
    <x:t xml:space="preserve">Acabamento</x:t>
  </x:si>
  <x:si>
    <x:t xml:space="preserve">Reclamacao</x:t>
  </x:si>
  <x:si>
    <x:t xml:space="preserve">Telefone</x:t>
  </x:si>
  <x:si>
    <x:t xml:space="preserve">Cadeira de cabelo</x:t>
  </x:si>
  <x:si>
    <x:t xml:space="preserve">Sim</x:t>
  </x:si>
  <x:si>
    <x:t xml:space="preserve">Nao iniciado</x:t>
  </x:si>
  <x:si>
    <x:t xml:space="preserve">Sem protecao/calco interno</x:t>
  </x:si>
  <x:si>
    <x:t xml:space="preserve">Fornecedor</x:t>
  </x:si>
  <x:si>
    <x:t xml:space="preserve">Producao</x:t>
  </x:si>
  <x:si>
    <x:t xml:space="preserve">Em andamento</x:t>
  </x:si>
  <x:si>
    <x:t xml:space="preserve">Media</x:t>
  </x:si>
  <x:si>
    <x:t xml:space="preserve">Embalagem</x:t>
  </x:si>
  <x:si>
    <x:t xml:space="preserve">Troca</x:t>
  </x:si>
  <x:si>
    <x:t xml:space="preserve">WhatsApp</x:t>
  </x:si>
  <x:si>
    <x:t xml:space="preserve">Lavatorio/Shampoo</x:t>
  </x:si>
  <x:si>
    <x:t xml:space="preserve">Nao</x:t>
  </x:si>
  <x:si>
    <x:t xml:space="preserve">Caixa amassada ou papelao fino</x:t>
  </x:si>
  <x:si>
    <x:t xml:space="preserve">Producao interna</x:t>
  </x:si>
  <x:si>
    <x:t xml:space="preserve">Qualidade</x:t>
  </x:si>
  <x:si>
    <x:t xml:space="preserve">Aguardando cliente</x:t>
  </x:si>
  <x:si>
    <x:t xml:space="preserve">Baixa</x:t>
  </x:si>
  <x:si>
    <x:t xml:space="preserve">Material</x:t>
  </x:si>
  <x:si>
    <x:t xml:space="preserve">Devolucao</x:t>
  </x:si>
  <x:si>
    <x:t xml:space="preserve">E-mail</x:t>
  </x:si>
  <x:si>
    <x:t xml:space="preserve">Carrinho auxiliar</x:t>
  </x:si>
  <x:si>
    <x:t xml:space="preserve">Concluido</x:t>
  </x:si>
  <x:si>
    <x:t xml:space="preserve">Falta fita de reforco</x:t>
  </x:si>
  <x:si>
    <x:t xml:space="preserve">Transporte/Transportadora</x:t>
  </x:si>
  <x:si>
    <x:t xml:space="preserve">Logistica/Expedicao</x:t>
  </x:si>
  <x:si>
    <x:t xml:space="preserve">Resolvido</x:t>
  </x:si>
  <x:si>
    <x:t xml:space="preserve">Hidraulica</x:t>
  </x:si>
  <x:si>
    <x:t xml:space="preserve">Peca faltante</x:t>
  </x:si>
  <x:si>
    <x:t xml:space="preserve">Site</x:t>
  </x:si>
  <x:si>
    <x:t xml:space="preserve">Espelho/Estacao</x:t>
  </x:si>
  <x:si>
    <x:t xml:space="preserve">Atrasado</x:t>
  </x:si>
  <x:si>
    <x:t xml:space="preserve">Sem plastico bolha/espuma</x:t>
  </x:si>
  <x:si>
    <x:t xml:space="preserve">Projeto/Design</x:t>
  </x:si>
  <x:si>
    <x:t xml:space="preserve">Compras/Fornecedor</x:t>
  </x:si>
  <x:si>
    <x:t xml:space="preserve">Cancelado</x:t>
  </x:si>
  <x:si>
    <x:t xml:space="preserve">Costura</x:t>
  </x:si>
  <x:si>
    <x:t xml:space="preserve">Avaria</x:t>
  </x:si>
  <x:si>
    <x:t xml:space="preserve">Loja fisica</x:t>
  </x:si>
  <x:si>
    <x:t xml:space="preserve">Recepcao/Sofa</x:t>
  </x:si>
  <x:si>
    <x:t xml:space="preserve">Caixa subdimensionada para o produto</x:t>
  </x:si>
  <x:si>
    <x:t xml:space="preserve">Uso inadequado pelo cliente</x:t>
  </x:si>
  <x:si>
    <x:t xml:space="preserve">Comercial/Atendimento</x:t>
  </x:si>
  <x:si>
    <x:t xml:space="preserve">Montagem</x:t>
  </x:si>
  <x:si>
    <x:t xml:space="preserve">Duvida tecnica</x:t>
  </x:si>
  <x:si>
    <x:t xml:space="preserve">Rede social</x:t>
  </x:si>
  <x:si>
    <x:t xml:space="preserve">Maca</x:t>
  </x:si>
  <x:si>
    <x:t xml:space="preserve">Etiqueta de fragil ausente</x:t>
  </x:si>
  <x:si>
    <x:t xml:space="preserve">Erro operacional</x:t>
  </x:si>
  <x:si>
    <x:t xml:space="preserve">Design/Engenharia</x:t>
  </x:si>
  <x:si>
    <x:t xml:space="preserve">Elogio</x:t>
  </x:si>
  <x:si>
    <x:t xml:space="preserve">Outro</x:t>
  </x:si>
  <x:si>
    <x:t xml:space="preserve">Fixacao/paletizacao inadequada</x:t>
  </x:si>
  <x:si>
    <x:t xml:space="preserve">Peca quebrada</x:t>
  </x:si>
  <x:si>
    <x:t xml:space="preserve">Outros</x:t>
  </x:si>
  <x:si>
    <x:t xml:space="preserve">Dificuldade de montagem</x:t>
  </x:si>
  <x:si>
    <x:t xml:space="preserve">Estas listas alimentam os menus suspensos das outras abas. Adicione itens nas celulas abaixo dos titulos se precisar.</x:t>
  </x:si>
</x:sst>
</file>

<file path=xl/styles.xml><?xml version="1.0" encoding="utf-8"?>
<x:styleSheet xmlns:x="http://schemas.openxmlformats.org/spreadsheetml/2006/main">
  <x:numFmts count="9">
    <x:numFmt numFmtId="164" formatCode="mmmm/yyyy"/>
    <x:numFmt numFmtId="165" formatCode="0.0"/>
    <x:numFmt numFmtId="166" formatCode="mmm/yy"/>
    <x:numFmt numFmtId="167" formatCode="&quot;R$ &quot;#,##0.00"/>
    <x:numFmt numFmtId="168" formatCode="dd/mm/yyyy"/>
    <x:numFmt numFmtId="169" formatCode="0.0%"/>
    <x:numFmt numFmtId="200" formatCode="R$ #,##0.00"/>
    <x:numFmt numFmtId="201" formatCode="mmmm yyyy"/>
    <x:numFmt numFmtId="202" formatCode="0"/>
  </x:numFmts>
  <x:fonts count="20">
    <x:font>
      <x:sz val="11"/>
      <x:color rgb="FF000000"/>
      <x:name val="Arial"/>
    </x:font>
    <x:font>
      <x:b/>
      <x:sz val="16"/>
      <x:color rgb="FF1F3864"/>
      <x:name val="Arial"/>
    </x:font>
    <x:font>
      <x:b/>
      <x:sz val="10"/>
      <x:color theme="1"/>
      <x:name val="Arial"/>
    </x:font>
    <x:font>
      <x:b/>
      <x:sz val="11"/>
      <x:color theme="1"/>
      <x:name val="Arial"/>
    </x:font>
    <x:font>
      <x:i/>
      <x:sz val="9"/>
      <x:color rgb="FF808080"/>
      <x:name val="Arial"/>
    </x:font>
    <x:font>
      <x:b/>
      <x:sz val="12"/>
      <x:color rgb="FF1F3864"/>
      <x:name val="Arial"/>
    </x:font>
    <x:font>
      <x:b/>
      <x:sz val="11"/>
      <x:color rgb="FFFFFFFF"/>
      <x:name val="Arial"/>
    </x:font>
    <x:font>
      <x:sz val="10"/>
      <x:color theme="1"/>
      <x:name val="Arial"/>
    </x:font>
    <x:font>
      <x:i/>
      <x:sz val="11"/>
      <x:color rgb="FF808080"/>
      <x:name val="Arial"/>
    </x:font>
    <x:font>
      <x:b/>
      <x:sz val="11"/>
      <x:color rgb="FF1F3864"/>
      <x:name val="Arial"/>
    </x:font>
    <x:font>
      <x:sz val="1"/>
      <x:color rgb="FFFFFFFF"/>
      <x:name val="Arial"/>
    </x:font>
    <x:font>
      <x:b/>
      <x:sz val="16"/>
      <x:color rgb="FFFFFFFF"/>
      <x:name val="Arial"/>
    </x:font>
    <x:font>
      <x:b/>
      <x:sz val="11"/>
      <x:color rgb="FF000000"/>
      <x:name val="Arial"/>
    </x:font>
    <x:font>
      <x:b/>
      <x:sz val="14"/>
      <x:color rgb="FFFFFFFF"/>
      <x:name val="Arial"/>
    </x:font>
    <x:font>
      <x:i/>
      <x:sz val="11"/>
      <x:color rgb="FF666666"/>
      <x:name val="Arial"/>
    </x:font>
    <x:font>
      <x:b/>
      <x:sz val="18"/>
      <x:color rgb="FFFFFFFF"/>
      <x:name val="Arial"/>
    </x:font>
    <x:font>
      <x:b/>
      <x:sz val="10"/>
      <x:color rgb="FF17365D"/>
      <x:name val="Arial"/>
    </x:font>
    <x:font>
      <x:b/>
      <x:sz val="20"/>
      <x:color rgb="FF111111"/>
      <x:name val="Arial"/>
    </x:font>
    <x:font>
      <x:b/>
      <x:sz val="11"/>
      <x:color rgb="FF17365D"/>
      <x:name val="Arial"/>
    </x:font>
    <x:font>
      <x:b/>
      <x:sz val="10"/>
      <x:color rgb="FFFFFFFF"/>
      <x:name val="Arial"/>
    </x:font>
  </x:fonts>
  <x:fills count="12">
    <x:fill>
      <x:patternFill patternType="none"/>
    </x:fill>
    <x:fill>
      <x:patternFill patternType="lightGray"/>
    </x:fill>
    <x:fill>
      <x:patternFill patternType="solid">
        <x:fgColor rgb="FFFFF2CC"/>
      </x:patternFill>
    </x:fill>
    <x:fill>
      <x:patternFill patternType="solid">
        <x:fgColor rgb="FF1F3864"/>
      </x:patternFill>
    </x:fill>
    <x:fill>
      <x:patternFill patternType="solid">
        <x:fgColor rgb="FFD9E2F3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17365D"/>
      </x:patternFill>
    </x:fill>
    <x:fill>
      <x:patternFill patternType="solid">
        <x:fgColor rgb="FFD9E2F3"/>
      </x:patternFill>
    </x:fill>
    <x:fill>
      <x:patternFill patternType="solid">
        <x:fgColor rgb="FFF7F9FC"/>
      </x:patternFill>
    </x:fill>
    <x:fill>
      <x:patternFill patternType="solid">
        <x:fgColor rgb="FFEAF0F7"/>
      </x:patternFill>
    </x:fill>
  </x:fills>
  <x:borders count="3">
    <x:border/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/>
  </x:borders>
  <x:cellStyleXfs count="1">
    <x:xf numFmtId="0" fontId="0" fillId="0" borderId="0" applyFont="1" applyAlignment="1"/>
  </x:cellStyleXfs>
  <x:cellXfs count="178">
    <x:xf numFmtId="0" fontId="0" fillId="0" borderId="0" xfId="0" applyFont="1" applyAlignment="1">
      <x:alignment vertical="bottom" wrapText="0"/>
    </x:xf>
    <x:xf numFmtId="0" fontId="1" fillId="0" borderId="0" xfId="0" applyFont="1" applyAlignment="1">
      <x:alignment vertical="bottom" wrapText="0"/>
    </x:xf>
    <x:xf numFmtId="0" fontId="2" fillId="0" borderId="0" xfId="0" applyFont="1" applyAlignment="1">
      <x:alignment vertical="bottom" wrapText="0"/>
    </x:xf>
    <x:xf numFmtId="164" fontId="3" fillId="2" borderId="1" xfId="0" applyNumberFormat="1" applyFont="1" applyFill="1" applyBorder="1" applyAlignment="1">
      <x:alignment vertical="bottom" wrapText="0"/>
    </x:xf>
    <x:xf numFmtId="0" fontId="4" fillId="0" borderId="0" xfId="0" applyFont="1" applyAlignment="1">
      <x:alignment vertical="bottom" wrapText="0"/>
    </x:xf>
    <x:xf numFmtId="0" fontId="5" fillId="0" borderId="0" xfId="0" applyFont="1" applyAlignment="1">
      <x:alignment vertical="bottom" wrapText="0"/>
    </x:xf>
    <x:xf numFmtId="0" fontId="6" fillId="3" borderId="1" xfId="0" applyFont="1" applyFill="1" applyBorder="1" applyAlignment="1">
      <x:alignment horizontal="center" vertical="center" wrapText="1"/>
    </x:xf>
    <x:xf numFmtId="0" fontId="7" fillId="0" borderId="1" xfId="0" applyFont="1" applyBorder="1" applyAlignment="1">
      <x:alignment vertical="bottom" wrapText="0"/>
    </x:xf>
    <x:xf numFmtId="1" fontId="3" fillId="0" borderId="1" xfId="0" applyNumberFormat="1" applyFont="1" applyBorder="1" applyAlignment="1">
      <x:alignment vertical="bottom" wrapText="0"/>
    </x:xf>
    <x:xf numFmtId="1" fontId="7" fillId="2" borderId="1" xfId="0" applyNumberFormat="1" applyFont="1" applyFill="1" applyBorder="1" applyAlignment="1">
      <x:alignment vertical="bottom" wrapText="0"/>
    </x:xf>
    <x:xf numFmtId="0" fontId="7" fillId="0" borderId="1" xfId="0" applyFont="1" applyBorder="1" applyAlignment="1">
      <x:alignment horizontal="center" vertical="bottom" wrapText="0"/>
    </x:xf>
    <x:xf numFmtId="165" fontId="3" fillId="0" borderId="1" xfId="0" applyNumberFormat="1" applyFont="1" applyBorder="1" applyAlignment="1">
      <x:alignment vertical="bottom" wrapText="0"/>
    </x:xf>
    <x:xf numFmtId="165" fontId="7" fillId="2" borderId="1" xfId="0" applyNumberFormat="1" applyFont="1" applyFill="1" applyBorder="1" applyAlignment="1">
      <x:alignment vertical="bottom" wrapText="0"/>
    </x:xf>
    <x:xf numFmtId="166" fontId="6" fillId="3" borderId="1" xfId="0" applyNumberFormat="1" applyFont="1" applyFill="1" applyBorder="1" applyAlignment="1">
      <x:alignment horizontal="center" vertical="center" wrapText="1"/>
    </x:xf>
    <x:xf numFmtId="167" fontId="3" fillId="0" borderId="1" xfId="0" applyNumberFormat="1" applyFont="1" applyBorder="1" applyAlignment="1">
      <x:alignment vertical="bottom" wrapText="0"/>
    </x:xf>
    <x:xf numFmtId="167" fontId="7" fillId="2" borderId="1" xfId="0" applyNumberFormat="1" applyFont="1" applyFill="1" applyBorder="1" applyAlignment="1">
      <x:alignment vertical="bottom" wrapText="0"/>
    </x:xf>
    <x:xf numFmtId="1" fontId="7" fillId="0" borderId="1" xfId="0" applyNumberFormat="1" applyFont="1" applyBorder="1" applyAlignment="1">
      <x:alignment vertical="bottom" wrapText="0"/>
    </x:xf>
    <x:xf numFmtId="0" fontId="2" fillId="0" borderId="1" xfId="0" applyFont="1" applyBorder="1" applyAlignment="1">
      <x:alignment vertical="bottom" wrapText="0"/>
    </x:xf>
    <x:xf numFmtId="1" fontId="5" fillId="4" borderId="1" xfId="0" applyNumberFormat="1" applyFont="1" applyFill="1" applyBorder="1" applyAlignment="1">
      <x:alignment vertical="bottom" wrapText="0"/>
    </x:xf>
    <x:xf numFmtId="167" fontId="5" fillId="4" borderId="1" xfId="0" applyNumberFormat="1" applyFont="1" applyFill="1" applyBorder="1" applyAlignment="1">
      <x:alignment vertical="bottom" wrapText="0"/>
    </x:xf>
    <x:xf numFmtId="168" fontId="8" fillId="0" borderId="1" xfId="0" applyNumberFormat="1" applyFont="1" applyBorder="1" applyAlignment="1">
      <x:alignment vertical="bottom" wrapText="0"/>
    </x:xf>
    <x:xf numFmtId="0" fontId="8" fillId="0" borderId="1" xfId="0" applyFont="1" applyBorder="1" applyAlignment="1">
      <x:alignment vertical="bottom" wrapText="0"/>
    </x:xf>
    <x:xf numFmtId="167" fontId="8" fillId="0" borderId="1" xfId="0" applyNumberFormat="1" applyFont="1" applyBorder="1" applyAlignment="1">
      <x:alignment vertical="bottom" wrapText="0"/>
    </x:xf>
    <x:xf numFmtId="169" fontId="5" fillId="4" borderId="1" xfId="0" applyNumberFormat="1" applyFont="1" applyFill="1" applyBorder="1" applyAlignment="1">
      <x:alignment vertical="bottom" wrapText="0"/>
    </x:xf>
    <x:xf numFmtId="168" fontId="7" fillId="0" borderId="1" xfId="0" applyNumberFormat="1" applyFont="1" applyBorder="1" applyAlignment="1">
      <x:alignment vertical="bottom" wrapText="0"/>
    </x:xf>
    <x:xf numFmtId="167" fontId="7" fillId="0" borderId="1" xfId="0" applyNumberFormat="1" applyFont="1" applyBorder="1" applyAlignment="1">
      <x:alignment vertical="bottom" wrapText="0"/>
    </x:xf>
    <x:xf numFmtId="164" fontId="9" fillId="0" borderId="0" xfId="0" applyNumberFormat="1" applyFont="1" applyAlignment="1">
      <x:alignment vertical="bottom" wrapText="0"/>
    </x:xf>
    <x:xf numFmtId="165" fontId="7" fillId="0" borderId="1" xfId="0" applyNumberFormat="1" applyFont="1" applyBorder="1" applyAlignment="1">
      <x:alignment vertical="bottom" wrapText="0"/>
    </x:xf>
    <x:xf numFmtId="1" fontId="8" fillId="0" borderId="1" xfId="0" applyNumberFormat="1" applyFont="1" applyBorder="1" applyAlignment="1">
      <x:alignment vertical="bottom" wrapText="0"/>
    </x:xf>
    <x:xf numFmtId="0" fontId="2" fillId="4" borderId="1" xfId="0" applyFont="1" applyFill="1" applyBorder="1" applyAlignment="1">
      <x:alignment vertical="bottom" wrapText="0"/>
    </x:xf>
    <x:xf numFmtId="1" fontId="2" fillId="4" borderId="1" xfId="0" applyNumberFormat="1" applyFont="1" applyFill="1" applyBorder="1" applyAlignment="1">
      <x:alignment vertical="bottom" wrapText="0"/>
    </x:xf>
    <x:xf numFmtId="0" fontId="10" fillId="0" borderId="0" xfId="0" applyFont="1" applyAlignment="1">
      <x:alignment vertical="bottom" wrapText="0"/>
    </x:xf>
    <x:xf numFmtId="167" fontId="2" fillId="4" borderId="1" xfId="0" applyNumberFormat="1" applyFont="1" applyFill="1" applyBorder="1" applyAlignment="1">
      <x:alignment vertical="bottom" wrapText="0"/>
    </x:xf>
    <x:xf numFmtId="166" fontId="7" fillId="0" borderId="1" xfId="0" applyNumberFormat="1" applyFont="1" applyBorder="1" applyAlignment="1">
      <x:alignment vertical="bottom" wrapText="0"/>
    </x:xf>
    <x:xf numFmtId="0" fontId="6" fillId="3" borderId="2" xfId="0" applyFont="1" applyFill="1" applyBorder="1" applyAlignment="1">
      <x:alignment horizontal="center" vertical="bottom" wrapText="0"/>
    </x:xf>
    <x:xf numFmtId="0" fontId="7" fillId="0" borderId="0" xfId="0" applyFont="1" applyAlignment="1">
      <x:alignment vertical="bottom" wrapText="0"/>
    </x:xf>
    <x:xf numFmtId="0" fontId="0" fillId="0" borderId="0" xfId="0" applyNumberFormat="1" applyFont="1" applyFill="1" applyBorder="1" applyAlignment="1">
      <x:alignment vertical="bottom" wrapText="0"/>
    </x:xf>
    <x:xf numFmtId="0" fontId="1" fillId="0" borderId="0" xfId="0" applyNumberFormat="1" applyFont="1" applyFill="1" applyBorder="1" applyAlignment="1">
      <x:alignment vertical="bottom" wrapText="0"/>
    </x:xf>
    <x:xf numFmtId="0" fontId="2" fillId="0" borderId="0" xfId="0" applyNumberFormat="1" applyFont="1" applyFill="1" applyBorder="1" applyAlignment="1">
      <x:alignment vertical="bottom" wrapText="0"/>
    </x:xf>
    <x:xf numFmtId="0" fontId="4" fillId="0" borderId="0" xfId="0" applyNumberFormat="1" applyFont="1" applyFill="1" applyBorder="1" applyAlignment="1">
      <x:alignment vertical="bottom" wrapText="0"/>
    </x:xf>
    <x:xf numFmtId="0" fontId="5" fillId="0" borderId="0" xfId="0" applyNumberFormat="1" applyFont="1" applyFill="1" applyBorder="1" applyAlignment="1">
      <x:alignment vertical="bottom" wrapText="0"/>
    </x:xf>
    <x:xf numFmtId="0" fontId="6" fillId="3" borderId="1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 applyAlignment="1">
      <x:alignment vertical="bottom" wrapText="0"/>
    </x:xf>
    <x:xf numFmtId="1" fontId="3" fillId="0" borderId="1" xfId="0" applyNumberFormat="1" applyFont="1" applyFill="1" applyBorder="1" applyAlignment="1">
      <x:alignment vertical="bottom" wrapText="0"/>
    </x:xf>
    <x:xf numFmtId="0" fontId="7" fillId="0" borderId="1" xfId="0" applyNumberFormat="1" applyFont="1" applyFill="1" applyBorder="1" applyAlignment="1">
      <x:alignment horizontal="center" vertical="bottom" wrapText="0"/>
    </x:xf>
    <x:xf numFmtId="165" fontId="3" fillId="0" borderId="1" xfId="0" applyNumberFormat="1" applyFont="1" applyFill="1" applyBorder="1" applyAlignment="1">
      <x:alignment vertical="bottom" wrapText="0"/>
    </x:xf>
    <x:xf numFmtId="167" fontId="3" fillId="0" borderId="1" xfId="0" applyNumberFormat="1" applyFont="1" applyFill="1" applyBorder="1" applyAlignment="1">
      <x:alignment vertical="bottom" wrapText="0"/>
    </x:xf>
    <x:xf numFmtId="1" fontId="7" fillId="0" borderId="1" xfId="0" applyNumberFormat="1" applyFont="1" applyFill="1" applyBorder="1" applyAlignment="1">
      <x:alignment vertical="bottom" wrapText="0"/>
    </x:xf>
    <x:xf numFmtId="0" fontId="2" fillId="0" borderId="1" xfId="0" applyNumberFormat="1" applyFont="1" applyFill="1" applyBorder="1" applyAlignment="1">
      <x:alignment vertical="bottom" wrapText="0"/>
    </x:xf>
    <x:xf numFmtId="168" fontId="8" fillId="0" borderId="1" xfId="0" applyNumberFormat="1" applyFont="1" applyFill="1" applyBorder="1" applyAlignment="1">
      <x:alignment vertical="bottom" wrapText="0"/>
    </x:xf>
    <x:xf numFmtId="0" fontId="8" fillId="0" borderId="1" xfId="0" applyNumberFormat="1" applyFont="1" applyFill="1" applyBorder="1" applyAlignment="1">
      <x:alignment vertical="bottom" wrapText="0"/>
    </x:xf>
    <x:xf numFmtId="167" fontId="8" fillId="0" borderId="1" xfId="0" applyNumberFormat="1" applyFont="1" applyFill="1" applyBorder="1" applyAlignment="1">
      <x:alignment vertical="bottom" wrapText="0"/>
    </x:xf>
    <x:xf numFmtId="168" fontId="7" fillId="0" borderId="1" xfId="0" applyNumberFormat="1" applyFont="1" applyFill="1" applyBorder="1" applyAlignment="1">
      <x:alignment vertical="bottom" wrapText="0"/>
    </x:xf>
    <x:xf numFmtId="167" fontId="7" fillId="0" borderId="1" xfId="0" applyNumberFormat="1" applyFont="1" applyFill="1" applyBorder="1" applyAlignment="1">
      <x:alignment vertical="bottom" wrapText="0"/>
    </x:xf>
    <x:xf numFmtId="164" fontId="9" fillId="0" borderId="0" xfId="0" applyNumberFormat="1" applyFont="1" applyFill="1" applyBorder="1" applyAlignment="1">
      <x:alignment vertical="bottom" wrapText="0"/>
    </x:xf>
    <x:xf numFmtId="165" fontId="7" fillId="0" borderId="1" xfId="0" applyNumberFormat="1" applyFont="1" applyFill="1" applyBorder="1" applyAlignment="1">
      <x:alignment vertical="bottom" wrapText="0"/>
    </x:xf>
    <x:xf numFmtId="1" fontId="8" fillId="0" borderId="1" xfId="0" applyNumberFormat="1" applyFont="1" applyFill="1" applyBorder="1" applyAlignment="1">
      <x:alignment vertical="bottom" wrapText="0"/>
    </x:xf>
    <x:xf numFmtId="0" fontId="2" fillId="4" borderId="1" xfId="0" applyNumberFormat="1" applyFont="1" applyFill="1" applyBorder="1" applyAlignment="1">
      <x:alignment vertical="bottom" wrapText="0"/>
    </x:xf>
    <x:xf numFmtId="0" fontId="10" fillId="0" borderId="0" xfId="0" applyNumberFormat="1" applyFont="1" applyFill="1" applyBorder="1" applyAlignment="1">
      <x:alignment vertical="bottom" wrapText="0"/>
    </x:xf>
    <x:xf numFmtId="166" fontId="7" fillId="0" borderId="1" xfId="0" applyNumberFormat="1" applyFont="1" applyFill="1" applyBorder="1" applyAlignment="1">
      <x:alignment vertical="bottom" wrapText="0"/>
    </x:xf>
    <x:xf numFmtId="0" fontId="6" fillId="3" borderId="0" xfId="0" applyNumberFormat="1" applyFont="1" applyFill="1" applyBorder="1" applyAlignment="1">
      <x:alignment horizontal="center" vertical="bottom" wrapText="0"/>
    </x:xf>
    <x:xf numFmtId="0" fontId="7" fillId="0" borderId="0" xfId="0" applyNumberFormat="1" applyFont="1" applyFill="1" applyBorder="1" applyAlignment="1">
      <x:alignment vertical="bottom" wrapText="0"/>
    </x:xf>
    <x:xf numFmtId="168" fontId="0" fillId="0" borderId="0" xfId="0" applyNumberFormat="1" applyFont="1" applyFill="1" applyBorder="1" applyAlignment="1">
      <x:alignment vertical="bottom" wrapText="0"/>
    </x:xf>
    <x:xf numFmtId="0" fontId="0" fillId="5" borderId="0" xfId="0" applyNumberFormat="1" applyFont="1" applyFill="1" applyBorder="1" applyAlignment="1">
      <x:alignment vertical="bottom" wrapText="0"/>
    </x:xf>
    <x:xf numFmtId="0" fontId="6" fillId="5" borderId="0" xfId="0" applyNumberFormat="1" applyFont="1" applyFill="1" applyBorder="1" applyAlignment="1">
      <x:alignment vertical="bottom" wrapText="0"/>
    </x:xf>
    <x:xf numFmtId="0" fontId="6" fillId="5" borderId="0" xfId="0" applyNumberFormat="1" applyFont="1" applyFill="1" applyBorder="1" applyAlignment="1">
      <x:alignment vertical="bottom" wrapText="1"/>
    </x:xf>
    <x:xf numFmtId="0" fontId="6" fillId="5" borderId="0" xfId="0" applyNumberFormat="1" applyFont="1" applyFill="1" applyBorder="1" applyAlignment="1">
      <x:alignment horizontal="center" vertical="bottom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bottom" wrapText="1"/>
    </x:xf>
    <x:xf numFmtId="168" fontId="0" fillId="0" borderId="0" xfId="0" applyNumberFormat="1" applyFont="1" applyFill="1" applyBorder="1" applyAlignment="1">
      <x:alignment vertical="bottom" wrapText="1"/>
    </x:xf>
    <x:xf numFmtId="0" fontId="6" fillId="5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168" fontId="0" fillId="0" borderId="0" xfId="0" applyNumberFormat="1" applyFont="1" applyFill="1" applyBorder="1" applyAlignment="1">
      <x:alignment vertical="top" wrapText="1"/>
    </x:xf>
    <x:xf numFmtId="0" fontId="11" fillId="5" borderId="0" xfId="0" applyNumberFormat="1" applyFont="1" applyFill="1" applyBorder="1" applyAlignment="1">
      <x:alignment vertical="bottom" wrapText="0"/>
    </x:xf>
    <x:xf numFmtId="0" fontId="11" fillId="5" borderId="0" xfId="0" applyNumberFormat="1" applyFont="1" applyFill="1" applyBorder="1" applyAlignment="1">
      <x:alignment horizontal="left" vertical="bottom" wrapText="0"/>
    </x:xf>
    <x:xf numFmtId="0" fontId="11" fillId="5" borderId="0" xfId="0" applyNumberFormat="1" applyFont="1" applyFill="1" applyBorder="1" applyAlignment="1">
      <x:alignment horizontal="left" vertical="center" wrapText="0"/>
    </x:xf>
    <x:xf numFmtId="0" fontId="0" fillId="6" borderId="0" xfId="0" applyNumberFormat="1" applyFont="1" applyFill="1" applyBorder="1" applyAlignment="1">
      <x:alignment vertical="bottom" wrapText="0"/>
    </x:xf>
    <x:xf numFmtId="0" fontId="12" fillId="6" borderId="0" xfId="0" applyNumberFormat="1" applyFont="1" applyFill="1" applyBorder="1" applyAlignment="1">
      <x:alignment vertical="bottom" wrapText="0"/>
    </x:xf>
    <x:xf numFmtId="164" fontId="12" fillId="6" borderId="0" xfId="0" applyNumberFormat="1" applyFont="1" applyFill="1" applyBorder="1" applyAlignment="1">
      <x:alignment vertical="bottom" wrapText="0"/>
    </x:xf>
    <x:xf numFmtId="0" fontId="0" fillId="7" borderId="0" xfId="0" applyNumberFormat="1" applyFont="1" applyFill="1" applyBorder="1" applyAlignment="1">
      <x:alignment vertical="bottom" wrapText="0"/>
    </x:xf>
    <x:xf numFmtId="0" fontId="6" fillId="7" borderId="0" xfId="0" applyNumberFormat="1" applyFont="1" applyFill="1" applyBorder="1" applyAlignment="1">
      <x:alignment vertical="bottom" wrapText="0"/>
    </x:xf>
    <x:xf numFmtId="0" fontId="6" fillId="7" borderId="0" xfId="0" applyNumberFormat="1" applyFont="1" applyFill="1" applyBorder="1" applyAlignment="1">
      <x:alignment vertical="bottom" wrapText="1"/>
    </x:xf>
    <x:xf numFmtId="0" fontId="6" fillId="7" borderId="0" xfId="0" applyNumberFormat="1" applyFont="1" applyFill="1" applyBorder="1" applyAlignment="1">
      <x:alignment horizontal="center" vertical="bottom" wrapText="1"/>
    </x:xf>
    <x:xf numFmtId="166" fontId="6" fillId="7" borderId="0" xfId="0" applyNumberFormat="1" applyFont="1" applyFill="1" applyBorder="1" applyAlignment="1">
      <x:alignment horizontal="center" vertical="bottom" wrapText="1"/>
    </x:xf>
    <x:xf numFmtId="165" fontId="0" fillId="0" borderId="0" xfId="0" applyNumberFormat="1" applyFont="1" applyFill="1" applyBorder="1" applyAlignment="1">
      <x:alignment vertical="bottom" wrapText="0"/>
    </x:xf>
    <x:xf numFmtId="200" fontId="0" fillId="0" borderId="0" xfId="0" applyNumberFormat="1" applyFont="1" applyFill="1" applyBorder="1" applyAlignment="1">
      <x:alignment vertical="bottom" wrapText="0"/>
    </x:xf>
    <x:xf numFmtId="165" fontId="0" fillId="0" borderId="0" xfId="0" applyNumberFormat="1" applyFont="1" applyFill="1" applyBorder="1" applyAlignment="1">
      <x:alignment vertical="bottom" wrapText="1"/>
    </x:xf>
    <x:xf numFmtId="200" fontId="0" fillId="0" borderId="0" xfId="0" applyNumberFormat="1" applyFont="1" applyFill="1" applyBorder="1" applyAlignment="1">
      <x:alignment vertical="bottom" wrapText="1"/>
    </x:xf>
    <x:xf numFmtId="0" fontId="6" fillId="7" borderId="0" xfId="0" applyNumberFormat="1" applyFont="1" applyFill="1" applyBorder="1" applyAlignment="1">
      <x:alignment horizontal="center" vertical="top" wrapText="1"/>
    </x:xf>
    <x:xf numFmtId="166" fontId="6" fillId="7" borderId="0" xfId="0" applyNumberFormat="1" applyFont="1" applyFill="1" applyBorder="1" applyAlignment="1">
      <x:alignment horizontal="center" vertical="top" wrapText="1"/>
    </x:xf>
    <x:xf numFmtId="165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13" fillId="5" borderId="0" xfId="0" applyNumberFormat="1" applyFont="1" applyFill="1" applyBorder="1" applyAlignment="1">
      <x:alignment vertical="bottom" wrapText="0"/>
    </x:xf>
    <x:xf numFmtId="0" fontId="13" fillId="5" borderId="0" xfId="0" applyNumberFormat="1" applyFont="1" applyFill="1" applyBorder="1" applyAlignment="1">
      <x:alignment horizontal="center" vertical="bottom" wrapText="0"/>
    </x:xf>
    <x:xf numFmtId="0" fontId="12" fillId="6" borderId="0" xfId="0" applyNumberFormat="1" applyFont="1" applyFill="1" applyBorder="1" applyAlignment="1">
      <x:alignment horizontal="center" vertical="bottom" wrapText="0"/>
    </x:xf>
    <x:xf numFmtId="0" fontId="12" fillId="6" borderId="0" xfId="0" applyNumberFormat="1" applyFont="1" applyFill="1" applyBorder="1" applyAlignment="1">
      <x:alignment horizontal="center" vertical="bottom" wrapText="1"/>
    </x:xf>
    <x:xf numFmtId="0" fontId="12" fillId="6" borderId="0" xfId="0" applyNumberFormat="1" applyFont="1" applyFill="1" applyBorder="1" applyAlignment="1">
      <x:alignment horizontal="center" vertical="top" wrapText="1"/>
    </x:xf>
    <x:xf numFmtId="0" fontId="14" fillId="0" borderId="0" xfId="0" applyNumberFormat="1" applyFont="1" applyFill="1" applyBorder="1" applyAlignment="1">
      <x:alignment vertical="bottom" wrapText="0"/>
    </x:xf>
    <x:xf numFmtId="0" fontId="14" fillId="0" borderId="0" xfId="0" applyNumberFormat="1" applyFont="1" applyFill="1" applyBorder="1" applyAlignment="1">
      <x:alignment vertical="bottom" wrapText="1"/>
    </x:xf>
    <x:xf numFmtId="166" fontId="0" fillId="0" borderId="0" xfId="0" applyNumberFormat="1" applyFont="1" applyFill="1" applyBorder="1" applyAlignment="1">
      <x:alignment vertical="bottom" wrapText="0"/>
    </x:xf>
    <x:xf numFmtId="0" fontId="11" fillId="5" borderId="0" xfId="0" applyNumberFormat="1" applyFont="1" applyFill="1" applyBorder="1" applyAlignment="1">
      <x:alignment vertical="bottom" wrapText="1"/>
    </x:xf>
    <x:xf numFmtId="0" fontId="12" fillId="6" borderId="0" xfId="0" applyNumberFormat="1" applyFont="1" applyFill="1" applyBorder="1" applyAlignment="1">
      <x:alignment vertical="bottom" wrapText="1"/>
    </x:xf>
    <x:xf numFmtId="164" fontId="12" fillId="6" borderId="0" xfId="0" applyNumberFormat="1" applyFont="1" applyFill="1" applyBorder="1" applyAlignment="1">
      <x:alignment vertical="bottom" wrapText="1"/>
    </x:xf>
    <x:xf numFmtId="166" fontId="0" fillId="0" borderId="0" xfId="0" applyNumberFormat="1" applyFont="1" applyFill="1" applyBorder="1" applyAlignment="1">
      <x:alignment vertical="bottom" wrapText="1"/>
    </x:xf>
    <x:xf numFmtId="0" fontId="11" fillId="5" borderId="0" xfId="0" applyNumberFormat="1" applyFont="1" applyFill="1" applyBorder="1" applyAlignment="1">
      <x:alignment vertical="top" wrapText="1"/>
    </x:xf>
    <x:xf numFmtId="0" fontId="12" fillId="6" borderId="0" xfId="0" applyNumberFormat="1" applyFont="1" applyFill="1" applyBorder="1" applyAlignment="1">
      <x:alignment vertical="top" wrapText="1"/>
    </x:xf>
    <x:xf numFmtId="164" fontId="12" fillId="6" borderId="0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vertical="top" wrapText="1"/>
    </x:xf>
    <x:xf numFmtId="166" fontId="0" fillId="0" borderId="0" xfId="0" applyNumberFormat="1" applyFont="1" applyFill="1" applyBorder="1" applyAlignment="1">
      <x:alignment vertical="top" wrapText="1"/>
    </x:xf>
    <x:xf numFmtId="168" fontId="8" fillId="0" borderId="1" xfId="0" applyNumberFormat="1" applyFont="1" applyFill="1" applyBorder="1" applyAlignment="1">
      <x:alignment vertical="bottom" wrapText="1"/>
    </x:xf>
    <x:xf numFmtId="0" fontId="8" fillId="0" borderId="1" xfId="0" applyNumberFormat="1" applyFont="1" applyFill="1" applyBorder="1" applyAlignment="1">
      <x:alignment vertical="bottom" wrapText="1"/>
    </x:xf>
    <x:xf numFmtId="168" fontId="7" fillId="0" borderId="1" xfId="0" applyNumberFormat="1" applyFont="1" applyFill="1" applyBorder="1" applyAlignment="1">
      <x:alignment vertical="bottom" wrapText="1"/>
    </x:xf>
    <x:xf numFmtId="0" fontId="7" fillId="0" borderId="1" xfId="0" applyNumberFormat="1" applyFont="1" applyFill="1" applyBorder="1" applyAlignment="1">
      <x:alignment vertical="bottom" wrapText="1"/>
    </x:xf>
    <x:xf numFmtId="0" fontId="6" fillId="3" borderId="1" xfId="0" applyNumberFormat="1" applyFont="1" applyFill="1" applyBorder="1" applyAlignment="1">
      <x:alignment horizontal="center" vertical="top" wrapText="1"/>
    </x:xf>
    <x:xf numFmtId="168" fontId="8" fillId="0" borderId="1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 applyAlignment="1">
      <x:alignment vertical="top" wrapText="1"/>
    </x:xf>
    <x:xf numFmtId="168" fontId="7" fillId="0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0" fontId="12" fillId="0" borderId="0" xfId="0" applyNumberFormat="1" applyFont="1" applyFill="1" applyBorder="1" applyAlignment="1">
      <x:alignment vertical="bottom" wrapText="0"/>
    </x:xf>
    <x:xf numFmtId="0" fontId="12" fillId="0" borderId="0" xfId="0" applyNumberFormat="1" applyFont="1" applyFill="1" applyBorder="1" applyAlignment="1">
      <x:alignment horizontal="center" vertical="bottom" wrapText="0"/>
    </x:xf>
    <x:xf numFmtId="0" fontId="0" fillId="8" borderId="0" xfId="0" applyNumberFormat="1" applyFont="1" applyFill="1" applyBorder="1" applyAlignment="1">
      <x:alignment vertical="bottom" wrapText="0"/>
    </x:xf>
    <x:xf numFmtId="0" fontId="15" fillId="8" borderId="0" xfId="0" applyNumberFormat="1" applyFont="1" applyFill="1" applyBorder="1" applyAlignment="1">
      <x:alignment vertical="bottom" wrapText="0"/>
    </x:xf>
    <x:xf numFmtId="0" fontId="15" fillId="8" borderId="0" xfId="0" applyNumberFormat="1" applyFont="1" applyFill="1" applyBorder="1" applyAlignment="1">
      <x:alignment horizontal="left" vertical="bottom" wrapText="0"/>
    </x:xf>
    <x:xf numFmtId="0" fontId="15" fillId="8" borderId="0" xfId="0" applyNumberFormat="1" applyFont="1" applyFill="1" applyBorder="1" applyAlignment="1">
      <x:alignment horizontal="left" vertical="center" wrapText="0"/>
    </x:xf>
    <x:xf numFmtId="201" fontId="0" fillId="0" borderId="0" xfId="0" applyNumberFormat="1" applyFont="1" applyFill="1" applyBorder="1" applyAlignment="1">
      <x:alignment vertical="bottom" wrapText="0"/>
    </x:xf>
    <x:xf numFmtId="0" fontId="0" fillId="9" borderId="0" xfId="0" applyNumberFormat="1" applyFont="1" applyFill="1" applyBorder="1" applyAlignment="1">
      <x:alignment vertical="bottom" wrapText="0"/>
    </x:xf>
    <x:xf numFmtId="0" fontId="16" fillId="9" borderId="0" xfId="0" applyNumberFormat="1" applyFont="1" applyFill="1" applyBorder="1" applyAlignment="1">
      <x:alignment vertical="bottom" wrapText="0"/>
    </x:xf>
    <x:xf numFmtId="0" fontId="16" fillId="9" borderId="0" xfId="0" applyNumberFormat="1" applyFont="1" applyFill="1" applyBorder="1" applyAlignment="1">
      <x:alignment vertical="bottom" wrapText="1"/>
    </x:xf>
    <x:xf numFmtId="0" fontId="16" fillId="9" borderId="0" xfId="0" applyNumberFormat="1" applyFont="1" applyFill="1" applyBorder="1" applyAlignment="1">
      <x:alignment horizontal="center" vertical="bottom" wrapText="1"/>
    </x:xf>
    <x:xf numFmtId="0" fontId="16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 applyAlignment="1">
      <x:alignment vertical="bottom" wrapText="0"/>
    </x:xf>
    <x:xf numFmtId="0" fontId="17" fillId="10" borderId="0" xfId="0" applyNumberFormat="1" applyFont="1" applyFill="1" applyBorder="1" applyAlignment="1">
      <x:alignment vertical="bottom" wrapText="0"/>
    </x:xf>
    <x:xf numFmtId="0" fontId="17" fillId="10" borderId="0" xfId="0" applyNumberFormat="1" applyFont="1" applyFill="1" applyBorder="1" applyAlignment="1">
      <x:alignment horizontal="center" vertical="bottom" wrapText="0"/>
    </x:xf>
    <x:xf numFmtId="0" fontId="17" fillId="10" borderId="0" xfId="0" applyNumberFormat="1" applyFont="1" applyFill="1" applyBorder="1" applyAlignment="1">
      <x:alignment horizontal="center" vertical="center" wrapText="0"/>
    </x:xf>
    <x:xf numFmtId="202" fontId="17" fillId="10" borderId="0" xfId="0" applyNumberFormat="1" applyFont="1" applyFill="1" applyBorder="1" applyAlignment="1">
      <x:alignment horizontal="center" vertical="center" wrapText="0"/>
    </x:xf>
    <x:xf numFmtId="165" fontId="17" fillId="10" borderId="0" xfId="0" applyNumberFormat="1" applyFont="1" applyFill="1" applyBorder="1" applyAlignment="1">
      <x:alignment horizontal="center" vertical="center" wrapText="0"/>
    </x:xf>
    <x:xf numFmtId="200" fontId="17" fillId="10" borderId="0" xfId="0" applyNumberFormat="1" applyFont="1" applyFill="1" applyBorder="1" applyAlignment="1">
      <x:alignment horizontal="center" vertical="center" wrapText="0"/>
    </x:xf>
    <x:xf numFmtId="0" fontId="6" fillId="8" borderId="0" xfId="0" applyNumberFormat="1" applyFont="1" applyFill="1" applyBorder="1" applyAlignment="1">
      <x:alignment vertical="bottom" wrapText="0"/>
    </x:xf>
    <x:xf numFmtId="0" fontId="0" fillId="0" xfId="0" applyNumberFormat="1" applyFont="1" applyFill="1" applyBorder="0" applyAlignment="1">
      <x:alignment vertical="bottom" wrapText="0"/>
    </x:xf>
    <x:xf numFmtId="0" fontId="0" fillId="0" xfId="0" applyNumberFormat="1" applyFont="1" applyFill="1" applyBorder="0" applyAlignment="1">
      <x:alignment vertical="bottom" wrapText="1"/>
    </x:xf>
    <x:xf numFmtId="0" fontId="0" fillId="0" xfId="0" applyNumberFormat="1" applyFont="1" applyFill="1" applyBorder="0" applyAlignment="1">
      <x:alignment vertical="center" wrapText="1"/>
    </x:xf>
    <x:xf numFmtId="0" fontId="0" fillId="11" xfId="0" applyNumberFormat="1" applyFont="1" applyFill="1" applyBorder="0" applyAlignment="1">
      <x:alignment vertical="center" wrapText="1"/>
    </x:xf>
    <x:xf numFmtId="0" fontId="18" fillId="11" xfId="0" applyNumberFormat="1" applyFont="1" applyFill="1" applyBorder="0" applyAlignment="1">
      <x:alignment vertical="center" wrapText="1"/>
    </x:xf>
    <x:xf numFmtId="165" fontId="0" fillId="0" xfId="0" applyNumberFormat="1" applyFont="1" applyFill="1" applyBorder="0" applyAlignment="1">
      <x:alignment vertical="center" wrapText="1"/>
    </x:xf>
    <x:xf numFmtId="202" fontId="0" fillId="0" borderId="0" xfId="0" applyNumberFormat="1" applyFont="1" applyFill="1" applyBorder="1" applyAlignment="1">
      <x:alignment vertical="bottom" wrapText="0"/>
    </x:xf>
    <x:xf numFmtId="166" fontId="0" fillId="0" xfId="0" applyNumberFormat="1" applyFont="1" applyFill="1" applyBorder="0" applyAlignment="1">
      <x:alignment vertical="bottom" wrapText="0"/>
    </x:xf>
    <x:xf numFmtId="202" fontId="0" fillId="0" xfId="0" applyNumberFormat="1" applyFont="1" applyFill="1" applyBorder="0" applyAlignment="1">
      <x:alignment vertical="bottom" wrapText="0"/>
    </x:xf>
    <x:xf numFmtId="165" fontId="0" fillId="0" xfId="0" applyNumberFormat="1" applyFont="1" applyFill="1" applyBorder="0" applyAlignment="1">
      <x:alignment vertical="bottom" wrapText="0"/>
    </x:xf>
    <x:xf numFmtId="0" fontId="0" fillId="0" xfId="0" applyNumberFormat="1" applyFont="1" applyFill="1" applyBorder="0" applyAlignment="1">
      <x:alignment vertical="center" wrapText="0"/>
    </x:xf>
    <x:xf numFmtId="166" fontId="0" fillId="0" xfId="0" applyNumberFormat="1" applyFont="1" applyFill="1" applyBorder="0" applyAlignment="1">
      <x:alignment vertical="center" wrapText="0"/>
    </x:xf>
    <x:xf numFmtId="202" fontId="0" fillId="0" xfId="0" applyNumberFormat="1" applyFont="1" applyFill="1" applyBorder="0" applyAlignment="1">
      <x:alignment vertical="center" wrapText="0"/>
    </x:xf>
    <x:xf numFmtId="165" fontId="0" fillId="0" xfId="0" applyNumberFormat="1" applyFont="1" applyFill="1" applyBorder="0" applyAlignment="1">
      <x:alignment vertical="center" wrapText="0"/>
    </x:xf>
    <x:xf numFmtId="0" fontId="15" fillId="8" borderId="0" xfId="0" applyNumberFormat="1" applyFont="1" applyFill="1" applyBorder="1" applyAlignment="1">
      <x:alignment vertical="center" wrapText="0"/>
    </x:xf>
    <x:xf numFmtId="200" fontId="0" fillId="0" xfId="0" applyNumberFormat="1" applyFont="1" applyFill="1" applyBorder="0" applyAlignment="1">
      <x:alignment vertical="bottom" wrapText="0"/>
    </x:xf>
    <x:xf numFmtId="200" fontId="0" fillId="0" xfId="0" applyNumberFormat="1" applyFont="1" applyFill="1" applyBorder="0" applyAlignment="1">
      <x:alignment vertical="bottom" wrapText="1"/>
    </x:xf>
    <x:xf numFmtId="200" fontId="0" fillId="0" xfId="0" applyNumberFormat="1" applyFont="1" applyFill="1" applyBorder="0" applyAlignment="1">
      <x:alignment vertical="center" wrapText="1"/>
    </x:xf>
    <x:xf numFmtId="166" fontId="0" fillId="0" xfId="0" applyNumberFormat="1" applyFont="1" applyFill="1" applyBorder="0" applyAlignment="1">
      <x:alignment vertical="bottom" wrapText="1"/>
    </x:xf>
    <x:xf numFmtId="165" fontId="0" fillId="0" xfId="0" applyNumberFormat="1" applyFont="1" applyFill="1" applyBorder="0" applyAlignment="1">
      <x:alignment vertical="bottom" wrapText="1"/>
    </x:xf>
    <x:xf numFmtId="166" fontId="0" fillId="0" xfId="0" applyNumberFormat="1" applyFont="1" applyFill="1" applyBorder="0" applyAlignment="1">
      <x:alignment vertical="center" wrapText="1"/>
    </x:xf>
    <x:xf numFmtId="0" fontId="11" fillId="8" borderId="0" xfId="0" applyNumberFormat="1" applyFont="1" applyFill="1" applyBorder="1" applyAlignment="1">
      <x:alignment vertical="bottom" wrapText="0"/>
    </x:xf>
    <x:xf numFmtId="0" fontId="11" fillId="8" borderId="0" xfId="0" applyNumberFormat="1" applyFont="1" applyFill="1" applyBorder="1" applyAlignment="1">
      <x:alignment vertical="center" wrapText="0"/>
    </x:xf>
    <x:xf numFmtId="0" fontId="0" fillId="11" borderId="0" xfId="0" applyNumberFormat="1" applyFont="1" applyFill="1" applyBorder="1" applyAlignment="1">
      <x:alignment vertical="bottom" wrapText="0"/>
    </x:xf>
    <x:xf numFmtId="0" fontId="18" fillId="11" borderId="0" xfId="0" applyNumberFormat="1" applyFont="1" applyFill="1" applyBorder="1" applyAlignment="1">
      <x:alignment vertical="bottom" wrapText="0"/>
    </x:xf>
    <x:xf numFmtId="169" fontId="0" fillId="0" borderId="0" xfId="0" applyNumberFormat="1" applyFont="1" applyFill="1" applyBorder="1" applyAlignment="1">
      <x:alignment vertical="bottom" wrapText="0"/>
    </x:xf>
    <x:xf numFmtId="168" fontId="0" fillId="0" xfId="0" applyNumberFormat="1" applyFont="1" applyFill="1" applyBorder="0" applyAlignment="1">
      <x:alignment vertical="center" wrapText="1"/>
    </x:xf>
    <x:xf numFmtId="0" fontId="0" fillId="8" xfId="0" applyNumberFormat="1" applyFont="1" applyFill="1" applyBorder="0" applyAlignment="1">
      <x:alignment vertical="center" wrapText="1"/>
    </x:xf>
    <x:xf numFmtId="0" fontId="6" fillId="8" xfId="0" applyNumberFormat="1" applyFont="1" applyFill="1" applyBorder="0" applyAlignment="1">
      <x:alignment vertical="center" wrapText="1"/>
    </x:xf>
    <x:xf numFmtId="0" fontId="6" fillId="3" xfId="0" applyNumberFormat="1" applyFont="1" applyFill="1" applyBorder="0" applyAlignment="1">
      <x:alignment horizontal="center" vertical="bottom" wrapText="0"/>
    </x:xf>
    <x:xf numFmtId="0" fontId="7" fillId="0" xfId="0" applyNumberFormat="1" applyFont="1" applyFill="1" applyBorder="0" applyAlignment="1">
      <x:alignment vertical="bottom" wrapText="0"/>
    </x:xf>
    <x:xf numFmtId="0" fontId="4" fillId="0" xfId="0" applyNumberFormat="1" applyFont="1" applyFill="1" applyBorder="0" applyAlignment="1">
      <x:alignment vertical="bottom" wrapText="0"/>
    </x:xf>
    <x:xf numFmtId="0" fontId="6" fillId="3" xfId="0" applyNumberFormat="1" applyFont="1" applyFill="1" applyBorder="0" applyAlignment="1">
      <x:alignment horizontal="center" vertical="bottom" wrapText="1"/>
    </x:xf>
    <x:xf numFmtId="0" fontId="7" fillId="0" xfId="0" applyNumberFormat="1" applyFont="1" applyFill="1" applyBorder="0" applyAlignment="1">
      <x:alignment vertical="bottom" wrapText="1"/>
    </x:xf>
    <x:xf numFmtId="0" fontId="4" fillId="0" xfId="0" applyNumberFormat="1" applyFont="1" applyFill="1" applyBorder="0" applyAlignment="1">
      <x:alignment vertical="bottom" wrapText="1"/>
    </x:xf>
    <x:xf numFmtId="0" fontId="6" fillId="3" xfId="0" applyNumberFormat="1" applyFont="1" applyFill="1" applyBorder="0" applyAlignment="1">
      <x:alignment horizontal="center" vertical="center" wrapText="1"/>
    </x:xf>
    <x:xf numFmtId="0" fontId="7" fillId="0" xfId="0" applyNumberFormat="1" applyFont="1" applyFill="1" applyBorder="0" applyAlignment="1">
      <x:alignment vertical="center" wrapText="1"/>
    </x:xf>
    <x:xf numFmtId="0" fontId="4" fillId="0" xfId="0" applyNumberFormat="1" applyFont="1" applyFill="1" applyBorder="0" applyAlignment="1">
      <x:alignment vertical="center" wrapText="1"/>
    </x:xf>
    <x:xf numFmtId="0" fontId="6" fillId="8" xfId="0" applyNumberFormat="1" applyFont="1" applyFill="1" applyBorder="0" applyAlignment="1">
      <x:alignment horizontal="center" vertical="center" wrapText="1"/>
    </x:xf>
    <x:xf numFmtId="0" fontId="19" fillId="8" xfId="0" applyNumberFormat="1" applyFont="1" applyFill="1" applyBorder="0" applyAlignment="1">
      <x:alignment horizontal="center" vertical="center" wrapText="1"/>
    </x:xf>
  </x:cellXfs>
  <x:cellStyles count="1">
    <x:cellStyle name="Normal" xfId="0"/>
  </x:cellStyles>
  <x:dxfs count="6">
    <x:dxf>
      <x:font>
        <x:color rgb="FF006100"/>
        <x:name val="Arial"/>
      </x:font>
      <x:fill>
        <x:patternFill>
          <x:bgColor rgb="FFC6EFCE"/>
        </x:patternFill>
      </x:fill>
      <x:border/>
    </x:dxf>
    <x:dxf>
      <x:font>
        <x:color rgb="FF9C6500"/>
        <x:name val="Arial"/>
      </x:font>
      <x:fill>
        <x:patternFill>
          <x:bgColor rgb="FFFFEB9C"/>
        </x:patternFill>
      </x:fill>
      <x:border/>
    </x:dxf>
    <x:dxf>
      <x:font>
        <x:color rgb="FF9C0006"/>
        <x:name val="Arial"/>
      </x:font>
      <x:fill>
        <x:patternFill>
          <x:bgColor rgb="FFFFC7CE"/>
        </x:patternFill>
      </x:fill>
      <x:border/>
    </x:dxf>
    <x:dxf>
      <x:font>
        <x:color rgb="FF006100"/>
      </x:font>
      <x:fill>
        <x:patternFill>
          <x:bgColor rgb="FFC6EFCE"/>
        </x:patternFill>
      </x:fill>
    </x:dxf>
    <x:dxf>
      <x:font>
        <x:color rgb="FF9C6500"/>
      </x:font>
      <x:fill>
        <x:patternFill>
          <x:bgColor rgb="FFFFEB9C"/>
        </x:patternFill>
      </x:fill>
    </x:dxf>
    <x:dxf>
      <x:font>
        <x:color rgb="FF9C0006"/>
      </x:font>
      <x:fill>
        <x:patternFill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71c45913664718" /><Relationship Type="http://schemas.openxmlformats.org/officeDocument/2006/relationships/theme" Target="/xl/theme/theme1.xml" Id="R8dfb05f949b34880" /><Relationship Type="http://schemas.openxmlformats.org/officeDocument/2006/relationships/sharedStrings" Target="/xl/sharedStrings.xml" Id="R95a47652c7d24a8b" /><Relationship Type="http://schemas.openxmlformats.org/officeDocument/2006/relationships/worksheet" Target="/xl/worksheets/sheet1.xml" Id="Re508a2b6052d4d4e" /><Relationship Type="http://schemas.openxmlformats.org/officeDocument/2006/relationships/worksheet" Target="/xl/worksheets/sheet2.xml" Id="Rf223e6dddb71494a" /><Relationship Type="http://schemas.openxmlformats.org/officeDocument/2006/relationships/worksheet" Target="/xl/worksheets/sheet3.xml" Id="R6591f62139444332" /><Relationship Type="http://schemas.openxmlformats.org/officeDocument/2006/relationships/worksheet" Target="/xl/worksheets/sheet4.xml" Id="R9007fdfbf99b4d6f" /><Relationship Type="http://schemas.openxmlformats.org/officeDocument/2006/relationships/worksheet" Target="/xl/worksheets/sheet5.xml" Id="Ra60d1e96ba324cfd" /><Relationship Type="http://schemas.openxmlformats.org/officeDocument/2006/relationships/worksheet" Target="/xl/worksheets/sheet6.xml" Id="R7cd7986210d64eb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fb78ef154b646da" /><Relationship Type="http://schemas.openxmlformats.org/officeDocument/2006/relationships/chart" Target="/xl/drawings/charts/chart2.xml" Id="Ra90f80007da84a99" /><Relationship Type="http://schemas.openxmlformats.org/officeDocument/2006/relationships/chart" Target="/xl/drawings/charts/chart3.xml" Id="Rf0e2fb815556418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6ee7057faf8b4ad1" /><Relationship Type="http://schemas.openxmlformats.org/officeDocument/2006/relationships/chart" Target="/xl/drawings/charts/chart5.xml" Id="R9c948f95db0344f8" /><Relationship Type="http://schemas.openxmlformats.org/officeDocument/2006/relationships/chart" Target="/xl/drawings/charts/chart6.xml" Id="R0026682256f445d4" /><Relationship Type="http://schemas.openxmlformats.org/officeDocument/2006/relationships/chart" Target="/xl/drawings/charts/chart7.xml" Id="Rd3c78b0d582d49b0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8.xml" Id="Ree6f2b25cd7e4545" /><Relationship Type="http://schemas.openxmlformats.org/officeDocument/2006/relationships/chart" Target="/xl/drawings/charts/chart9.xml" Id="R928c0fef7d5b4a7a" /><Relationship Type="http://schemas.openxmlformats.org/officeDocument/2006/relationships/chart" Target="/xl/drawings/charts/chart10.xml" Id="Rac84f0ed62384ed4" /><Relationship Type="http://schemas.openxmlformats.org/officeDocument/2006/relationships/chart" Target="/xl/drawings/charts/chart11.xml" Id="Rb278607a07364032" /><Relationship Type="http://schemas.openxmlformats.org/officeDocument/2006/relationships/chart" Target="/xl/drawings/charts/chart12.xml" Id="Rc7f69787679443df" /><Relationship Type="http://schemas.openxmlformats.org/officeDocument/2006/relationships/chart" Target="/xl/drawings/charts/chart13.xml" Id="R6c7375cc770d45df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14.xml" Id="Rbc7b42dc4a3f423b" /><Relationship Type="http://schemas.openxmlformats.org/officeDocument/2006/relationships/chart" Target="/xl/drawings/charts/chart15.xml" Id="Re5fe828b5c5d45ae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16.xml" Id="Rcb9a2e194ce94ed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NC por categoria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NC no mês</c:v>
          </c:tx>
          <c:cat>
            <c:strRef>
              <c:f>'INDICADORES'!$A$4:$A$12</c:f>
              <c:strCache>
                <c:ptCount val="0"/>
              </c:strCache>
            </c:strRef>
          </c:cat>
          <c:val>
            <c:numRef>
              <c:f>'INDICADORES'!$B$4:$B$12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Evolução de NC</a:t>
            </a:r>
          </a:p>
        </c:rich>
      </c:tx>
    </c:title>
    <c:plotArea>
      <c:lineChart>
        <c:grouping val="standard"/>
        <c:ser>
          <c:idx val="0"/>
          <c:order val="0"/>
          <c:tx>
            <c:v>NC abertas</c:v>
          </c:tx>
          <c:marker>
            <c:symbol val="none"/>
          </c:marker>
          <c:cat>
            <c:strRef>
              <c:f>'INDICADORES'!$F$4:$F$9</c:f>
              <c:strCache>
                <c:ptCount val="0"/>
              </c:strCache>
            </c:strRef>
          </c:cat>
          <c:val>
            <c:numRef>
              <c:f>'INDICADORES'!$G$4:$G$9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Custo de NC por mês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NC abertas</c:v>
          </c:tx>
          <c:cat>
            <c:strRef>
              <c:f>'INDICADORES'!$F$4:$F$9</c:f>
              <c:strCache>
                <c:ptCount val="0"/>
              </c:strCache>
            </c:strRef>
          </c:cat>
          <c:val>
            <c:numRef>
              <c:f>'INDICADORES'!$G$4:$G$9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Custo NC (R$)</c:v>
          </c:tx>
          <c:cat>
            <c:strRef>
              <c:f>'INDICADORES'!$F$4:$F$9</c:f>
              <c:strCache>
                <c:ptCount val="0"/>
              </c:strCache>
            </c:strRef>
          </c:cat>
          <c:val>
            <c:numRef>
              <c:f>'INDICADORES'!$H$4:$H$9</c:f>
              <c:numCache>
                <c:formatCode>R$ 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Chamados recebidos x resolvidos por mes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i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Chamados recebidos</c:v>
          </c:tx>
          <c:spPr>
            <a:ln xmlns:a="http://schemas.openxmlformats.org/drawingml/2006/main" w="38100" cmpd="sng">
              <a:solidFill>
                <a:srgbClr val="1F3864">
                  <a:alpha val="100000"/>
                </a:srgbClr>
              </a:solidFill>
            </a:ln>
          </c:spPr>
          <c:marker>
            <c:symbol val="circle"/>
            <c:size val="7"/>
            <c:spPr>
              <a:solidFill xmlns:a="http://schemas.openxmlformats.org/drawingml/2006/main">
                <a:srgbClr val="1F3864">
                  <a:alpha val="100000"/>
                </a:srgbClr>
              </a:solidFill>
              <a:ln xmlns:a="http://schemas.openxmlformats.org/drawingml/2006/main" cmpd="sng">
                <a:solidFill>
                  <a:srgbClr val="1F3864">
                    <a:alpha val="100000"/>
                  </a:srgbClr>
                </a:solidFill>
              </a:ln>
            </c:spPr>
          </c:marker>
          <c:cat>
            <c:strLit>
              <c:ptCount val="0"/>
            </c:strLit>
          </c:cat>
          <c:val>
            <c:numRef>
              <c:f>'RESUMO MENSAL'!$B$4:$G$4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Chamados resolvidos</c:v>
          </c:tx>
          <c:spPr>
            <a:ln xmlns:a="http://schemas.openxmlformats.org/drawingml/2006/main" w="38100" cmpd="sng">
              <a:solidFill>
                <a:srgbClr val="70AD47">
                  <a:alpha val="100000"/>
                </a:srgbClr>
              </a:solidFill>
            </a:ln>
          </c:spPr>
          <c:marker>
            <c:symbol val="circle"/>
            <c:size val="7"/>
            <c:spPr>
              <a:solidFill xmlns:a="http://schemas.openxmlformats.org/drawingml/2006/main">
                <a:srgbClr val="70AD47">
                  <a:alpha val="100000"/>
                </a:srgbClr>
              </a:solidFill>
              <a:ln xmlns:a="http://schemas.openxmlformats.org/drawingml/2006/main" cmpd="sng">
                <a:solidFill>
                  <a:srgbClr val="70AD47">
                    <a:alpha val="100000"/>
                  </a:srgbClr>
                </a:solidFill>
              </a:ln>
            </c:spPr>
          </c:marker>
          <c:cat>
            <c:strLit>
              <c:ptCount val="0"/>
            </c:strLit>
          </c:cat>
          <c:val>
            <c:numRef>
              <c:f>'RESUMO MENSAL'!$B$5:$G$5</c:f>
              <c:numCache>
                <c:formatCode>General</c:formatCode>
                <c:ptCount val="0"/>
              </c:numCache>
            </c:numRef>
          </c:val>
        </c:ser>
        <c:axId val="451102497"/>
        <c:axId val="1030937790"/>
      </c:lineChart>
      <c:catAx>
        <c:axId val="451102497"/>
        <c:scaling>
          <c:orientation val="minMax"/>
        </c:scaling>
        <c:delete val="0"/>
        <c:axPos val="b"/>
        <c:title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mmm/yy" sourceLinked="0"/>
        <c:majorTickMark val="none"/>
        <c:minorTickMark val="none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i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1030937790"/>
        <c:lblAlgn val="ctr"/>
        <c:lblOffset val="100"/>
        <c:noMultiLvlLbl val="0"/>
      </c:catAx>
      <c:valAx>
        <c:axId val="1030937790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B7B7B7"/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 i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Qtd de chamados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 i="0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i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451102497"/>
        <c:crossBetween val="between"/>
      </c:valAx>
    </c:plotArea>
    <c:legend>
      <c:legendPos val="r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00" b="0" i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</c:spPr>
</c:chartSpace>
</file>

<file path=xl/drawings/charts/chart5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Custo do SAC por mes (R$)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i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Custo gerado pelo SAC (R$)</c:v>
          </c:tx>
          <c:spPr>
            <a:solidFill xmlns:a="http://schemas.openxmlformats.org/drawingml/2006/main">
              <a:srgbClr val="C00000"/>
            </a:solidFill>
            <a:ln xmlns:a="http://schemas.openxmlformats.org/drawingml/2006/main" cmpd="sng">
              <a:noFill/>
            </a:ln>
          </c:spPr>
          <c:cat>
            <c:strLit>
              <c:ptCount val="0"/>
            </c:strLit>
          </c:cat>
          <c:val>
            <c:numRef>
              <c:f>'RESUMO MENSAL'!$B$16:$G$16</c:f>
              <c:numCache>
                <c:formatCode>General</c:formatCode>
                <c:ptCount val="0"/>
              </c:numCache>
            </c:numRef>
          </c:val>
        </c:ser>
        <c:axId val="2044967193"/>
        <c:axId val="1267870056"/>
      </c:barChart>
      <c:catAx>
        <c:axId val="2044967193"/>
        <c:scaling>
          <c:orientation val="minMax"/>
        </c:scaling>
        <c:delete val="0"/>
        <c:axPos val="b"/>
        <c:title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mmm/yy" sourceLinked="0"/>
        <c:majorTickMark val="none"/>
        <c:minorTickMark val="none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i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1267870056"/>
        <c:lblAlgn val="ctr"/>
        <c:lblOffset val="100"/>
        <c:noMultiLvlLbl val="0"/>
      </c:catAx>
      <c:valAx>
        <c:axId val="1267870056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B7B7B7"/>
              </a:solidFill>
            </a:ln>
          </c:spPr>
        </c:majorGridlines>
        <c:title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i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2044967193"/>
        <c:crossBetween val="between"/>
      </c:valAx>
    </c:plotArea>
    <c:plotVisOnly val="1"/>
  </c:chart>
  <c:spPr>
    <a:solidFill xmlns:a="http://schemas.openxmlformats.org/drawingml/2006/main">
      <a:srgbClr val="FFFFFF"/>
    </a:solidFill>
  </c:spPr>
</c:chartSpace>
</file>

<file path=xl/drawings/charts/chart6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Satisfacao media por mes (1-5)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i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Satisfacao media (1-5)</c:v>
          </c:tx>
          <c:spPr>
            <a:ln xmlns:a="http://schemas.openxmlformats.org/drawingml/2006/main" w="38100" cmpd="sng">
              <a:solidFill>
                <a:srgbClr val="ED7D31">
                  <a:alpha val="100000"/>
                </a:srgbClr>
              </a:solidFill>
            </a:ln>
          </c:spPr>
          <c:marker>
            <c:symbol val="circle"/>
            <c:size val="8"/>
            <c:spPr>
              <a:solidFill xmlns:a="http://schemas.openxmlformats.org/drawingml/2006/main">
                <a:srgbClr val="ED7D31">
                  <a:alpha val="100000"/>
                </a:srgbClr>
              </a:solidFill>
              <a:ln xmlns:a="http://schemas.openxmlformats.org/drawingml/2006/main" cmpd="sng">
                <a:solidFill>
                  <a:srgbClr val="ED7D31">
                    <a:alpha val="100000"/>
                  </a:srgbClr>
                </a:solidFill>
              </a:ln>
            </c:spPr>
          </c:marker>
          <c:cat>
            <c:strLit>
              <c:ptCount val="0"/>
            </c:strLit>
          </c:cat>
          <c:val>
            <c:numRef>
              <c:f>'RESUMO MENSAL'!$B$13:$G$13</c:f>
              <c:numCache>
                <c:formatCode>General</c:formatCode>
                <c:ptCount val="0"/>
              </c:numCache>
            </c:numRef>
          </c:val>
        </c:ser>
        <c:axId val="1318953851"/>
        <c:axId val="571143877"/>
      </c:lineChart>
      <c:catAx>
        <c:axId val="1318953851"/>
        <c:scaling>
          <c:orientation val="minMax"/>
        </c:scaling>
        <c:delete val="0"/>
        <c:axPos val="b"/>
        <c:title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mmm/yy" sourceLinked="0"/>
        <c:majorTickMark val="none"/>
        <c:minorTickMark val="none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i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571143877"/>
        <c:lblAlgn val="ctr"/>
        <c:lblOffset val="100"/>
        <c:noMultiLvlLbl val="0"/>
      </c:catAx>
      <c:valAx>
        <c:axId val="571143877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B7B7B7"/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 i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Satisfacao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 i="0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i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1318953851"/>
        <c:crossBetween val="between"/>
      </c:valAx>
    </c:plotArea>
    <c:plotVisOnly val="1"/>
  </c:chart>
  <c:spPr>
    <a:solidFill xmlns:a="http://schemas.openxmlformats.org/drawingml/2006/main">
      <a:srgbClr val="FFFFFF"/>
    </a:solidFill>
  </c:spPr>
</c:chartSpace>
</file>

<file path=xl/drawings/charts/chart7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Reclamacoes, trocas, avarias e pecas faltantes por mes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i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Reclamacoes</c:v>
          </c:tx>
          <c:spPr>
            <a:solidFill xmlns:a="http://schemas.openxmlformats.org/drawingml/2006/main">
              <a:srgbClr val="C00000"/>
            </a:solidFill>
            <a:ln xmlns:a="http://schemas.openxmlformats.org/drawingml/2006/main" cmpd="sng">
              <a:noFill/>
            </a:ln>
          </c:spPr>
          <c:cat>
            <c:strLit>
              <c:ptCount val="0"/>
            </c:strLit>
          </c:cat>
          <c:val>
            <c:numRef>
              <c:f>'RESUMO MENSAL'!$B$9:$G$9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Trocas</c:v>
          </c:tx>
          <c:spPr>
            <a:solidFill xmlns:a="http://schemas.openxmlformats.org/drawingml/2006/main">
              <a:srgbClr val="1F3864"/>
            </a:solidFill>
            <a:ln xmlns:a="http://schemas.openxmlformats.org/drawingml/2006/main" cmpd="sng">
              <a:noFill/>
            </a:ln>
          </c:spPr>
          <c:cat>
            <c:strLit>
              <c:ptCount val="0"/>
            </c:strLit>
          </c:cat>
          <c:val>
            <c:numRef>
              <c:f>'RESUMO MENSAL'!$B$10:$G$10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Avarias</c:v>
          </c:tx>
          <c:spPr>
            <a:solidFill xmlns:a="http://schemas.openxmlformats.org/drawingml/2006/main">
              <a:srgbClr val="ED7D31"/>
            </a:solidFill>
            <a:ln xmlns:a="http://schemas.openxmlformats.org/drawingml/2006/main" cmpd="sng">
              <a:noFill/>
            </a:ln>
          </c:spPr>
          <c:cat>
            <c:strLit>
              <c:ptCount val="0"/>
            </c:strLit>
          </c:cat>
          <c:val>
            <c:numRef>
              <c:f>'RESUMO MENSAL'!$B$11:$G$11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Pecas faltantes</c:v>
          </c:tx>
          <c:spPr>
            <a:solidFill xmlns:a="http://schemas.openxmlformats.org/drawingml/2006/main">
              <a:srgbClr val="70AD47"/>
            </a:solidFill>
            <a:ln xmlns:a="http://schemas.openxmlformats.org/drawingml/2006/main" cmpd="sng">
              <a:noFill/>
            </a:ln>
          </c:spPr>
          <c:cat>
            <c:strLit>
              <c:ptCount val="0"/>
            </c:strLit>
          </c:cat>
          <c:val>
            <c:numRef>
              <c:f>'RESUMO MENSAL'!$B$12:$G$12</c:f>
              <c:numCache>
                <c:formatCode>General</c:formatCode>
                <c:ptCount val="0"/>
              </c:numCache>
            </c:numRef>
          </c:val>
        </c:ser>
        <c:axId val="1945622672"/>
        <c:axId val="282480025"/>
      </c:barChart>
      <c:catAx>
        <c:axId val="1945622672"/>
        <c:scaling>
          <c:orientation val="minMax"/>
        </c:scaling>
        <c:delete val="0"/>
        <c:axPos val="b"/>
        <c:title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mmm/yy" sourceLinked="0"/>
        <c:majorTickMark val="none"/>
        <c:minorTickMark val="none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i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282480025"/>
        <c:lblAlgn val="ctr"/>
        <c:lblOffset val="100"/>
        <c:noMultiLvlLbl val="0"/>
      </c:catAx>
      <c:valAx>
        <c:axId val="282480025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B7B7B7"/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 i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Qtd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 i="0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i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1945622672"/>
        <c:crossBetween val="between"/>
      </c:valAx>
    </c:plotArea>
    <c:legend>
      <c:legendPos val="r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00" b="0" i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</c:spPr>
</c:chartSpace>
</file>

<file path=xl/drawings/charts/chart8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Produto mais reclamado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i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title>
    <c:plotArea>
      <c:barChart>
        <c:barDir val="bar"/>
        <c:varyColors val="0"/>
        <c:ser>
          <c:idx val="0"/>
          <c:order val="0"/>
          <c:tx>
            <c:v>Qtd</c:v>
          </c:tx>
          <c:spPr>
            <a:solidFill xmlns:a="http://schemas.openxmlformats.org/drawingml/2006/main">
              <a:srgbClr val="C00000"/>
            </a:solidFill>
            <a:ln xmlns:a="http://schemas.openxmlformats.org/drawingml/2006/main" cmpd="sng">
              <a:noFill/>
            </a:ln>
          </c:spPr>
          <c:cat>
            <c:strLit>
              <c:ptCount val="0"/>
            </c:strLit>
          </c:cat>
          <c:val>
            <c:numRef>
              <c:f>'BASE NC'!$B$340:$B$346</c:f>
              <c:numCache>
                <c:formatCode>General</c:formatCode>
                <c:ptCount val="0"/>
              </c:numCache>
            </c:numRef>
          </c:val>
        </c:ser>
        <c:axId val="1510621630"/>
        <c:axId val="240881197"/>
      </c:barChart>
      <c:catAx>
        <c:axId val="1510621630"/>
        <c:scaling>
          <c:orientation val="maxMin"/>
        </c:scaling>
        <c:delete val="0"/>
        <c:axPos val="l"/>
        <c:title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i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240881197"/>
        <c:lblAlgn val="ctr"/>
        <c:lblOffset val="100"/>
        <c:noMultiLvlLbl val="0"/>
      </c:catAx>
      <c:valAx>
        <c:axId val="240881197"/>
        <c:scaling>
          <c:orientation val="minMax"/>
        </c:scaling>
        <c:delete val="0"/>
        <c:axPos val="b"/>
        <c:majorGridlines>
          <c:spPr>
            <a:ln xmlns:a="http://schemas.openxmlformats.org/drawingml/2006/main">
              <a:solidFill>
                <a:srgbClr val="B7B7B7"/>
              </a:solidFill>
            </a:ln>
          </c:spPr>
        </c:majorGridlines>
        <c:title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i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1510621630"/>
        <c:crosses val="max"/>
        <c:crossBetween val="between"/>
      </c:valAx>
    </c:plotArea>
    <c:plotVisOnly val="1"/>
  </c:chart>
  <c:spPr>
    <a:solidFill xmlns:a="http://schemas.openxmlformats.org/drawingml/2006/main">
      <a:srgbClr val="FFFFFF"/>
    </a:solidFill>
  </c:spPr>
</c:chartSpace>
</file>

<file path=xl/drawings/charts/chart9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Reclamacoes por setor responsavel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i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Qtd</c:v>
          </c:tx>
          <c:spPr>
            <a:solidFill xmlns:a="http://schemas.openxmlformats.org/drawingml/2006/main">
              <a:srgbClr val="1F3864"/>
            </a:solidFill>
            <a:ln xmlns:a="http://schemas.openxmlformats.org/drawingml/2006/main" cmpd="sng">
              <a:noFill/>
            </a:ln>
          </c:spPr>
          <c:cat>
            <c:strLit>
              <c:ptCount val="0"/>
            </c:strLit>
          </c:cat>
          <c:val>
            <c:numRef>
              <c:f>'BASE NC'!$B$330:$B$336</c:f>
              <c:numCache>
                <c:formatCode>General</c:formatCode>
                <c:ptCount val="0"/>
              </c:numCache>
            </c:numRef>
          </c:val>
        </c:ser>
        <c:axId val="1228937497"/>
        <c:axId val="2122779207"/>
      </c:barChart>
      <c:catAx>
        <c:axId val="1228937497"/>
        <c:scaling>
          <c:orientation val="minMax"/>
        </c:scaling>
        <c:delete val="0"/>
        <c:axPos val="b"/>
        <c:title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i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2122779207"/>
        <c:lblAlgn val="ctr"/>
        <c:lblOffset val="100"/>
        <c:noMultiLvlLbl val="0"/>
      </c:catAx>
      <c:valAx>
        <c:axId val="2122779207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B7B7B7"/>
              </a:solidFill>
            </a:ln>
          </c:spPr>
        </c:majorGridlines>
        <c:title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i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1228937497"/>
        <c:crossBetween val="between"/>
      </c:valAx>
    </c:plotArea>
    <c:plotVisOnly val="1"/>
  </c:chart>
  <c:spPr>
    <a:solidFill xmlns:a="http://schemas.openxmlformats.org/drawingml/2006/main">
      <a:srgbClr val="FFFFFF"/>
    </a:solidFill>
  </c:spPr>
</c:chartSpace>
</file>

<file path=xl/drawings/charts/chart10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Reincidencia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i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title>
    <c:plotArea>
      <c:pieChart>
        <c:ser>
          <c:idx val="0"/>
          <c:order val="0"/>
          <c:tx>
            <c:strRef>
              <c:f>'BASE NC'!$B$349</c:f>
              <c:strCache>
                <c:ptCount val="1"/>
                <c:pt idx="0">
                  <c:v/>
                </c:pt>
              </c:strCache>
            </c:strRef>
          </c:tx>
          <c:dPt>
            <c:idx val="0"/>
            <c:spPr>
              <a:solidFill xmlns:a="http://schemas.openxmlformats.org/drawingml/2006/main">
                <a:srgbClr val="4F81BD"/>
              </a:solidFill>
            </c:spPr>
          </c:dPt>
          <c:dPt>
            <c:idx val="1"/>
            <c:spPr>
              <a:solidFill xmlns:a="http://schemas.openxmlformats.org/drawingml/2006/main">
                <a:srgbClr val="C0504D"/>
              </a:solidFill>
            </c:spPr>
          </c:dPt>
          <c:dLbls>
            <c:dLbl>
              <c:idx val="0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0" i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0" i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Lit>
              <c:ptCount val="0"/>
            </c:strLit>
          </c:cat>
          <c:val>
            <c:numRef>
              <c:f>'BASE NC'!$B$350:$B$351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00" b="0" i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</c:spPr>
</c:chartSpace>
</file>

<file path=xl/drawings/charts/chart1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Reclamacoes por mes - Agosto/2026 a Janeiro/2027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i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Qtd</c:v>
          </c:tx>
          <c:spPr>
            <a:ln xmlns:a="http://schemas.openxmlformats.org/drawingml/2006/main" w="38100" cmpd="sng">
              <a:solidFill>
                <a:srgbClr val="1F3864">
                  <a:alpha val="100000"/>
                </a:srgbClr>
              </a:solidFill>
            </a:ln>
          </c:spPr>
          <c:marker>
            <c:symbol val="circle"/>
            <c:size val="7"/>
            <c:spPr>
              <a:solidFill xmlns:a="http://schemas.openxmlformats.org/drawingml/2006/main">
                <a:srgbClr val="1F3864">
                  <a:alpha val="100000"/>
                </a:srgbClr>
              </a:solidFill>
              <a:ln xmlns:a="http://schemas.openxmlformats.org/drawingml/2006/main" cmpd="sng">
                <a:solidFill>
                  <a:srgbClr val="1F3864">
                    <a:alpha val="100000"/>
                  </a:srgbClr>
                </a:solidFill>
              </a:ln>
            </c:spPr>
          </c:marker>
          <c:cat>
            <c:strLit>
              <c:ptCount val="0"/>
            </c:strLit>
          </c:cat>
          <c:val>
            <c:numRef>
              <c:f>'BASE NC'!$B$355:$B$360</c:f>
              <c:numCache>
                <c:formatCode>General</c:formatCode>
                <c:ptCount val="0"/>
              </c:numCache>
            </c:numRef>
          </c:val>
        </c:ser>
        <c:axId val="617296159"/>
        <c:axId val="1556044247"/>
      </c:lineChart>
      <c:catAx>
        <c:axId val="617296159"/>
        <c:scaling>
          <c:orientation val="minMax"/>
        </c:scaling>
        <c:delete val="0"/>
        <c:axPos val="b"/>
        <c:title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mmm/yy" sourceLinked="0"/>
        <c:majorTickMark val="none"/>
        <c:minorTickMark val="none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i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1556044247"/>
        <c:lblAlgn val="ctr"/>
        <c:lblOffset val="100"/>
        <c:noMultiLvlLbl val="0"/>
      </c:catAx>
      <c:valAx>
        <c:axId val="1556044247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B7B7B7"/>
              </a:solidFill>
            </a:ln>
          </c:spPr>
        </c:majorGridlines>
        <c:title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i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617296159"/>
        <c:crossBetween val="between"/>
      </c:valAx>
    </c:plotArea>
    <c:plotVisOnly val="1"/>
  </c:chart>
  <c:spPr>
    <a:solidFill xmlns:a="http://schemas.openxmlformats.org/drawingml/2006/main">
      <a:srgbClr val="FFFFFF"/>
    </a:solidFill>
  </c:spPr>
</c:chartSpace>
</file>

<file path=xl/drawings/charts/chart12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Categoria da reclamacao (Base NC)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i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Qtd</c:v>
          </c:tx>
          <c:spPr>
            <a:solidFill xmlns:a="http://schemas.openxmlformats.org/drawingml/2006/main">
              <a:srgbClr val="1F3864"/>
            </a:solidFill>
            <a:ln xmlns:a="http://schemas.openxmlformats.org/drawingml/2006/main" cmpd="sng">
              <a:noFill/>
            </a:ln>
          </c:spPr>
          <c:cat>
            <c:strLit>
              <c:ptCount val="0"/>
            </c:strLit>
          </c:cat>
          <c:val>
            <c:numRef>
              <c:f>'BASE NC'!$B$364:$B$373</c:f>
              <c:numCache>
                <c:formatCode>General</c:formatCode>
                <c:ptCount val="0"/>
              </c:numCache>
            </c:numRef>
          </c:val>
        </c:ser>
        <c:axId val="472613841"/>
        <c:axId val="246045922"/>
      </c:barChart>
      <c:lineChart>
        <c:grouping val="standard"/>
        <c:varyColors val="0"/>
        <c:ser>
          <c:idx val="1"/>
          <c:order val="1"/>
          <c:tx>
            <c:v>% acumulado</c:v>
          </c:tx>
          <c:spPr>
            <a:ln xmlns:a="http://schemas.openxmlformats.org/drawingml/2006/main" w="38100" cmpd="sng">
              <a:solidFill>
                <a:srgbClr val="C00000">
                  <a:alpha val="100000"/>
                </a:srgbClr>
              </a:solidFill>
            </a:ln>
          </c:spPr>
          <c:marker>
            <c:symbol val="circle"/>
            <c:size val="6"/>
            <c:spPr>
              <a:solidFill xmlns:a="http://schemas.openxmlformats.org/drawingml/2006/main">
                <a:srgbClr val="C00000">
                  <a:alpha val="100000"/>
                </a:srgbClr>
              </a:solidFill>
              <a:ln xmlns:a="http://schemas.openxmlformats.org/drawingml/2006/main" cmpd="sng">
                <a:solidFill>
                  <a:srgbClr val="C00000">
                    <a:alpha val="100000"/>
                  </a:srgbClr>
                </a:solidFill>
              </a:ln>
            </c:spPr>
          </c:marker>
          <c:cat>
            <c:strLit>
              <c:ptCount val="0"/>
            </c:strLit>
          </c:cat>
          <c:val>
            <c:numRef>
              <c:f>'BASE NC'!$C$364:$C$373</c:f>
              <c:numCache>
                <c:formatCode>General</c:formatCode>
                <c:ptCount val="0"/>
              </c:numCache>
            </c:numRef>
          </c:val>
          <c:smooth val="0"/>
        </c:ser>
        <c:axId val="472613841"/>
        <c:axId val="246045922"/>
      </c:lineChart>
      <c:catAx>
        <c:axId val="472613841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buNone/>
                  <a:defRPr b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rPr>
                  <a:t/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i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246045922"/>
        <c:lblAlgn val="ctr"/>
        <c:lblOffset val="100"/>
        <c:noMultiLvlLbl val="0"/>
      </c:catAx>
      <c:valAx>
        <c:axId val="246045922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B7B7B7"/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buNone/>
                  <a:defRPr sz="1000" b="1" i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Qtd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 i="0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i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472613841"/>
        <c:crossBetween val="between"/>
      </c:valAx>
    </c:plotArea>
    <c:plotVisOnly val="1"/>
  </c:chart>
  <c:spPr>
    <a:solidFill xmlns:a="http://schemas.openxmlformats.org/drawingml/2006/main">
      <a:srgbClr val="FFFFFF"/>
    </a:solidFill>
  </c:spPr>
</c:chartSpace>
</file>

<file path=xl/drawings/charts/chart13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Onde a embalagem esta falhando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i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Qtd</c:v>
          </c:tx>
          <c:spPr>
            <a:solidFill xmlns:a="http://schemas.openxmlformats.org/drawingml/2006/main">
              <a:srgbClr val="ED7D31"/>
            </a:solidFill>
            <a:ln xmlns:a="http://schemas.openxmlformats.org/drawingml/2006/main" cmpd="sng">
              <a:noFill/>
            </a:ln>
          </c:spPr>
          <c:cat>
            <c:strLit>
              <c:ptCount val="0"/>
            </c:strLit>
          </c:cat>
          <c:val>
            <c:numRef>
              <c:f>'BASE NC'!$B$379:$B$386</c:f>
              <c:numCache>
                <c:formatCode>General</c:formatCode>
                <c:ptCount val="0"/>
              </c:numCache>
            </c:numRef>
          </c:val>
        </c:ser>
        <c:axId val="752407329"/>
        <c:axId val="951355680"/>
      </c:barChart>
      <c:lineChart>
        <c:grouping val="standard"/>
        <c:varyColors val="0"/>
        <c:ser>
          <c:idx val="1"/>
          <c:order val="1"/>
          <c:tx>
            <c:v>% acumulado</c:v>
          </c:tx>
          <c:spPr>
            <a:ln xmlns:a="http://schemas.openxmlformats.org/drawingml/2006/main" w="38100" cmpd="sng">
              <a:solidFill>
                <a:srgbClr val="C00000">
                  <a:alpha val="100000"/>
                </a:srgbClr>
              </a:solidFill>
            </a:ln>
          </c:spPr>
          <c:marker>
            <c:symbol val="circle"/>
            <c:size val="6"/>
            <c:spPr>
              <a:solidFill xmlns:a="http://schemas.openxmlformats.org/drawingml/2006/main">
                <a:srgbClr val="C00000">
                  <a:alpha val="100000"/>
                </a:srgbClr>
              </a:solidFill>
              <a:ln xmlns:a="http://schemas.openxmlformats.org/drawingml/2006/main" cmpd="sng">
                <a:solidFill>
                  <a:srgbClr val="C00000">
                    <a:alpha val="100000"/>
                  </a:srgbClr>
                </a:solidFill>
              </a:ln>
            </c:spPr>
          </c:marker>
          <c:cat>
            <c:strLit>
              <c:ptCount val="0"/>
            </c:strLit>
          </c:cat>
          <c:val>
            <c:numRef>
              <c:f>'BASE NC'!$C$379:$C$386</c:f>
              <c:numCache>
                <c:formatCode>General</c:formatCode>
                <c:ptCount val="0"/>
              </c:numCache>
            </c:numRef>
          </c:val>
          <c:smooth val="0"/>
        </c:ser>
        <c:axId val="752407329"/>
        <c:axId val="951355680"/>
      </c:lineChart>
      <c:catAx>
        <c:axId val="752407329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buNone/>
                  <a:defRPr b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rPr>
                  <a:t/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i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951355680"/>
        <c:lblAlgn val="ctr"/>
        <c:lblOffset val="100"/>
        <c:noMultiLvlLbl val="0"/>
      </c:catAx>
      <c:valAx>
        <c:axId val="951355680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B7B7B7"/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buNone/>
                  <a:defRPr sz="1000" b="1" i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Qtd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 i="0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i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752407329"/>
        <c:crossBetween val="between"/>
      </c:valAx>
    </c:plotArea>
    <c:plotVisOnly val="1"/>
  </c:chart>
  <c:spPr>
    <a:solidFill xmlns:a="http://schemas.openxmlformats.org/drawingml/2006/main">
      <a:srgbClr val="FFFFFF"/>
    </a:solidFill>
  </c:spPr>
</c:chartSpace>
</file>

<file path=xl/drawings/charts/chart14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Chamados por status (atual)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i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title>
    <c:plotArea>
      <c:pieChart>
        <c:ser>
          <c:idx val="0"/>
          <c:order val="0"/>
          <c:tx>
            <c:strRef>
              <c:f>SAC!$V$2</c:f>
              <c:strCache>
                <c:ptCount val="1"/>
                <c:pt idx="0">
                  <c:v/>
                </c:pt>
              </c:strCache>
            </c:strRef>
          </c:tx>
          <c:dPt>
            <c:idx val="0"/>
            <c:spPr>
              <a:solidFill xmlns:a="http://schemas.openxmlformats.org/drawingml/2006/main">
                <a:srgbClr val="4F81BD"/>
              </a:solidFill>
            </c:spPr>
          </c:dPt>
          <c:dPt>
            <c:idx val="1"/>
            <c:spPr>
              <a:solidFill xmlns:a="http://schemas.openxmlformats.org/drawingml/2006/main">
                <a:srgbClr val="C0504D"/>
              </a:solidFill>
            </c:spPr>
          </c:dPt>
          <c:dPt>
            <c:idx val="2"/>
            <c:spPr>
              <a:solidFill xmlns:a="http://schemas.openxmlformats.org/drawingml/2006/main">
                <a:srgbClr val="9BBB59"/>
              </a:solidFill>
            </c:spPr>
          </c:dPt>
          <c:dPt>
            <c:idx val="3"/>
            <c:spPr>
              <a:solidFill xmlns:a="http://schemas.openxmlformats.org/drawingml/2006/main">
                <a:srgbClr val="8064A2"/>
              </a:solidFill>
            </c:spPr>
          </c:dPt>
          <c:dPt>
            <c:idx val="4"/>
            <c:spPr>
              <a:solidFill xmlns:a="http://schemas.openxmlformats.org/drawingml/2006/main">
                <a:srgbClr val="4BACC6"/>
              </a:solidFill>
            </c:spPr>
          </c:dPt>
          <c:dLbls>
            <c:dLbl>
              <c:idx val="0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0" i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0" i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0" i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0" i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4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1000" b="0" i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Lit>
              <c:ptCount val="0"/>
            </c:strLit>
          </c:cat>
          <c:val>
            <c:numRef>
              <c:f>SAC!$V$3:$V$7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00" b="0" i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</c:spPr>
</c:chartSpace>
</file>

<file path=xl/drawings/charts/chart15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Categoria do defeito - SAC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i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Qtd</c:v>
          </c:tx>
          <c:spPr>
            <a:solidFill xmlns:a="http://schemas.openxmlformats.org/drawingml/2006/main">
              <a:srgbClr val="1F3864"/>
            </a:solidFill>
            <a:ln xmlns:a="http://schemas.openxmlformats.org/drawingml/2006/main" cmpd="sng">
              <a:noFill/>
            </a:ln>
          </c:spPr>
          <c:cat>
            <c:strLit>
              <c:ptCount val="0"/>
            </c:strLit>
          </c:cat>
          <c:val>
            <c:numRef>
              <c:f>SAC!$Y$17:$Y$26</c:f>
              <c:numCache>
                <c:formatCode>General</c:formatCode>
                <c:ptCount val="0"/>
              </c:numCache>
            </c:numRef>
          </c:val>
        </c:ser>
        <c:axId val="1212205522"/>
        <c:axId val="1284566201"/>
      </c:barChart>
      <c:lineChart>
        <c:grouping val="standard"/>
        <c:varyColors val="0"/>
        <c:ser>
          <c:idx val="1"/>
          <c:order val="1"/>
          <c:tx>
            <c:v>% acumulado</c:v>
          </c:tx>
          <c:spPr>
            <a:ln xmlns:a="http://schemas.openxmlformats.org/drawingml/2006/main" w="38100" cmpd="sng">
              <a:solidFill>
                <a:srgbClr val="C00000">
                  <a:alpha val="100000"/>
                </a:srgbClr>
              </a:solidFill>
            </a:ln>
          </c:spPr>
          <c:marker>
            <c:symbol val="circle"/>
            <c:size val="6"/>
            <c:spPr>
              <a:solidFill xmlns:a="http://schemas.openxmlformats.org/drawingml/2006/main">
                <a:srgbClr val="C00000">
                  <a:alpha val="100000"/>
                </a:srgbClr>
              </a:solidFill>
              <a:ln xmlns:a="http://schemas.openxmlformats.org/drawingml/2006/main" cmpd="sng">
                <a:solidFill>
                  <a:srgbClr val="C00000">
                    <a:alpha val="100000"/>
                  </a:srgbClr>
                </a:solidFill>
              </a:ln>
            </c:spPr>
          </c:marker>
          <c:cat>
            <c:strLit>
              <c:ptCount val="0"/>
            </c:strLit>
          </c:cat>
          <c:val>
            <c:numRef>
              <c:f>SAC!$Z$17:$Z$26</c:f>
              <c:numCache>
                <c:formatCode>General</c:formatCode>
                <c:ptCount val="0"/>
              </c:numCache>
            </c:numRef>
          </c:val>
          <c:smooth val="0"/>
        </c:ser>
        <c:axId val="1212205522"/>
        <c:axId val="1284566201"/>
      </c:lineChart>
      <c:catAx>
        <c:axId val="1212205522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buNone/>
                  <a:defRPr b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  <a:ea typeface="+mn-lt"/>
                    <a:cs typeface="+mn-lt"/>
                  </a:rPr>
                  <a:t/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i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1284566201"/>
        <c:lblAlgn val="ctr"/>
        <c:lblOffset val="100"/>
        <c:noMultiLvlLbl val="0"/>
      </c:catAx>
      <c:valAx>
        <c:axId val="1284566201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B7B7B7"/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buNone/>
                  <a:defRPr sz="1000" b="1" i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Qtd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 i="0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i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1212205522"/>
        <c:crossBetween val="between"/>
      </c:valAx>
    </c:plotArea>
    <c:plotVisOnly val="1"/>
  </c:chart>
  <c:spPr>
    <a:solidFill xmlns:a="http://schemas.openxmlformats.org/drawingml/2006/main">
      <a:srgbClr val="FFFFFF"/>
    </a:solidFill>
  </c:spPr>
</c:chartSpace>
</file>

<file path=xl/drawings/charts/chart16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Distribuicao de satisfacao (1 a 5)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i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Qtd</c:v>
          </c:tx>
          <c:spPr>
            <a:solidFill xmlns:a="http://schemas.openxmlformats.org/drawingml/2006/main">
              <a:srgbClr val="70AD47"/>
            </a:solidFill>
            <a:ln xmlns:a="http://schemas.openxmlformats.org/drawingml/2006/main" cmpd="sng">
              <a:noFill/>
            </a:ln>
          </c:spPr>
          <c:cat>
            <c:strLit>
              <c:ptCount val="0"/>
            </c:strLit>
          </c:cat>
          <c:val>
            <c:numRef>
              <c:f>'POS-VENDA'!$M$3:$M$7</c:f>
              <c:numCache>
                <c:formatCode>General</c:formatCode>
                <c:ptCount val="0"/>
              </c:numCache>
            </c:numRef>
          </c:val>
        </c:ser>
        <c:axId val="1500270514"/>
        <c:axId val="434548481"/>
      </c:barChart>
      <c:catAx>
        <c:axId val="1500270514"/>
        <c:scaling>
          <c:orientation val="minMax"/>
        </c:scaling>
        <c:delete val="0"/>
        <c:axPos val="b"/>
        <c:title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i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434548481"/>
        <c:lblAlgn val="ctr"/>
        <c:lblOffset val="100"/>
        <c:noMultiLvlLbl val="0"/>
      </c:catAx>
      <c:valAx>
        <c:axId val="434548481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B7B7B7"/>
              </a:solidFill>
            </a:ln>
          </c:spPr>
        </c:majorGridlines>
        <c:title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i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1500270514"/>
        <c:crossBetween val="between"/>
      </c:valAx>
    </c:plotArea>
    <c:plotVisOnly val="1"/>
  </c:chart>
  <c:spPr>
    <a:solidFill xmlns:a="http://schemas.openxmlformats.org/drawingml/2006/main">
      <a:srgbClr val="FFFFFF"/>
    </a:solidFill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7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fb78ef154b646da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90f80007da84a99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7</xdr:col>
      <xdr:colOff>0</xdr:colOff>
      <xdr:row>48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0e2fb815556418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19</xdr:row>
      <xdr:rowOff>123825</xdr:rowOff>
    </xdr:from>
    <xdr:ext cx="6819900" cy="3400425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e7057faf8b4ad1"/>
        </a:graphicData>
      </a:graphic>
    </xdr:graphicFrame>
    <xdr:clientData/>
  </xdr:oneCellAnchor>
  <xdr:oneCellAnchor>
    <xdr:from>
      <xdr:col>0</xdr:col>
      <xdr:colOff>0</xdr:colOff>
      <xdr:row>38</xdr:row>
      <xdr:rowOff>123825</xdr:rowOff>
    </xdr:from>
    <xdr:ext cx="6819900" cy="3400425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c948f95db0344f8"/>
        </a:graphicData>
      </a:graphic>
    </xdr:graphicFrame>
    <xdr:clientData/>
  </xdr:oneCellAnchor>
  <xdr:oneCellAnchor>
    <xdr:from>
      <xdr:col>7</xdr:col>
      <xdr:colOff>0</xdr:colOff>
      <xdr:row>19</xdr:row>
      <xdr:rowOff>123825</xdr:rowOff>
    </xdr:from>
    <xdr:ext cx="6858000" cy="3400425"/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026682256f445d4"/>
        </a:graphicData>
      </a:graphic>
    </xdr:graphicFrame>
    <xdr:clientData/>
  </xdr:oneCellAnchor>
  <xdr:oneCellAnchor>
    <xdr:from>
      <xdr:col>7</xdr:col>
      <xdr:colOff>0</xdr:colOff>
      <xdr:row>38</xdr:row>
      <xdr:rowOff>123825</xdr:rowOff>
    </xdr:from>
    <xdr:ext cx="6858000" cy="3400425"/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3c78b0d582d49b0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4</xdr:col>
      <xdr:colOff>0</xdr:colOff>
      <xdr:row>301</xdr:row>
      <xdr:rowOff>161925</xdr:rowOff>
    </xdr:from>
    <xdr:ext cx="6200775" cy="3781425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e6f2b25cd7e4545"/>
        </a:graphicData>
      </a:graphic>
    </xdr:graphicFrame>
    <xdr:clientData/>
  </xdr:oneCellAnchor>
  <xdr:oneCellAnchor>
    <xdr:from>
      <xdr:col>4</xdr:col>
      <xdr:colOff>0</xdr:colOff>
      <xdr:row>321</xdr:row>
      <xdr:rowOff>161925</xdr:rowOff>
    </xdr:from>
    <xdr:ext cx="6200775" cy="3400425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28c0fef7d5b4a7a"/>
        </a:graphicData>
      </a:graphic>
    </xdr:graphicFrame>
    <xdr:clientData/>
  </xdr:oneCellAnchor>
  <xdr:oneCellAnchor>
    <xdr:from>
      <xdr:col>11</xdr:col>
      <xdr:colOff>0</xdr:colOff>
      <xdr:row>321</xdr:row>
      <xdr:rowOff>161925</xdr:rowOff>
    </xdr:from>
    <xdr:ext cx="4114800" cy="3400425"/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c84f0ed62384ed4"/>
        </a:graphicData>
      </a:graphic>
    </xdr:graphicFrame>
    <xdr:clientData/>
  </xdr:oneCellAnchor>
  <xdr:oneCellAnchor>
    <xdr:from>
      <xdr:col>16</xdr:col>
      <xdr:colOff>0</xdr:colOff>
      <xdr:row>321</xdr:row>
      <xdr:rowOff>161925</xdr:rowOff>
    </xdr:from>
    <xdr:ext cx="6172200" cy="3400425"/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278607a07364032"/>
        </a:graphicData>
      </a:graphic>
    </xdr:graphicFrame>
    <xdr:clientData/>
  </xdr:oneCellAnchor>
  <xdr:oneCellAnchor>
    <xdr:from>
      <xdr:col>4</xdr:col>
      <xdr:colOff>0</xdr:colOff>
      <xdr:row>341</xdr:row>
      <xdr:rowOff>161925</xdr:rowOff>
    </xdr:from>
    <xdr:ext cx="8220075" cy="3638550"/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7f69787679443df"/>
        </a:graphicData>
      </a:graphic>
    </xdr:graphicFrame>
    <xdr:clientData/>
  </xdr:oneCellAnchor>
  <xdr:oneCellAnchor>
    <xdr:from>
      <xdr:col>4</xdr:col>
      <xdr:colOff>0</xdr:colOff>
      <xdr:row>361</xdr:row>
      <xdr:rowOff>19050</xdr:rowOff>
    </xdr:from>
    <xdr:ext cx="8220075" cy="3457575"/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c7375cc770d45df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19</xdr:col>
      <xdr:colOff>657225</xdr:colOff>
      <xdr:row>8</xdr:row>
      <xdr:rowOff>28575</xdr:rowOff>
    </xdr:from>
    <xdr:ext cx="2667000" cy="291465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c7b42dc4a3f423b"/>
        </a:graphicData>
      </a:graphic>
    </xdr:graphicFrame>
    <xdr:clientData/>
  </xdr:oneCellAnchor>
  <xdr:oneCellAnchor>
    <xdr:from>
      <xdr:col>23</xdr:col>
      <xdr:colOff>0</xdr:colOff>
      <xdr:row>14</xdr:row>
      <xdr:rowOff>104775</xdr:rowOff>
    </xdr:from>
    <xdr:ext cx="8210550" cy="32766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5fe828b5c5d45ae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11</xdr:col>
      <xdr:colOff>0</xdr:colOff>
      <xdr:row>8</xdr:row>
      <xdr:rowOff>38100</xdr:rowOff>
    </xdr:from>
    <xdr:ext cx="5476875" cy="3400425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b9a2e194ce94ed3"/>
        </a:graphicData>
      </a:graphic>
    </xdr:graphicFrame>
    <xdr:clientData/>
  </xdr:oneCellAnchor>
</xdr:wsDr>
</file>

<file path=xl/tables/table1.xml><?xml version="1.0" encoding="utf-8"?>
<x:table xmlns:x="http://schemas.openxmlformats.org/spreadsheetml/2006/main" id="1" name="SACTable" displayName="SACTable" ref="A1:G1000" headerRowCount="1" totalsRowCount="0" totalsRowShown="0">
  <x:tableColumns count="7">
    <x:tableColumn id="1" name="ID"/>
    <x:tableColumn id="2" name="Pedido"/>
    <x:tableColumn id="3" name="Data de abertura"/>
    <x:tableColumn id="4" name="Cliente"/>
    <x:tableColumn id="5" name="Contato"/>
    <x:tableColumn id="6" name="Canal"/>
    <x:tableColumn id="7" name="Satisfação (1-5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osVendaTable" displayName="PosVendaTable" ref="A1:J1000" headerRowCount="1" totalsRowCount="0" totalsRowShown="0">
  <x:tableColumns count="10">
    <x:tableColumn id="1" name="Data do contato"/>
    <x:tableColumn id="2" name="Cliente"/>
    <x:tableColumn id="3" name="Produto comprado"/>
    <x:tableColumn id="4" name="Data da compra"/>
    <x:tableColumn id="5" name="Tipo de contato"/>
    <x:tableColumn id="6" name="Satisfação (1-5)"/>
    <x:tableColumn id="7" name="NPS (0-10)"/>
    <x:tableColumn id="8" name="Comentários do cliente"/>
    <x:tableColumn id="9" name="Recompra prevista"/>
    <x:tableColumn id="10" name="Responsáve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babd3878ea2491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303dc641964c4a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638d03332278409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7b15ec3ef1ac4363" /><Relationship Type="http://schemas.openxmlformats.org/officeDocument/2006/relationships/table" Target="/xl/tables/table1.xml" Id="Rf201a780890e4b1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33df58bb48a84430" /><Relationship Type="http://schemas.openxmlformats.org/officeDocument/2006/relationships/table" Target="/xl/tables/table2.xml" Id="R231dba434dc24d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22" hidden="0" customWidth="1"/>
    <x:col min="2" max="3" width="14" customWidth="1"/>
    <x:col min="4" max="4" width="18" hidden="0" customWidth="1"/>
    <x:col min="5" max="5" width="3" hidden="0" customWidth="1"/>
    <x:col min="6" max="6" width="14" hidden="0" customWidth="1"/>
    <x:col min="7" max="26" width="14.380000114440918" customWidth="1"/>
    <x:col min="2" max="2" width="14" hidden="0" customWidth="1"/>
    <x:col min="3" max="3" width="14" hidden="0" customWidth="1"/>
    <x:col min="7" max="7" width="14" hidden="0" customWidth="1"/>
    <x:col min="8" max="8" width="18" hidden="0" customWidth="1"/>
    <x:col min="9" max="9" width="18" hidden="0" customWidth="1"/>
  </x:cols>
  <x:sheetData>
    <x:row r="1" ht="32" customHeight="1">
      <x:c r="A1" s="152" t="str">
        <x:v>INDICADORES | ANÁLISE DE NÃO CONFORMIDADES</x:v>
      </x:c>
      <x:c r="B1" s="152"/>
      <x:c r="C1" s="152"/>
      <x:c r="D1" s="152"/>
      <x:c r="E1" s="152"/>
      <x:c r="F1" s="152"/>
      <x:c r="G1" s="152"/>
      <x:c r="H1" s="152"/>
      <x:c r="I1" s="152"/>
      <x:c r="J1" s="152"/>
      <x:c r="K1" s="152"/>
      <x:c r="L1" s="152"/>
      <x:c r="M1" s="152"/>
      <x:c r="N1" s="152"/>
      <x:c r="O1" s="71"/>
      <x:c r="P1" s="71"/>
      <x:c r="Q1" s="71"/>
      <x:c r="R1" s="71"/>
      <x:c r="S1" s="71"/>
      <x:c r="T1" s="71"/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 s="71"/>
      <x:c r="P2" s="71"/>
      <x:c r="Q2" s="71"/>
      <x:c r="R2" s="71"/>
      <x:c r="S2" s="71"/>
      <x:c r="T2" s="71"/>
    </x:row>
    <x:row r="3" ht="24" customHeight="1">
      <x:c r="A3" s="142" t="str">
        <x:v>Categoria</x:v>
      </x:c>
      <x:c r="B3" s="142" t="str">
        <x:v>NC no mês</x:v>
      </x:c>
      <x:c r="C3" s="142" t="str">
        <x:v>NC total</x:v>
      </x:c>
      <x:c r="D3" s="142" t="str">
        <x:v>Custo total (R$)</x:v>
      </x:c>
      <x:c r="E3"/>
      <x:c r="F3" s="142" t="str">
        <x:v>Mês</x:v>
      </x:c>
      <x:c r="G3" s="142" t="str">
        <x:v>NC abertas</x:v>
      </x:c>
      <x:c r="H3" s="142" t="str">
        <x:v>Custo NC (R$)</x:v>
      </x:c>
      <x:c r="I3" s="142" t="str">
        <x:v>Satisfação média</x:v>
      </x:c>
      <x:c r="J3"/>
      <x:c r="K3"/>
      <x:c r="L3"/>
      <x:c r="M3"/>
      <x:c r="N3"/>
      <x:c r="O3" s="71"/>
      <x:c r="P3" s="71"/>
      <x:c r="Q3" s="71"/>
      <x:c r="R3" s="71"/>
      <x:c r="S3" s="71"/>
      <x:c r="T3" s="71"/>
    </x:row>
    <x:row r="4" ht="24" customHeight="1">
      <x:c r="A4" s="140" t="str">
        <x:v>Acabamento</x:v>
      </x:c>
      <x:c r="B4" s="140" t="n">
        <x:f>COUNTIFS('BASE NC'!$E$4:$E$1000,A4,'BASE NC'!$A$4:$A$1000,"&gt;="&amp;'RESUMO MENSAL'!$E$2,'BASE NC'!$A$4:$A$1000,"&lt;"&amp;DATE(YEAR('RESUMO MENSAL'!$E$2),MONTH('RESUMO MENSAL'!$E$2)+1,1))</x:f>
        <x:v>0</x:v>
      </x:c>
      <x:c r="C4" s="140" t="n">
        <x:f>COUNTIF('BASE NC'!$E$4:$E$1000,A4)</x:f>
        <x:v>0</x:v>
      </x:c>
      <x:c r="D4" s="155" t="n">
        <x:f>SUMIF('BASE NC'!$E$4:$E$1000,A4,'BASE NC'!$J$4:$J$1000)</x:f>
        <x:v>0</x:v>
      </x:c>
      <x:c r="E4"/>
      <x:c r="F4" s="158" t="n">
        <x:v>46235</x:v>
      </x:c>
      <x:c r="G4" s="140" t="n">
        <x:f>COUNTIFS('BASE NC'!$A$4:$A$1000,"&gt;="&amp;F4,'BASE NC'!$A$4:$A$1000,"&lt;"&amp;DATE(YEAR(F4),MONTH(F4)+1,1))</x:f>
        <x:v>0</x:v>
      </x:c>
      <x:c r="H4" s="155" t="n">
        <x:f>SUMIFS('BASE NC'!$J$4:$J$1000,'BASE NC'!$A$4:$A$1000,"&gt;="&amp;F4,'BASE NC'!$A$4:$A$1000,"&lt;"&amp;DATE(YEAR(F4),MONTH(F4)+1,1))</x:f>
        <x:v>0</x:v>
      </x:c>
      <x:c r="I4" s="143" t="str">
        <x:f>IFERROR(SUMIFS(SAC!$G$2:$G$1000,SAC!$C$2:$C$1000,"&gt;="&amp;F4,SAC!$C$2:$C$1000,"&lt;"&amp;DATE(YEAR(F4),MONTH(F4)+1,1))/COUNTIFS(SAC!$C$2:$C$1000,"&gt;="&amp;F4,SAC!$C$2:$C$1000,"&lt;"&amp;DATE(YEAR(F4),MONTH(F4)+1,1)),"")</x:f>
      </x:c>
      <x:c r="J4"/>
      <x:c r="K4"/>
      <x:c r="L4"/>
      <x:c r="M4"/>
      <x:c r="N4"/>
      <x:c r="O4" s="71"/>
      <x:c r="P4" s="71"/>
      <x:c r="Q4" s="71"/>
      <x:c r="R4" s="71"/>
      <x:c r="S4" s="71"/>
      <x:c r="T4" s="71"/>
    </x:row>
    <x:row r="5" ht="24" customHeight="1">
      <x:c r="A5" s="140" t="str">
        <x:v>Material</x:v>
      </x:c>
      <x:c r="B5" s="140" t="n">
        <x:f>COUNTIFS('BASE NC'!$E$4:$E$1000,A5,'BASE NC'!$A$4:$A$1000,"&gt;="&amp;'RESUMO MENSAL'!$E$2,'BASE NC'!$A$4:$A$1000,"&lt;"&amp;DATE(YEAR('RESUMO MENSAL'!$E$2),MONTH('RESUMO MENSAL'!$E$2)+1,1))</x:f>
        <x:v>0</x:v>
      </x:c>
      <x:c r="C5" s="140" t="n">
        <x:f>COUNTIF('BASE NC'!$E$4:$E$1000,A5)</x:f>
        <x:v>0</x:v>
      </x:c>
      <x:c r="D5" s="155" t="n">
        <x:f>SUMIF('BASE NC'!$E$4:$E$1000,A5,'BASE NC'!$J$4:$J$1000)</x:f>
        <x:v>0</x:v>
      </x:c>
      <x:c r="E5"/>
      <x:c r="F5" s="158" t="n">
        <x:v>46266</x:v>
      </x:c>
      <x:c r="G5" s="140" t="n">
        <x:f>COUNTIFS('BASE NC'!$A$4:$A$1000,"&gt;="&amp;F5,'BASE NC'!$A$4:$A$1000,"&lt;"&amp;DATE(YEAR(F5),MONTH(F5)+1,1))</x:f>
        <x:v>1</x:v>
      </x:c>
      <x:c r="H5" s="155" t="n">
        <x:f>SUMIFS('BASE NC'!$J$4:$J$1000,'BASE NC'!$A$4:$A$1000,"&gt;="&amp;F5,'BASE NC'!$A$4:$A$1000,"&lt;"&amp;DATE(YEAR(F5),MONTH(F5)+1,1))</x:f>
        <x:v>0</x:v>
      </x:c>
      <x:c r="I5" s="143" t="n">
        <x:f>IFERROR(SUMIFS(SAC!$G$2:$G$1000,SAC!$C$2:$C$1000,"&gt;="&amp;F5,SAC!$C$2:$C$1000,"&lt;"&amp;DATE(YEAR(F5),MONTH(F5)+1,1))/COUNTIFS(SAC!$C$2:$C$1000,"&gt;="&amp;F5,SAC!$C$2:$C$1000,"&lt;"&amp;DATE(YEAR(F5),MONTH(F5)+1,1)),"")</x:f>
        <x:v>0</x:v>
      </x:c>
      <x:c r="J5"/>
      <x:c r="K5"/>
      <x:c r="L5"/>
      <x:c r="M5"/>
      <x:c r="N5"/>
      <x:c r="O5" s="71"/>
      <x:c r="P5" s="71"/>
      <x:c r="Q5" s="71"/>
      <x:c r="R5" s="71"/>
      <x:c r="S5" s="71"/>
      <x:c r="T5" s="71"/>
    </x:row>
    <x:row r="6" ht="24" customHeight="1">
      <x:c r="A6" s="140" t="str">
        <x:v>Hidraulica</x:v>
      </x:c>
      <x:c r="B6" s="140" t="n">
        <x:f>COUNTIFS('BASE NC'!$E$4:$E$1000,A6,'BASE NC'!$A$4:$A$1000,"&gt;="&amp;'RESUMO MENSAL'!$E$2,'BASE NC'!$A$4:$A$1000,"&lt;"&amp;DATE(YEAR('RESUMO MENSAL'!$E$2),MONTH('RESUMO MENSAL'!$E$2)+1,1))</x:f>
        <x:v>1</x:v>
      </x:c>
      <x:c r="C6" s="140" t="n">
        <x:f>COUNTIF('BASE NC'!$E$4:$E$1000,A6)</x:f>
        <x:v>1</x:v>
      </x:c>
      <x:c r="D6" s="155" t="n">
        <x:f>SUMIF('BASE NC'!$E$4:$E$1000,A6,'BASE NC'!$J$4:$J$1000)</x:f>
        <x:v>0</x:v>
      </x:c>
      <x:c r="E6"/>
      <x:c r="F6" s="158" t="n">
        <x:v>46296</x:v>
      </x:c>
      <x:c r="G6" s="140" t="n">
        <x:f>COUNTIFS('BASE NC'!$A$4:$A$1000,"&gt;="&amp;F6,'BASE NC'!$A$4:$A$1000,"&lt;"&amp;DATE(YEAR(F6),MONTH(F6)+1,1))</x:f>
        <x:v>0</x:v>
      </x:c>
      <x:c r="H6" s="155" t="n">
        <x:f>SUMIFS('BASE NC'!$J$4:$J$1000,'BASE NC'!$A$4:$A$1000,"&gt;="&amp;F6,'BASE NC'!$A$4:$A$1000,"&lt;"&amp;DATE(YEAR(F6),MONTH(F6)+1,1))</x:f>
        <x:v>0</x:v>
      </x:c>
      <x:c r="I6" s="143" t="str">
        <x:f>IFERROR(SUMIFS(SAC!$G$2:$G$1000,SAC!$C$2:$C$1000,"&gt;="&amp;F6,SAC!$C$2:$C$1000,"&lt;"&amp;DATE(YEAR(F6),MONTH(F6)+1,1))/COUNTIFS(SAC!$C$2:$C$1000,"&gt;="&amp;F6,SAC!$C$2:$C$1000,"&lt;"&amp;DATE(YEAR(F6),MONTH(F6)+1,1)),"")</x:f>
      </x:c>
      <x:c r="J6"/>
      <x:c r="K6"/>
      <x:c r="L6"/>
      <x:c r="M6"/>
      <x:c r="N6"/>
      <x:c r="O6" s="71"/>
      <x:c r="P6" s="71"/>
      <x:c r="Q6" s="71"/>
      <x:c r="R6" s="71"/>
      <x:c r="S6" s="71"/>
      <x:c r="T6" s="71"/>
    </x:row>
    <x:row r="7" ht="24" customHeight="1">
      <x:c r="A7" s="140" t="str">
        <x:v>Costura</x:v>
      </x:c>
      <x:c r="B7" s="140" t="n">
        <x:f>COUNTIFS('BASE NC'!$E$4:$E$1000,A7,'BASE NC'!$A$4:$A$1000,"&gt;="&amp;'RESUMO MENSAL'!$E$2,'BASE NC'!$A$4:$A$1000,"&lt;"&amp;DATE(YEAR('RESUMO MENSAL'!$E$2),MONTH('RESUMO MENSAL'!$E$2)+1,1))</x:f>
        <x:v>0</x:v>
      </x:c>
      <x:c r="C7" s="140" t="n">
        <x:f>COUNTIF('BASE NC'!$E$4:$E$1000,A7)</x:f>
        <x:v>0</x:v>
      </x:c>
      <x:c r="D7" s="155" t="n">
        <x:f>SUMIF('BASE NC'!$E$4:$E$1000,A7,'BASE NC'!$J$4:$J$1000)</x:f>
        <x:v>0</x:v>
      </x:c>
      <x:c r="E7"/>
      <x:c r="F7" s="158" t="n">
        <x:v>46327</x:v>
      </x:c>
      <x:c r="G7" s="140" t="n">
        <x:f>COUNTIFS('BASE NC'!$A$4:$A$1000,"&gt;="&amp;F7,'BASE NC'!$A$4:$A$1000,"&lt;"&amp;DATE(YEAR(F7),MONTH(F7)+1,1))</x:f>
        <x:v>0</x:v>
      </x:c>
      <x:c r="H7" s="155" t="n">
        <x:f>SUMIFS('BASE NC'!$J$4:$J$1000,'BASE NC'!$A$4:$A$1000,"&gt;="&amp;F7,'BASE NC'!$A$4:$A$1000,"&lt;"&amp;DATE(YEAR(F7),MONTH(F7)+1,1))</x:f>
        <x:v>0</x:v>
      </x:c>
      <x:c r="I7" s="143" t="str">
        <x:f>IFERROR(SUMIFS(SAC!$G$2:$G$1000,SAC!$C$2:$C$1000,"&gt;="&amp;F7,SAC!$C$2:$C$1000,"&lt;"&amp;DATE(YEAR(F7),MONTH(F7)+1,1))/COUNTIFS(SAC!$C$2:$C$1000,"&gt;="&amp;F7,SAC!$C$2:$C$1000,"&lt;"&amp;DATE(YEAR(F7),MONTH(F7)+1,1)),"")</x:f>
      </x:c>
      <x:c r="J7"/>
      <x:c r="K7"/>
      <x:c r="L7"/>
      <x:c r="M7"/>
      <x:c r="N7"/>
      <x:c r="O7" s="71"/>
      <x:c r="P7" s="71"/>
      <x:c r="Q7" s="71"/>
      <x:c r="R7" s="71"/>
      <x:c r="S7" s="71"/>
      <x:c r="T7" s="71"/>
    </x:row>
    <x:row r="8" ht="24" customHeight="1">
      <x:c r="A8" s="140" t="str">
        <x:v>Montagem</x:v>
      </x:c>
      <x:c r="B8" s="140" t="n">
        <x:f>COUNTIFS('BASE NC'!$E$4:$E$1000,A8,'BASE NC'!$A$4:$A$1000,"&gt;="&amp;'RESUMO MENSAL'!$E$2,'BASE NC'!$A$4:$A$1000,"&lt;"&amp;DATE(YEAR('RESUMO MENSAL'!$E$2),MONTH('RESUMO MENSAL'!$E$2)+1,1))</x:f>
        <x:v>0</x:v>
      </x:c>
      <x:c r="C8" s="140" t="n">
        <x:f>COUNTIF('BASE NC'!$E$4:$E$1000,A8)</x:f>
        <x:v>0</x:v>
      </x:c>
      <x:c r="D8" s="155" t="n">
        <x:f>SUMIF('BASE NC'!$E$4:$E$1000,A8,'BASE NC'!$J$4:$J$1000)</x:f>
        <x:v>0</x:v>
      </x:c>
      <x:c r="E8"/>
      <x:c r="F8" s="158" t="n">
        <x:v>46357</x:v>
      </x:c>
      <x:c r="G8" s="140" t="n">
        <x:f>COUNTIFS('BASE NC'!$A$4:$A$1000,"&gt;="&amp;F8,'BASE NC'!$A$4:$A$1000,"&lt;"&amp;DATE(YEAR(F8),MONTH(F8)+1,1))</x:f>
        <x:v>0</x:v>
      </x:c>
      <x:c r="H8" s="155" t="n">
        <x:f>SUMIFS('BASE NC'!$J$4:$J$1000,'BASE NC'!$A$4:$A$1000,"&gt;="&amp;F8,'BASE NC'!$A$4:$A$1000,"&lt;"&amp;DATE(YEAR(F8),MONTH(F8)+1,1))</x:f>
        <x:v>0</x:v>
      </x:c>
      <x:c r="I8" s="143" t="str">
        <x:f>IFERROR(SUMIFS(SAC!$G$2:$G$1000,SAC!$C$2:$C$1000,"&gt;="&amp;F8,SAC!$C$2:$C$1000,"&lt;"&amp;DATE(YEAR(F8),MONTH(F8)+1,1))/COUNTIFS(SAC!$C$2:$C$1000,"&gt;="&amp;F8,SAC!$C$2:$C$1000,"&lt;"&amp;DATE(YEAR(F8),MONTH(F8)+1,1)),"")</x:f>
      </x:c>
      <x:c r="J8"/>
      <x:c r="K8"/>
      <x:c r="L8"/>
      <x:c r="M8"/>
      <x:c r="N8"/>
      <x:c r="O8" s="71"/>
      <x:c r="P8" s="71"/>
      <x:c r="Q8" s="71"/>
      <x:c r="R8" s="71"/>
      <x:c r="S8" s="71"/>
      <x:c r="T8" s="71"/>
    </x:row>
    <x:row r="9" ht="24" customHeight="1">
      <x:c r="A9" s="140" t="str">
        <x:v>Peca faltante</x:v>
      </x:c>
      <x:c r="B9" s="140" t="n">
        <x:f>COUNTIFS('BASE NC'!$E$4:$E$1000,A9,'BASE NC'!$A$4:$A$1000,"&gt;="&amp;'RESUMO MENSAL'!$E$2,'BASE NC'!$A$4:$A$1000,"&lt;"&amp;DATE(YEAR('RESUMO MENSAL'!$E$2),MONTH('RESUMO MENSAL'!$E$2)+1,1))</x:f>
        <x:v>0</x:v>
      </x:c>
      <x:c r="C9" s="140" t="n">
        <x:f>COUNTIF('BASE NC'!$E$4:$E$1000,A9)</x:f>
        <x:v>0</x:v>
      </x:c>
      <x:c r="D9" s="155" t="n">
        <x:f>SUMIF('BASE NC'!$E$4:$E$1000,A9,'BASE NC'!$J$4:$J$1000)</x:f>
        <x:v>0</x:v>
      </x:c>
      <x:c r="E9"/>
      <x:c r="F9" s="158" t="n">
        <x:v>46388</x:v>
      </x:c>
      <x:c r="G9" s="140" t="n">
        <x:f>COUNTIFS('BASE NC'!$A$4:$A$1000,"&gt;="&amp;F9,'BASE NC'!$A$4:$A$1000,"&lt;"&amp;DATE(YEAR(F9),MONTH(F9)+1,1))</x:f>
        <x:v>0</x:v>
      </x:c>
      <x:c r="H9" s="155" t="n">
        <x:f>SUMIFS('BASE NC'!$J$4:$J$1000,'BASE NC'!$A$4:$A$1000,"&gt;="&amp;F9,'BASE NC'!$A$4:$A$1000,"&lt;"&amp;DATE(YEAR(F9),MONTH(F9)+1,1))</x:f>
        <x:v>0</x:v>
      </x:c>
      <x:c r="I9" s="143" t="str">
        <x:f>IFERROR(SUMIFS(SAC!$G$2:$G$1000,SAC!$C$2:$C$1000,"&gt;="&amp;F9,SAC!$C$2:$C$1000,"&lt;"&amp;DATE(YEAR(F9),MONTH(F9)+1,1))/COUNTIFS(SAC!$C$2:$C$1000,"&gt;="&amp;F9,SAC!$C$2:$C$1000,"&lt;"&amp;DATE(YEAR(F9),MONTH(F9)+1,1)),"")</x:f>
      </x:c>
      <x:c r="J9"/>
      <x:c r="K9"/>
      <x:c r="L9"/>
      <x:c r="M9"/>
      <x:c r="N9"/>
      <x:c r="O9" s="71"/>
      <x:c r="P9" s="71"/>
      <x:c r="Q9" s="71"/>
      <x:c r="R9" s="71"/>
      <x:c r="S9" s="71"/>
      <x:c r="T9" s="71"/>
    </x:row>
    <x:row r="10" ht="24" customHeight="1">
      <x:c r="A10" s="140" t="str">
        <x:v>Peca quebrada</x:v>
      </x:c>
      <x:c r="B10" s="140" t="n">
        <x:f>COUNTIFS('BASE NC'!$E$4:$E$1000,A10,'BASE NC'!$A$4:$A$1000,"&gt;="&amp;'RESUMO MENSAL'!$E$2,'BASE NC'!$A$4:$A$1000,"&lt;"&amp;DATE(YEAR('RESUMO MENSAL'!$E$2),MONTH('RESUMO MENSAL'!$E$2)+1,1))</x:f>
        <x:v>0</x:v>
      </x:c>
      <x:c r="C10" s="140" t="n">
        <x:f>COUNTIF('BASE NC'!$E$4:$E$1000,A10)</x:f>
        <x:v>0</x:v>
      </x:c>
      <x:c r="D10" s="155" t="n">
        <x:f>SUMIF('BASE NC'!$E$4:$E$1000,A10,'BASE NC'!$J$4:$J$1000)</x:f>
        <x:v>0</x:v>
      </x:c>
      <x:c r="E10"/>
      <x:c r="F10"/>
      <x:c r="G10"/>
      <x:c r="H10"/>
      <x:c r="I10"/>
      <x:c r="J10"/>
      <x:c r="K10"/>
      <x:c r="L10"/>
      <x:c r="M10"/>
      <x:c r="N10"/>
      <x:c r="O10" s="71"/>
      <x:c r="P10" s="71"/>
      <x:c r="Q10" s="71"/>
      <x:c r="R10" s="71"/>
      <x:c r="S10" s="71"/>
      <x:c r="T10" s="71"/>
    </x:row>
    <x:row r="11" ht="24" customHeight="1">
      <x:c r="A11" s="140" t="str">
        <x:v>Dificuldade de montagem</x:v>
      </x:c>
      <x:c r="B11" s="140" t="n">
        <x:f>COUNTIFS('BASE NC'!$E$4:$E$1000,A11,'BASE NC'!$A$4:$A$1000,"&gt;="&amp;'RESUMO MENSAL'!$E$2,'BASE NC'!$A$4:$A$1000,"&lt;"&amp;DATE(YEAR('RESUMO MENSAL'!$E$2),MONTH('RESUMO MENSAL'!$E$2)+1,1))</x:f>
        <x:v>0</x:v>
      </x:c>
      <x:c r="C11" s="140" t="n">
        <x:f>COUNTIF('BASE NC'!$E$4:$E$1000,A11)</x:f>
        <x:v>0</x:v>
      </x:c>
      <x:c r="D11" s="155" t="n">
        <x:f>SUMIF('BASE NC'!$E$4:$E$1000,A11,'BASE NC'!$J$4:$J$1000)</x:f>
        <x:v>0</x:v>
      </x:c>
      <x:c r="E11"/>
      <x:c r="F11"/>
      <x:c r="G11"/>
      <x:c r="H11"/>
      <x:c r="I11"/>
      <x:c r="J11"/>
      <x:c r="K11"/>
      <x:c r="L11"/>
      <x:c r="M11"/>
      <x:c r="N11"/>
      <x:c r="O11" s="71"/>
      <x:c r="P11" s="71"/>
      <x:c r="Q11" s="71"/>
      <x:c r="R11" s="71"/>
      <x:c r="S11" s="71"/>
      <x:c r="T11" s="71"/>
    </x:row>
    <x:row r="12" ht="24" customHeight="1">
      <x:c r="A12" s="140" t="str">
        <x:v>Outros</x:v>
      </x:c>
      <x:c r="B12" s="140" t="n">
        <x:f>COUNTIFS('BASE NC'!$E$4:$E$1000,A12,'BASE NC'!$A$4:$A$1000,"&gt;="&amp;'RESUMO MENSAL'!$E$2,'BASE NC'!$A$4:$A$1000,"&lt;"&amp;DATE(YEAR('RESUMO MENSAL'!$E$2),MONTH('RESUMO MENSAL'!$E$2)+1,1))</x:f>
        <x:v>0</x:v>
      </x:c>
      <x:c r="C12" s="140" t="n">
        <x:f>COUNTIF('BASE NC'!$E$4:$E$1000,A12)</x:f>
        <x:v>0</x:v>
      </x:c>
      <x:c r="D12" s="155" t="n">
        <x:f>SUMIF('BASE NC'!$E$4:$E$1000,A12,'BASE NC'!$J$4:$J$1000)</x:f>
        <x:v>0</x:v>
      </x:c>
      <x:c r="E12"/>
      <x:c r="F12"/>
      <x:c r="G12"/>
      <x:c r="H12"/>
      <x:c r="I12"/>
      <x:c r="J12"/>
      <x:c r="K12"/>
      <x:c r="L12"/>
      <x:c r="M12"/>
      <x:c r="N12"/>
      <x:c r="O12" s="71"/>
      <x:c r="P12" s="71"/>
      <x:c r="Q12" s="71"/>
      <x:c r="R12" s="71"/>
      <x:c r="S12" s="71"/>
      <x:c r="T12" s="71"/>
    </x:row>
    <x:row r="13" ht="24" customHeight="1">
      <x:c r="A13" s="140" t="str">
        <x:v>TOTAL</x:v>
      </x:c>
      <x:c r="B13" s="140" t="n">
        <x:f>SUM(B4:B12)</x:f>
        <x:v>1</x:v>
      </x:c>
      <x:c r="C13" s="140" t="n">
        <x:f>SUM(C4:C12)</x:f>
        <x:v>1</x:v>
      </x:c>
      <x:c r="D13" s="155" t="n">
        <x:f>SUM(D4:D12)</x:f>
        <x:v>0</x:v>
      </x:c>
      <x:c r="E13"/>
      <x:c r="F13"/>
      <x:c r="G13"/>
      <x:c r="H13"/>
      <x:c r="I13"/>
      <x:c r="J13"/>
      <x:c r="K13"/>
      <x:c r="L13"/>
      <x:c r="M13"/>
      <x:c r="N13"/>
      <x:c r="O13" s="71"/>
      <x:c r="P13" s="71"/>
      <x:c r="Q13" s="71"/>
      <x:c r="R13" s="71"/>
      <x:c r="S13" s="71"/>
      <x:c r="T13" s="71"/>
    </x:row>
    <x:row r="14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 s="71"/>
      <x:c r="P14" s="71"/>
      <x:c r="Q14" s="71"/>
      <x:c r="R14" s="71"/>
      <x:c r="S14" s="71"/>
      <x:c r="T14" s="71"/>
    </x:row>
    <x:row r="1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 s="71"/>
      <x:c r="P15" s="71"/>
      <x:c r="Q15" s="71"/>
      <x:c r="R15" s="71"/>
      <x:c r="S15" s="71"/>
      <x:c r="T15" s="71"/>
    </x:row>
    <x:row r="16">
      <x:c r="A16"/>
      <x:c r="B16">
        <x:f t="shared" ref="B16:D16" si="1">SUM(B6:B15)</x:f>
      </x:c>
      <x:c r="C16">
        <x:f t="shared" si="1"/>
      </x:c>
      <x:c r="D16">
        <x:f t="shared" si="1"/>
      </x:c>
      <x:c r="E16"/>
      <x:c r="F16"/>
      <x:c r="G16"/>
      <x:c r="H16"/>
      <x:c r="I16"/>
      <x:c r="J16"/>
      <x:c r="K16"/>
      <x:c r="L16"/>
      <x:c r="M16"/>
      <x:c r="N16"/>
      <x:c r="O16" s="71"/>
      <x:c r="P16" s="71"/>
      <x:c r="Q16" s="71"/>
      <x:c r="R16" s="71"/>
      <x:c r="S16" s="71"/>
      <x:c r="T16" s="71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 s="71"/>
      <x:c r="P17" s="71"/>
      <x:c r="Q17" s="71"/>
      <x:c r="R17" s="71"/>
      <x:c r="S17" s="71"/>
      <x:c r="T17" s="71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 s="71"/>
      <x:c r="P18" s="71"/>
      <x:c r="Q18" s="71"/>
      <x:c r="R18" s="71"/>
      <x:c r="S18" s="71"/>
      <x:c r="T18" s="71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 s="71"/>
      <x:c r="P19" s="71"/>
      <x:c r="Q19" s="71"/>
      <x:c r="R19" s="71"/>
      <x:c r="S19" s="71"/>
      <x:c r="T19" s="71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 s="71"/>
      <x:c r="P20" s="71"/>
      <x:c r="Q20" s="71"/>
      <x:c r="R20" s="71"/>
      <x:c r="S20" s="71"/>
      <x:c r="T20" s="71"/>
    </x:row>
    <x:row r="21" ht="15.75" customHeight="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 s="71"/>
      <x:c r="P21" s="71"/>
      <x:c r="Q21" s="71"/>
      <x:c r="R21" s="71"/>
      <x:c r="S21" s="71"/>
      <x:c r="T21" s="71"/>
    </x:row>
    <x:row r="22" ht="15.75" customHeight="1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 s="71"/>
      <x:c r="P22" s="71"/>
      <x:c r="Q22" s="71"/>
      <x:c r="R22" s="71"/>
      <x:c r="S22" s="71"/>
      <x:c r="T22" s="71"/>
    </x:row>
    <x:row r="23" ht="15.75" customHeight="1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 s="71"/>
      <x:c r="P23" s="71"/>
      <x:c r="Q23" s="71"/>
      <x:c r="R23" s="71"/>
      <x:c r="S23" s="71"/>
      <x:c r="T23" s="71"/>
    </x:row>
    <x:row r="24" ht="15.75" customHeight="1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 s="71"/>
      <x:c r="P24" s="71"/>
      <x:c r="Q24" s="71"/>
      <x:c r="R24" s="71"/>
      <x:c r="S24" s="71"/>
      <x:c r="T24" s="71"/>
    </x:row>
    <x:row r="25" ht="15.75" customHeight="1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 s="71"/>
      <x:c r="P25" s="71"/>
      <x:c r="Q25" s="71"/>
      <x:c r="R25" s="71"/>
      <x:c r="S25" s="71"/>
      <x:c r="T25" s="71"/>
    </x:row>
    <x:row r="26" ht="15.75" customHeight="1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 s="71"/>
      <x:c r="P26" s="71"/>
      <x:c r="Q26" s="71"/>
      <x:c r="R26" s="71"/>
      <x:c r="S26" s="71"/>
      <x:c r="T26" s="71"/>
    </x:row>
    <x:row r="27" ht="15.75" customHeight="1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 s="71"/>
      <x:c r="P27" s="71"/>
      <x:c r="Q27" s="71"/>
      <x:c r="R27" s="71"/>
      <x:c r="S27" s="71"/>
      <x:c r="T27" s="71"/>
    </x:row>
    <x:row r="28" ht="15.75" customHeight="1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 s="71"/>
      <x:c r="P28" s="71"/>
      <x:c r="Q28" s="71"/>
      <x:c r="R28" s="71"/>
      <x:c r="S28" s="71"/>
      <x:c r="T28" s="71"/>
    </x:row>
    <x:row r="29" ht="15.75" customHeight="1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 s="71"/>
      <x:c r="P29" s="71"/>
      <x:c r="Q29" s="71"/>
      <x:c r="R29" s="71"/>
      <x:c r="S29" s="71"/>
      <x:c r="T29" s="71"/>
    </x:row>
    <x:row r="30" ht="15.75" customHeight="1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 s="71"/>
      <x:c r="P30" s="71"/>
      <x:c r="Q30" s="71"/>
      <x:c r="R30" s="71"/>
      <x:c r="S30" s="71"/>
      <x:c r="T30" s="71"/>
    </x:row>
    <x:row r="31" ht="15.75" customHeight="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 s="71"/>
      <x:c r="P31" s="71"/>
      <x:c r="Q31" s="71"/>
      <x:c r="R31" s="71"/>
      <x:c r="S31" s="71"/>
      <x:c r="T31" s="71"/>
    </x:row>
    <x:row r="32" ht="15.75" customHeight="1">
      <x:c r="A32">
        <x:f t="shared" ref="A32:A214" si="2">A31+1</x:f>
      </x:c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 s="71"/>
      <x:c r="P32" s="71"/>
      <x:c r="Q32" s="71"/>
      <x:c r="R32" s="71"/>
      <x:c r="S32" s="71"/>
      <x:c r="T32" s="71"/>
    </x:row>
    <x:row r="33" ht="15.75" customHeight="1">
      <x:c r="A33">
        <x:f t="shared" si="2"/>
      </x:c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 s="71"/>
      <x:c r="P33" s="71"/>
      <x:c r="Q33" s="71"/>
      <x:c r="R33" s="71"/>
      <x:c r="S33" s="71"/>
      <x:c r="T33" s="71"/>
    </x:row>
    <x:row r="34" ht="15.75" customHeight="1">
      <x:c r="A34">
        <x:f t="shared" si="2"/>
      </x:c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 s="71"/>
      <x:c r="P34" s="71"/>
      <x:c r="Q34" s="71"/>
      <x:c r="R34" s="71"/>
      <x:c r="S34" s="71"/>
      <x:c r="T34" s="71"/>
    </x:row>
    <x:row r="35" ht="15.75" customHeight="1">
      <x:c r="A35">
        <x:f t="shared" si="2"/>
      </x:c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 s="71"/>
      <x:c r="P35" s="71"/>
      <x:c r="Q35" s="71"/>
      <x:c r="R35" s="71"/>
      <x:c r="S35" s="71"/>
      <x:c r="T35" s="71"/>
    </x:row>
    <x:row r="36" ht="15.75" customHeight="1">
      <x:c r="A36">
        <x:f t="shared" si="2"/>
      </x:c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 s="71"/>
      <x:c r="P36" s="71"/>
      <x:c r="Q36" s="71"/>
      <x:c r="R36" s="71"/>
      <x:c r="S36" s="71"/>
      <x:c r="T36" s="71"/>
    </x:row>
    <x:row r="37" ht="15.75" customHeight="1">
      <x:c r="A37">
        <x:f t="shared" si="2"/>
      </x:c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 s="71"/>
      <x:c r="P37" s="71"/>
      <x:c r="Q37" s="71"/>
      <x:c r="R37" s="71"/>
      <x:c r="S37" s="71"/>
      <x:c r="T37" s="71"/>
    </x:row>
    <x:row r="38" ht="15.75" customHeight="1">
      <x:c r="A38">
        <x:f t="shared" si="2"/>
      </x:c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 s="71"/>
      <x:c r="P38" s="71"/>
      <x:c r="Q38" s="71"/>
      <x:c r="R38" s="71"/>
      <x:c r="S38" s="71"/>
      <x:c r="T38" s="71"/>
    </x:row>
    <x:row r="39" ht="15.75" customHeight="1">
      <x:c r="A39">
        <x:f t="shared" si="2"/>
      </x:c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 s="71"/>
      <x:c r="P39" s="71"/>
      <x:c r="Q39" s="71"/>
      <x:c r="R39" s="71"/>
      <x:c r="S39" s="71"/>
      <x:c r="T39" s="71"/>
    </x:row>
    <x:row r="40" ht="15.75" customHeight="1">
      <x:c r="A40">
        <x:f t="shared" si="2"/>
      </x:c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 s="71"/>
      <x:c r="P40" s="71"/>
      <x:c r="Q40" s="71"/>
      <x:c r="R40" s="71"/>
      <x:c r="S40" s="71"/>
      <x:c r="T40" s="71"/>
    </x:row>
    <x:row r="41" ht="15.75" customHeight="1">
      <x:c r="A41">
        <x:f t="shared" si="2"/>
      </x:c>
      <x:c r="B41"/>
      <x:c r="C41"/>
      <x:c r="D41"/>
    </x:row>
    <x:row r="42" ht="15.75" customHeight="1">
      <x:c r="A42">
        <x:f t="shared" si="2"/>
      </x:c>
      <x:c r="B42"/>
      <x:c r="C42"/>
      <x:c r="D42"/>
    </x:row>
    <x:row r="43" ht="15.75" customHeight="1">
      <x:c r="A43">
        <x:f t="shared" si="2"/>
      </x:c>
      <x:c r="B43"/>
      <x:c r="C43"/>
      <x:c r="D43"/>
    </x:row>
    <x:row r="44" ht="15.75" customHeight="1">
      <x:c r="A44">
        <x:f t="shared" si="2"/>
      </x:c>
      <x:c r="B44"/>
      <x:c r="C44"/>
      <x:c r="D44"/>
    </x:row>
    <x:row r="45" ht="15.75" customHeight="1">
      <x:c r="A45">
        <x:f t="shared" si="2"/>
      </x:c>
      <x:c r="B45"/>
      <x:c r="C45"/>
      <x:c r="D45"/>
    </x:row>
    <x:row r="46" ht="15.75" customHeight="1">
      <x:c r="A46">
        <x:f t="shared" si="2"/>
      </x:c>
      <x:c r="B46"/>
      <x:c r="C46"/>
      <x:c r="D46"/>
    </x:row>
    <x:row r="47" ht="15.75" customHeight="1">
      <x:c r="A47">
        <x:f t="shared" si="2"/>
      </x:c>
      <x:c r="B47"/>
      <x:c r="C47"/>
      <x:c r="D47"/>
    </x:row>
    <x:row r="48" ht="15.75" customHeight="1">
      <x:c r="A48">
        <x:f t="shared" si="2"/>
      </x:c>
      <x:c r="B48"/>
      <x:c r="C48"/>
      <x:c r="D48"/>
    </x:row>
    <x:row r="49" ht="15.75" customHeight="1">
      <x:c r="A49">
        <x:f t="shared" si="2"/>
      </x:c>
      <x:c r="B49"/>
      <x:c r="C49"/>
      <x:c r="D49"/>
    </x:row>
    <x:row r="50" ht="15.75" customHeight="1">
      <x:c r="A50">
        <x:f t="shared" si="2"/>
      </x:c>
      <x:c r="B50"/>
      <x:c r="C50"/>
      <x:c r="D50"/>
    </x:row>
    <x:row r="51" ht="15.75" customHeight="1">
      <x:c r="A51">
        <x:f t="shared" si="2"/>
      </x:c>
      <x:c r="B51"/>
      <x:c r="C51"/>
      <x:c r="D51"/>
    </x:row>
    <x:row r="52" ht="15.75" customHeight="1">
      <x:c r="A52">
        <x:f t="shared" si="2"/>
      </x:c>
      <x:c r="B52"/>
      <x:c r="C52"/>
      <x:c r="D52"/>
    </x:row>
    <x:row r="53" ht="15.75" customHeight="1">
      <x:c r="A53">
        <x:f t="shared" si="2"/>
      </x:c>
      <x:c r="B53"/>
      <x:c r="C53"/>
      <x:c r="D53"/>
    </x:row>
    <x:row r="54" ht="15.75" customHeight="1">
      <x:c r="A54">
        <x:f t="shared" si="2"/>
      </x:c>
      <x:c r="B54"/>
      <x:c r="C54"/>
      <x:c r="D54"/>
    </x:row>
    <x:row r="55" ht="15.75" customHeight="1">
      <x:c r="A55">
        <x:f t="shared" si="2"/>
      </x:c>
      <x:c r="B55"/>
      <x:c r="C55"/>
      <x:c r="D55"/>
    </x:row>
    <x:row r="56" ht="15.75" customHeight="1">
      <x:c r="A56">
        <x:f t="shared" si="2"/>
      </x:c>
      <x:c r="B56"/>
      <x:c r="C56"/>
      <x:c r="D56"/>
    </x:row>
    <x:row r="57" ht="15.75" customHeight="1">
      <x:c r="A57">
        <x:f t="shared" si="2"/>
      </x:c>
      <x:c r="B57"/>
      <x:c r="C57"/>
      <x:c r="D57"/>
    </x:row>
    <x:row r="58" ht="15.75" customHeight="1">
      <x:c r="A58">
        <x:f t="shared" si="2"/>
      </x:c>
      <x:c r="B58"/>
      <x:c r="C58"/>
      <x:c r="D58"/>
    </x:row>
    <x:row r="59" ht="15.75" customHeight="1">
      <x:c r="A59">
        <x:f t="shared" si="2"/>
      </x:c>
      <x:c r="B59"/>
      <x:c r="C59"/>
      <x:c r="D59"/>
    </x:row>
    <x:row r="60" ht="15.75" customHeight="1">
      <x:c r="A60">
        <x:f t="shared" si="2"/>
      </x:c>
      <x:c r="B60"/>
      <x:c r="C60"/>
      <x:c r="D60"/>
    </x:row>
    <x:row r="61" ht="15.75" customHeight="1">
      <x:c r="A61">
        <x:f t="shared" si="2"/>
      </x:c>
      <x:c r="B61"/>
      <x:c r="C61"/>
      <x:c r="D61"/>
    </x:row>
    <x:row r="62" ht="15.75" customHeight="1">
      <x:c r="A62">
        <x:f t="shared" si="2"/>
      </x:c>
      <x:c r="B62"/>
      <x:c r="C62"/>
      <x:c r="D62"/>
    </x:row>
    <x:row r="63" ht="15.75" customHeight="1">
      <x:c r="A63">
        <x:f t="shared" si="2"/>
      </x:c>
      <x:c r="B63"/>
      <x:c r="C63"/>
      <x:c r="D63"/>
    </x:row>
    <x:row r="64" ht="15.75" customHeight="1">
      <x:c r="A64">
        <x:f t="shared" si="2"/>
      </x:c>
      <x:c r="B64"/>
      <x:c r="C64"/>
      <x:c r="D64"/>
    </x:row>
    <x:row r="65" ht="15.75" customHeight="1">
      <x:c r="A65">
        <x:f t="shared" si="2"/>
      </x:c>
      <x:c r="B65"/>
      <x:c r="C65"/>
      <x:c r="D65"/>
    </x:row>
    <x:row r="66" ht="15.75" customHeight="1">
      <x:c r="A66">
        <x:f t="shared" si="2"/>
      </x:c>
      <x:c r="B66"/>
      <x:c r="C66"/>
      <x:c r="D66"/>
    </x:row>
    <x:row r="67" ht="15.75" customHeight="1">
      <x:c r="A67">
        <x:f t="shared" si="2"/>
      </x:c>
      <x:c r="B67"/>
      <x:c r="C67"/>
      <x:c r="D67"/>
    </x:row>
    <x:row r="68" ht="15.75" customHeight="1">
      <x:c r="A68">
        <x:f t="shared" si="2"/>
      </x:c>
      <x:c r="B68"/>
      <x:c r="C68"/>
      <x:c r="D68"/>
    </x:row>
    <x:row r="69" ht="15.75" customHeight="1">
      <x:c r="A69">
        <x:f t="shared" si="2"/>
      </x:c>
      <x:c r="B69"/>
      <x:c r="C69"/>
      <x:c r="D69"/>
    </x:row>
    <x:row r="70" ht="15.75" customHeight="1">
      <x:c r="A70">
        <x:f t="shared" si="2"/>
      </x:c>
      <x:c r="B70"/>
      <x:c r="C70"/>
      <x:c r="D70"/>
    </x:row>
    <x:row r="71" ht="15.75" customHeight="1">
      <x:c r="A71">
        <x:f t="shared" si="2"/>
      </x:c>
      <x:c r="B71"/>
      <x:c r="C71"/>
      <x:c r="D71"/>
    </x:row>
    <x:row r="72" ht="15.75" customHeight="1">
      <x:c r="A72">
        <x:f t="shared" si="2"/>
      </x:c>
      <x:c r="B72"/>
      <x:c r="C72"/>
      <x:c r="D72"/>
    </x:row>
    <x:row r="73" ht="15.75" customHeight="1">
      <x:c r="A73">
        <x:f t="shared" si="2"/>
      </x:c>
      <x:c r="B73"/>
      <x:c r="C73"/>
      <x:c r="D73"/>
    </x:row>
    <x:row r="74" ht="15.75" customHeight="1">
      <x:c r="A74">
        <x:f t="shared" si="2"/>
      </x:c>
      <x:c r="B74"/>
      <x:c r="C74"/>
      <x:c r="D74"/>
    </x:row>
    <x:row r="75" ht="15.75" customHeight="1">
      <x:c r="A75">
        <x:f t="shared" si="2"/>
      </x:c>
      <x:c r="B75"/>
      <x:c r="C75"/>
      <x:c r="D75"/>
    </x:row>
    <x:row r="76" ht="15.75" customHeight="1">
      <x:c r="A76">
        <x:f t="shared" si="2"/>
      </x:c>
      <x:c r="B76"/>
      <x:c r="C76"/>
      <x:c r="D76"/>
    </x:row>
    <x:row r="77" ht="15.75" customHeight="1">
      <x:c r="A77">
        <x:f t="shared" si="2"/>
      </x:c>
      <x:c r="B77"/>
      <x:c r="C77"/>
      <x:c r="D77"/>
    </x:row>
    <x:row r="78" ht="15.75" customHeight="1">
      <x:c r="A78">
        <x:f t="shared" si="2"/>
      </x:c>
      <x:c r="B78"/>
      <x:c r="C78"/>
      <x:c r="D78"/>
    </x:row>
    <x:row r="79" ht="15.75" customHeight="1">
      <x:c r="A79">
        <x:f t="shared" si="2"/>
      </x:c>
      <x:c r="B79"/>
      <x:c r="C79"/>
      <x:c r="D79"/>
    </x:row>
    <x:row r="80" ht="15.75" customHeight="1">
      <x:c r="A80">
        <x:f t="shared" si="2"/>
      </x:c>
      <x:c r="B80"/>
      <x:c r="C80"/>
      <x:c r="D80"/>
    </x:row>
    <x:row r="81" ht="15.75" customHeight="1">
      <x:c r="A81">
        <x:f t="shared" si="2"/>
      </x:c>
      <x:c r="B81"/>
      <x:c r="C81"/>
      <x:c r="D81"/>
    </x:row>
    <x:row r="82" ht="15.75" customHeight="1">
      <x:c r="A82">
        <x:f t="shared" si="2"/>
      </x:c>
      <x:c r="B82"/>
      <x:c r="C82"/>
      <x:c r="D82"/>
    </x:row>
    <x:row r="83" ht="15.75" customHeight="1">
      <x:c r="A83">
        <x:f t="shared" si="2"/>
      </x:c>
      <x:c r="B83"/>
      <x:c r="C83"/>
      <x:c r="D83"/>
    </x:row>
    <x:row r="84" ht="15.75" customHeight="1">
      <x:c r="A84">
        <x:f t="shared" si="2"/>
      </x:c>
      <x:c r="B84"/>
      <x:c r="C84"/>
      <x:c r="D84"/>
    </x:row>
    <x:row r="85" ht="15.75" customHeight="1">
      <x:c r="A85">
        <x:f t="shared" si="2"/>
      </x:c>
      <x:c r="B85"/>
      <x:c r="C85"/>
      <x:c r="D85"/>
    </x:row>
    <x:row r="86" ht="15.75" customHeight="1">
      <x:c r="A86">
        <x:f t="shared" si="2"/>
      </x:c>
      <x:c r="B86"/>
      <x:c r="C86"/>
      <x:c r="D86"/>
    </x:row>
    <x:row r="87" ht="15.75" customHeight="1">
      <x:c r="A87">
        <x:f t="shared" si="2"/>
      </x:c>
      <x:c r="B87"/>
      <x:c r="C87"/>
      <x:c r="D87"/>
    </x:row>
    <x:row r="88" ht="15.75" customHeight="1">
      <x:c r="A88">
        <x:f t="shared" si="2"/>
      </x:c>
      <x:c r="B88"/>
      <x:c r="C88"/>
      <x:c r="D88"/>
    </x:row>
    <x:row r="89" ht="15.75" customHeight="1">
      <x:c r="A89">
        <x:f t="shared" si="2"/>
      </x:c>
      <x:c r="B89"/>
      <x:c r="C89"/>
      <x:c r="D89"/>
    </x:row>
    <x:row r="90" ht="15.75" customHeight="1">
      <x:c r="A90">
        <x:f t="shared" si="2"/>
      </x:c>
      <x:c r="B90"/>
      <x:c r="C90"/>
      <x:c r="D90"/>
    </x:row>
    <x:row r="91" ht="15.75" customHeight="1">
      <x:c r="A91">
        <x:f t="shared" si="2"/>
      </x:c>
      <x:c r="B91"/>
      <x:c r="C91"/>
      <x:c r="D91"/>
    </x:row>
    <x:row r="92" ht="15.75" customHeight="1">
      <x:c r="A92">
        <x:f t="shared" si="2"/>
      </x:c>
      <x:c r="B92"/>
      <x:c r="C92"/>
      <x:c r="D92"/>
    </x:row>
    <x:row r="93" ht="15.75" customHeight="1">
      <x:c r="A93">
        <x:f t="shared" si="2"/>
      </x:c>
      <x:c r="B93"/>
      <x:c r="C93"/>
      <x:c r="D93"/>
    </x:row>
    <x:row r="94" ht="15.75" customHeight="1">
      <x:c r="A94">
        <x:f t="shared" si="2"/>
      </x:c>
      <x:c r="B94"/>
      <x:c r="C94"/>
      <x:c r="D94"/>
    </x:row>
    <x:row r="95" ht="15.75" customHeight="1">
      <x:c r="A95">
        <x:f t="shared" si="2"/>
      </x:c>
      <x:c r="B95"/>
      <x:c r="C95"/>
      <x:c r="D95"/>
    </x:row>
    <x:row r="96" ht="15.75" customHeight="1">
      <x:c r="A96">
        <x:f t="shared" si="2"/>
      </x:c>
      <x:c r="B96"/>
      <x:c r="C96"/>
      <x:c r="D96"/>
    </x:row>
    <x:row r="97" ht="15.75" customHeight="1">
      <x:c r="A97">
        <x:f t="shared" si="2"/>
      </x:c>
      <x:c r="B97"/>
      <x:c r="C97"/>
      <x:c r="D97"/>
    </x:row>
    <x:row r="98" ht="15.75" customHeight="1">
      <x:c r="A98">
        <x:f t="shared" si="2"/>
      </x:c>
      <x:c r="B98"/>
      <x:c r="C98"/>
      <x:c r="D98"/>
    </x:row>
    <x:row r="99" ht="15.75" customHeight="1">
      <x:c r="A99">
        <x:f t="shared" si="2"/>
      </x:c>
      <x:c r="B99"/>
      <x:c r="C99"/>
      <x:c r="D99"/>
    </x:row>
    <x:row r="100" ht="15.75" customHeight="1">
      <x:c r="A100">
        <x:f t="shared" si="2"/>
      </x:c>
      <x:c r="B100"/>
      <x:c r="C100"/>
      <x:c r="D100"/>
    </x:row>
    <x:row r="101" ht="15.75" customHeight="1">
      <x:c r="A101">
        <x:f t="shared" si="2"/>
      </x:c>
      <x:c r="B101"/>
      <x:c r="C101"/>
      <x:c r="D101"/>
    </x:row>
    <x:row r="102" ht="15.75" customHeight="1">
      <x:c r="A102">
        <x:f t="shared" si="2"/>
      </x:c>
      <x:c r="B102"/>
      <x:c r="C102"/>
      <x:c r="D102"/>
    </x:row>
    <x:row r="103" ht="15.75" customHeight="1">
      <x:c r="A103">
        <x:f t="shared" si="2"/>
      </x:c>
      <x:c r="B103"/>
      <x:c r="C103"/>
      <x:c r="D103"/>
    </x:row>
    <x:row r="104" ht="15.75" customHeight="1">
      <x:c r="A104">
        <x:f t="shared" si="2"/>
      </x:c>
      <x:c r="B104"/>
      <x:c r="C104"/>
      <x:c r="D104"/>
    </x:row>
    <x:row r="105" ht="15.75" customHeight="1">
      <x:c r="A105">
        <x:f t="shared" si="2"/>
      </x:c>
      <x:c r="B105"/>
      <x:c r="C105"/>
      <x:c r="D105"/>
    </x:row>
    <x:row r="106" ht="15.75" customHeight="1">
      <x:c r="A106">
        <x:f t="shared" si="2"/>
      </x:c>
      <x:c r="B106"/>
      <x:c r="C106"/>
      <x:c r="D106"/>
    </x:row>
    <x:row r="107" ht="15.75" customHeight="1">
      <x:c r="A107">
        <x:f t="shared" si="2"/>
      </x:c>
      <x:c r="B107"/>
      <x:c r="C107"/>
      <x:c r="D107"/>
    </x:row>
    <x:row r="108" ht="15.75" customHeight="1">
      <x:c r="A108">
        <x:f t="shared" si="2"/>
      </x:c>
      <x:c r="B108"/>
      <x:c r="C108"/>
      <x:c r="D108"/>
    </x:row>
    <x:row r="109" ht="15.75" customHeight="1">
      <x:c r="A109">
        <x:f t="shared" si="2"/>
      </x:c>
      <x:c r="B109"/>
      <x:c r="C109"/>
      <x:c r="D109"/>
    </x:row>
    <x:row r="110" ht="15.75" customHeight="1">
      <x:c r="A110">
        <x:f t="shared" si="2"/>
      </x:c>
      <x:c r="B110"/>
      <x:c r="C110"/>
      <x:c r="D110"/>
    </x:row>
    <x:row r="111" ht="15.75" customHeight="1">
      <x:c r="A111">
        <x:f t="shared" si="2"/>
      </x:c>
      <x:c r="B111"/>
      <x:c r="C111"/>
      <x:c r="D111"/>
    </x:row>
    <x:row r="112" ht="15.75" customHeight="1">
      <x:c r="A112">
        <x:f t="shared" si="2"/>
      </x:c>
      <x:c r="B112"/>
      <x:c r="C112"/>
      <x:c r="D112"/>
    </x:row>
    <x:row r="113" ht="15.75" customHeight="1">
      <x:c r="A113">
        <x:f t="shared" si="2"/>
      </x:c>
      <x:c r="B113"/>
      <x:c r="C113"/>
      <x:c r="D113"/>
    </x:row>
    <x:row r="114" ht="15.75" customHeight="1">
      <x:c r="A114">
        <x:f t="shared" si="2"/>
      </x:c>
      <x:c r="B114"/>
      <x:c r="C114"/>
      <x:c r="D114"/>
    </x:row>
    <x:row r="115" ht="15.75" customHeight="1">
      <x:c r="A115">
        <x:f t="shared" si="2"/>
      </x:c>
      <x:c r="B115"/>
      <x:c r="C115"/>
      <x:c r="D115"/>
    </x:row>
    <x:row r="116" ht="15.75" customHeight="1">
      <x:c r="A116">
        <x:f t="shared" si="2"/>
      </x:c>
      <x:c r="B116"/>
      <x:c r="C116"/>
      <x:c r="D116"/>
    </x:row>
    <x:row r="117" ht="15.75" customHeight="1">
      <x:c r="A117">
        <x:f t="shared" si="2"/>
      </x:c>
      <x:c r="B117"/>
      <x:c r="C117"/>
      <x:c r="D117"/>
    </x:row>
    <x:row r="118" ht="15.75" customHeight="1">
      <x:c r="A118">
        <x:f t="shared" si="2"/>
      </x:c>
      <x:c r="B118"/>
      <x:c r="C118"/>
      <x:c r="D118"/>
    </x:row>
    <x:row r="119" ht="15.75" customHeight="1">
      <x:c r="A119">
        <x:f t="shared" si="2"/>
      </x:c>
      <x:c r="B119"/>
      <x:c r="C119"/>
      <x:c r="D119"/>
    </x:row>
    <x:row r="120" ht="15.75" customHeight="1">
      <x:c r="A120">
        <x:f t="shared" si="2"/>
      </x:c>
      <x:c r="B120"/>
      <x:c r="C120"/>
      <x:c r="D120"/>
    </x:row>
    <x:row r="121" ht="15.75" customHeight="1">
      <x:c r="A121">
        <x:f t="shared" si="2"/>
      </x:c>
      <x:c r="B121"/>
      <x:c r="C121"/>
      <x:c r="D121"/>
    </x:row>
    <x:row r="122" ht="15.75" customHeight="1">
      <x:c r="A122">
        <x:f t="shared" si="2"/>
      </x:c>
      <x:c r="B122"/>
      <x:c r="C122"/>
      <x:c r="D122"/>
    </x:row>
    <x:row r="123" ht="15.75" customHeight="1">
      <x:c r="A123">
        <x:f t="shared" si="2"/>
      </x:c>
      <x:c r="B123"/>
      <x:c r="C123"/>
      <x:c r="D123"/>
    </x:row>
    <x:row r="124" ht="15.75" customHeight="1">
      <x:c r="A124">
        <x:f t="shared" si="2"/>
      </x:c>
      <x:c r="B124"/>
      <x:c r="C124"/>
      <x:c r="D124"/>
    </x:row>
    <x:row r="125" ht="15.75" customHeight="1">
      <x:c r="A125">
        <x:f t="shared" si="2"/>
      </x:c>
      <x:c r="B125"/>
      <x:c r="C125"/>
      <x:c r="D125"/>
    </x:row>
    <x:row r="126" ht="15.75" customHeight="1">
      <x:c r="A126">
        <x:f t="shared" si="2"/>
      </x:c>
      <x:c r="B126"/>
      <x:c r="C126"/>
      <x:c r="D126"/>
    </x:row>
    <x:row r="127" ht="15.75" customHeight="1">
      <x:c r="A127">
        <x:f t="shared" si="2"/>
      </x:c>
      <x:c r="B127"/>
      <x:c r="C127"/>
      <x:c r="D127"/>
    </x:row>
    <x:row r="128" ht="15.75" customHeight="1">
      <x:c r="A128">
        <x:f t="shared" si="2"/>
      </x:c>
      <x:c r="B128"/>
      <x:c r="C128"/>
      <x:c r="D128"/>
    </x:row>
    <x:row r="129" ht="15.75" customHeight="1">
      <x:c r="A129">
        <x:f t="shared" si="2"/>
      </x:c>
      <x:c r="B129"/>
      <x:c r="C129"/>
      <x:c r="D129"/>
    </x:row>
    <x:row r="130" ht="15.75" customHeight="1">
      <x:c r="A130">
        <x:f t="shared" si="2"/>
      </x:c>
      <x:c r="B130"/>
      <x:c r="C130"/>
      <x:c r="D130"/>
    </x:row>
    <x:row r="131" ht="15.75" customHeight="1">
      <x:c r="A131">
        <x:f t="shared" si="2"/>
      </x:c>
      <x:c r="B131"/>
      <x:c r="C131"/>
      <x:c r="D131"/>
    </x:row>
    <x:row r="132" ht="15.75" customHeight="1">
      <x:c r="A132">
        <x:f t="shared" si="2"/>
      </x:c>
      <x:c r="B132"/>
      <x:c r="C132"/>
      <x:c r="D132"/>
    </x:row>
    <x:row r="133" ht="15.75" customHeight="1">
      <x:c r="A133">
        <x:f t="shared" si="2"/>
      </x:c>
      <x:c r="B133"/>
      <x:c r="C133"/>
      <x:c r="D133"/>
    </x:row>
    <x:row r="134" ht="15.75" customHeight="1">
      <x:c r="A134">
        <x:f t="shared" si="2"/>
      </x:c>
      <x:c r="B134"/>
      <x:c r="C134"/>
      <x:c r="D134"/>
    </x:row>
    <x:row r="135" ht="15.75" customHeight="1">
      <x:c r="A135">
        <x:f t="shared" si="2"/>
      </x:c>
      <x:c r="B135"/>
      <x:c r="C135"/>
      <x:c r="D135"/>
    </x:row>
    <x:row r="136" ht="15.75" customHeight="1">
      <x:c r="A136">
        <x:f t="shared" si="2"/>
      </x:c>
      <x:c r="B136"/>
      <x:c r="C136"/>
      <x:c r="D136"/>
    </x:row>
    <x:row r="137" ht="15.75" customHeight="1">
      <x:c r="A137">
        <x:f t="shared" si="2"/>
      </x:c>
      <x:c r="B137"/>
      <x:c r="C137"/>
      <x:c r="D137"/>
    </x:row>
    <x:row r="138" ht="15.75" customHeight="1">
      <x:c r="A138">
        <x:f t="shared" si="2"/>
      </x:c>
      <x:c r="B138"/>
      <x:c r="C138"/>
      <x:c r="D138"/>
    </x:row>
    <x:row r="139" ht="15.75" customHeight="1">
      <x:c r="A139">
        <x:f t="shared" si="2"/>
      </x:c>
      <x:c r="B139"/>
      <x:c r="C139"/>
      <x:c r="D139"/>
    </x:row>
    <x:row r="140" ht="15.75" customHeight="1">
      <x:c r="A140">
        <x:f t="shared" si="2"/>
      </x:c>
      <x:c r="B140"/>
      <x:c r="C140"/>
      <x:c r="D140"/>
    </x:row>
    <x:row r="141" ht="15.75" customHeight="1">
      <x:c r="A141">
        <x:f t="shared" si="2"/>
      </x:c>
      <x:c r="B141"/>
      <x:c r="C141"/>
      <x:c r="D141"/>
    </x:row>
    <x:row r="142" ht="15.75" customHeight="1">
      <x:c r="A142">
        <x:f t="shared" si="2"/>
      </x:c>
      <x:c r="B142"/>
      <x:c r="C142"/>
      <x:c r="D142"/>
    </x:row>
    <x:row r="143" ht="15.75" customHeight="1">
      <x:c r="A143">
        <x:f t="shared" si="2"/>
      </x:c>
      <x:c r="B143"/>
      <x:c r="C143"/>
      <x:c r="D143"/>
    </x:row>
    <x:row r="144" ht="15.75" customHeight="1">
      <x:c r="A144">
        <x:f t="shared" si="2"/>
      </x:c>
      <x:c r="B144"/>
      <x:c r="C144"/>
      <x:c r="D144"/>
    </x:row>
    <x:row r="145" ht="15.75" customHeight="1">
      <x:c r="A145">
        <x:f t="shared" si="2"/>
      </x:c>
      <x:c r="B145"/>
      <x:c r="C145"/>
      <x:c r="D145"/>
    </x:row>
    <x:row r="146" ht="15.75" customHeight="1">
      <x:c r="A146">
        <x:f t="shared" si="2"/>
      </x:c>
      <x:c r="B146"/>
      <x:c r="C146"/>
      <x:c r="D146"/>
    </x:row>
    <x:row r="147" ht="15.75" customHeight="1">
      <x:c r="A147">
        <x:f t="shared" si="2"/>
      </x:c>
      <x:c r="B147"/>
      <x:c r="C147"/>
      <x:c r="D147"/>
    </x:row>
    <x:row r="148" ht="15.75" customHeight="1">
      <x:c r="A148">
        <x:f t="shared" si="2"/>
      </x:c>
      <x:c r="B148"/>
      <x:c r="C148"/>
      <x:c r="D148"/>
    </x:row>
    <x:row r="149" ht="15.75" customHeight="1">
      <x:c r="A149">
        <x:f t="shared" si="2"/>
      </x:c>
      <x:c r="B149"/>
      <x:c r="C149"/>
      <x:c r="D149"/>
    </x:row>
    <x:row r="150" ht="15.75" customHeight="1">
      <x:c r="A150">
        <x:f t="shared" si="2"/>
      </x:c>
      <x:c r="B150"/>
      <x:c r="C150"/>
      <x:c r="D150"/>
    </x:row>
    <x:row r="151" ht="15.75" customHeight="1">
      <x:c r="A151">
        <x:f t="shared" si="2"/>
      </x:c>
      <x:c r="B151"/>
      <x:c r="C151"/>
      <x:c r="D151"/>
    </x:row>
    <x:row r="152" ht="15.75" customHeight="1">
      <x:c r="A152">
        <x:f t="shared" si="2"/>
      </x:c>
      <x:c r="B152"/>
      <x:c r="C152"/>
      <x:c r="D152"/>
    </x:row>
    <x:row r="153" ht="15.75" customHeight="1">
      <x:c r="A153">
        <x:f t="shared" si="2"/>
      </x:c>
      <x:c r="B153"/>
      <x:c r="C153"/>
      <x:c r="D153"/>
    </x:row>
    <x:row r="154" ht="15.75" customHeight="1">
      <x:c r="A154">
        <x:f t="shared" si="2"/>
      </x:c>
      <x:c r="B154"/>
      <x:c r="C154"/>
      <x:c r="D154"/>
    </x:row>
    <x:row r="155" ht="15.75" customHeight="1">
      <x:c r="A155">
        <x:f t="shared" si="2"/>
      </x:c>
      <x:c r="B155"/>
      <x:c r="C155"/>
      <x:c r="D155"/>
    </x:row>
    <x:row r="156" ht="15.75" customHeight="1">
      <x:c r="A156">
        <x:f t="shared" si="2"/>
      </x:c>
      <x:c r="B156"/>
      <x:c r="C156"/>
      <x:c r="D156"/>
    </x:row>
    <x:row r="157" ht="15.75" customHeight="1">
      <x:c r="A157">
        <x:f t="shared" si="2"/>
      </x:c>
      <x:c r="B157"/>
      <x:c r="C157"/>
      <x:c r="D157"/>
    </x:row>
    <x:row r="158" ht="15.75" customHeight="1">
      <x:c r="A158">
        <x:f t="shared" si="2"/>
      </x:c>
      <x:c r="B158"/>
      <x:c r="C158"/>
      <x:c r="D158"/>
    </x:row>
    <x:row r="159" ht="15.75" customHeight="1">
      <x:c r="A159">
        <x:f t="shared" si="2"/>
      </x:c>
      <x:c r="B159"/>
      <x:c r="C159"/>
      <x:c r="D159"/>
    </x:row>
    <x:row r="160" ht="15.75" customHeight="1">
      <x:c r="A160">
        <x:f t="shared" si="2"/>
      </x:c>
      <x:c r="B160"/>
      <x:c r="C160"/>
      <x:c r="D160"/>
    </x:row>
    <x:row r="161" ht="15.75" customHeight="1">
      <x:c r="A161">
        <x:f t="shared" si="2"/>
      </x:c>
      <x:c r="B161"/>
      <x:c r="C161"/>
      <x:c r="D161"/>
    </x:row>
    <x:row r="162" ht="15.75" customHeight="1">
      <x:c r="A162">
        <x:f t="shared" si="2"/>
      </x:c>
      <x:c r="B162"/>
      <x:c r="C162"/>
      <x:c r="D162"/>
    </x:row>
    <x:row r="163" ht="15.75" customHeight="1">
      <x:c r="A163">
        <x:f t="shared" si="2"/>
      </x:c>
      <x:c r="B163"/>
      <x:c r="C163"/>
      <x:c r="D163"/>
    </x:row>
    <x:row r="164" ht="15.75" customHeight="1">
      <x:c r="A164">
        <x:f t="shared" si="2"/>
      </x:c>
      <x:c r="B164"/>
      <x:c r="C164"/>
      <x:c r="D164"/>
    </x:row>
    <x:row r="165" ht="15.75" customHeight="1">
      <x:c r="A165">
        <x:f t="shared" si="2"/>
      </x:c>
      <x:c r="B165"/>
      <x:c r="C165"/>
      <x:c r="D165"/>
    </x:row>
    <x:row r="166" ht="15.75" customHeight="1">
      <x:c r="A166">
        <x:f t="shared" si="2"/>
      </x:c>
      <x:c r="B166"/>
      <x:c r="C166"/>
      <x:c r="D166"/>
    </x:row>
    <x:row r="167" ht="15.75" customHeight="1">
      <x:c r="A167">
        <x:f t="shared" si="2"/>
      </x:c>
      <x:c r="B167"/>
      <x:c r="C167"/>
      <x:c r="D167"/>
    </x:row>
    <x:row r="168" ht="15.75" customHeight="1">
      <x:c r="A168">
        <x:f t="shared" si="2"/>
      </x:c>
      <x:c r="B168"/>
      <x:c r="C168"/>
      <x:c r="D168"/>
    </x:row>
    <x:row r="169" ht="15.75" customHeight="1">
      <x:c r="A169">
        <x:f t="shared" si="2"/>
      </x:c>
      <x:c r="B169"/>
      <x:c r="C169"/>
      <x:c r="D169"/>
    </x:row>
    <x:row r="170" ht="15.75" customHeight="1">
      <x:c r="A170">
        <x:f t="shared" si="2"/>
      </x:c>
      <x:c r="B170"/>
      <x:c r="C170"/>
      <x:c r="D170"/>
    </x:row>
    <x:row r="171" ht="15.75" customHeight="1">
      <x:c r="A171">
        <x:f t="shared" si="2"/>
      </x:c>
      <x:c r="B171"/>
      <x:c r="C171"/>
      <x:c r="D171"/>
    </x:row>
    <x:row r="172" ht="15.75" customHeight="1">
      <x:c r="A172">
        <x:f t="shared" si="2"/>
      </x:c>
      <x:c r="B172"/>
      <x:c r="C172"/>
      <x:c r="D172"/>
    </x:row>
    <x:row r="173" ht="15.75" customHeight="1">
      <x:c r="A173">
        <x:f t="shared" si="2"/>
      </x:c>
      <x:c r="B173"/>
      <x:c r="C173"/>
      <x:c r="D173"/>
    </x:row>
    <x:row r="174" ht="15.75" customHeight="1">
      <x:c r="A174">
        <x:f t="shared" si="2"/>
      </x:c>
      <x:c r="B174"/>
      <x:c r="C174"/>
      <x:c r="D174"/>
    </x:row>
    <x:row r="175" ht="15.75" customHeight="1">
      <x:c r="A175">
        <x:f t="shared" si="2"/>
      </x:c>
      <x:c r="B175"/>
      <x:c r="C175"/>
      <x:c r="D175"/>
    </x:row>
    <x:row r="176" ht="15.75" customHeight="1">
      <x:c r="A176">
        <x:f t="shared" si="2"/>
      </x:c>
      <x:c r="B176"/>
      <x:c r="C176"/>
      <x:c r="D176"/>
    </x:row>
    <x:row r="177" ht="15.75" customHeight="1">
      <x:c r="A177">
        <x:f t="shared" si="2"/>
      </x:c>
      <x:c r="B177"/>
      <x:c r="C177"/>
      <x:c r="D177"/>
    </x:row>
    <x:row r="178" ht="15.75" customHeight="1">
      <x:c r="A178">
        <x:f t="shared" si="2"/>
      </x:c>
      <x:c r="B178"/>
      <x:c r="C178"/>
      <x:c r="D178"/>
    </x:row>
    <x:row r="179" ht="15.75" customHeight="1">
      <x:c r="A179">
        <x:f t="shared" si="2"/>
      </x:c>
      <x:c r="B179"/>
      <x:c r="C179"/>
      <x:c r="D179"/>
    </x:row>
    <x:row r="180" ht="15.75" customHeight="1">
      <x:c r="A180">
        <x:f t="shared" si="2"/>
      </x:c>
      <x:c r="B180"/>
      <x:c r="C180"/>
      <x:c r="D180"/>
    </x:row>
    <x:row r="181" ht="15.75" customHeight="1">
      <x:c r="A181">
        <x:f t="shared" si="2"/>
      </x:c>
      <x:c r="B181"/>
      <x:c r="C181"/>
      <x:c r="D181"/>
    </x:row>
    <x:row r="182" ht="15.75" customHeight="1">
      <x:c r="A182">
        <x:f t="shared" si="2"/>
      </x:c>
      <x:c r="B182"/>
      <x:c r="C182"/>
      <x:c r="D182"/>
    </x:row>
    <x:row r="183" ht="15.75" customHeight="1">
      <x:c r="A183">
        <x:f t="shared" si="2"/>
      </x:c>
      <x:c r="B183"/>
      <x:c r="C183"/>
      <x:c r="D183"/>
    </x:row>
    <x:row r="184" ht="15.75" customHeight="1">
      <x:c r="A184">
        <x:f t="shared" si="2"/>
      </x:c>
      <x:c r="B184"/>
      <x:c r="C184"/>
      <x:c r="D184"/>
    </x:row>
    <x:row r="185" ht="15.75" customHeight="1">
      <x:c r="A185">
        <x:f t="shared" si="2"/>
      </x:c>
      <x:c r="B185"/>
      <x:c r="C185"/>
      <x:c r="D185"/>
    </x:row>
    <x:row r="186" ht="15.75" customHeight="1">
      <x:c r="A186">
        <x:f t="shared" si="2"/>
      </x:c>
      <x:c r="B186"/>
      <x:c r="C186"/>
      <x:c r="D186"/>
    </x:row>
    <x:row r="187" ht="15.75" customHeight="1">
      <x:c r="A187">
        <x:f t="shared" si="2"/>
      </x:c>
      <x:c r="B187"/>
      <x:c r="C187"/>
      <x:c r="D187"/>
    </x:row>
    <x:row r="188" ht="15.75" customHeight="1">
      <x:c r="A188">
        <x:f t="shared" si="2"/>
      </x:c>
      <x:c r="B188"/>
      <x:c r="C188"/>
      <x:c r="D188"/>
    </x:row>
    <x:row r="189" ht="15.75" customHeight="1">
      <x:c r="A189">
        <x:f t="shared" si="2"/>
      </x:c>
      <x:c r="B189"/>
      <x:c r="C189"/>
      <x:c r="D189"/>
    </x:row>
    <x:row r="190" ht="15.75" customHeight="1">
      <x:c r="A190">
        <x:f t="shared" si="2"/>
      </x:c>
      <x:c r="B190"/>
      <x:c r="C190"/>
      <x:c r="D190"/>
    </x:row>
    <x:row r="191" ht="15.75" customHeight="1">
      <x:c r="A191">
        <x:f t="shared" si="2"/>
      </x:c>
      <x:c r="B191"/>
      <x:c r="C191"/>
      <x:c r="D191"/>
    </x:row>
    <x:row r="192" ht="15.75" customHeight="1">
      <x:c r="A192">
        <x:f t="shared" si="2"/>
      </x:c>
      <x:c r="B192"/>
      <x:c r="C192"/>
      <x:c r="D192"/>
    </x:row>
    <x:row r="193" ht="15.75" customHeight="1">
      <x:c r="A193">
        <x:f t="shared" si="2"/>
      </x:c>
      <x:c r="B193"/>
      <x:c r="C193"/>
      <x:c r="D193"/>
    </x:row>
    <x:row r="194" ht="15.75" customHeight="1">
      <x:c r="A194">
        <x:f t="shared" si="2"/>
      </x:c>
      <x:c r="B194"/>
      <x:c r="C194"/>
      <x:c r="D194"/>
    </x:row>
    <x:row r="195" ht="15.75" customHeight="1">
      <x:c r="A195">
        <x:f t="shared" si="2"/>
      </x:c>
      <x:c r="B195"/>
      <x:c r="C195"/>
      <x:c r="D195"/>
    </x:row>
    <x:row r="196" ht="15.75" customHeight="1">
      <x:c r="A196">
        <x:f t="shared" si="2"/>
      </x:c>
      <x:c r="B196"/>
      <x:c r="C196"/>
      <x:c r="D196"/>
    </x:row>
    <x:row r="197" ht="15.75" customHeight="1">
      <x:c r="A197">
        <x:f t="shared" si="2"/>
      </x:c>
      <x:c r="B197"/>
      <x:c r="C197"/>
      <x:c r="D197"/>
    </x:row>
    <x:row r="198" ht="15.75" customHeight="1">
      <x:c r="A198">
        <x:f t="shared" si="2"/>
      </x:c>
      <x:c r="B198"/>
      <x:c r="C198"/>
      <x:c r="D198"/>
    </x:row>
    <x:row r="199" ht="15.75" customHeight="1">
      <x:c r="A199">
        <x:f t="shared" si="2"/>
      </x:c>
      <x:c r="B199"/>
      <x:c r="C199"/>
      <x:c r="D199"/>
    </x:row>
    <x:row r="200" ht="15.75" customHeight="1">
      <x:c r="A200">
        <x:f t="shared" si="2"/>
      </x:c>
      <x:c r="B200"/>
      <x:c r="C200"/>
      <x:c r="D200"/>
    </x:row>
    <x:row r="201" ht="15.75" customHeight="1">
      <x:c r="A201">
        <x:f t="shared" si="2"/>
      </x:c>
      <x:c r="B201"/>
      <x:c r="C201"/>
      <x:c r="D201"/>
    </x:row>
    <x:row r="202" ht="15.75" customHeight="1">
      <x:c r="A202">
        <x:f t="shared" si="2"/>
      </x:c>
      <x:c r="B202"/>
      <x:c r="C202"/>
      <x:c r="D202"/>
    </x:row>
    <x:row r="203" ht="15.75" customHeight="1">
      <x:c r="A203">
        <x:f t="shared" si="2"/>
      </x:c>
      <x:c r="B203"/>
      <x:c r="C203"/>
      <x:c r="D203"/>
    </x:row>
    <x:row r="204" ht="15.75" customHeight="1">
      <x:c r="A204">
        <x:f t="shared" si="2"/>
      </x:c>
      <x:c r="B204"/>
      <x:c r="C204"/>
      <x:c r="D204"/>
    </x:row>
    <x:row r="205" ht="15.75" customHeight="1">
      <x:c r="A205">
        <x:f t="shared" si="2"/>
      </x:c>
      <x:c r="B205"/>
      <x:c r="C205"/>
      <x:c r="D205"/>
    </x:row>
    <x:row r="206" ht="15.75" customHeight="1">
      <x:c r="A206">
        <x:f t="shared" si="2"/>
      </x:c>
      <x:c r="B206"/>
      <x:c r="C206"/>
      <x:c r="D206"/>
    </x:row>
    <x:row r="207" ht="15.75" customHeight="1">
      <x:c r="A207">
        <x:f t="shared" si="2"/>
      </x:c>
      <x:c r="B207"/>
      <x:c r="C207"/>
      <x:c r="D207"/>
    </x:row>
    <x:row r="208" ht="15.75" customHeight="1">
      <x:c r="A208">
        <x:f t="shared" si="2"/>
      </x:c>
      <x:c r="B208"/>
      <x:c r="C208"/>
      <x:c r="D208"/>
    </x:row>
    <x:row r="209" ht="15.75" customHeight="1">
      <x:c r="A209">
        <x:f t="shared" si="2"/>
      </x:c>
      <x:c r="B209"/>
      <x:c r="C209"/>
      <x:c r="D209"/>
    </x:row>
    <x:row r="210" ht="15.75" customHeight="1">
      <x:c r="A210">
        <x:f t="shared" si="2"/>
      </x:c>
      <x:c r="B210"/>
      <x:c r="C210"/>
      <x:c r="D210"/>
    </x:row>
    <x:row r="211" ht="15.75" customHeight="1">
      <x:c r="A211">
        <x:f t="shared" si="2"/>
      </x:c>
      <x:c r="B211"/>
      <x:c r="C211"/>
      <x:c r="D211"/>
    </x:row>
    <x:row r="212" ht="15.75" customHeight="1">
      <x:c r="A212">
        <x:f t="shared" si="2"/>
      </x:c>
      <x:c r="B212"/>
      <x:c r="C212"/>
      <x:c r="D212"/>
    </x:row>
    <x:row r="213" ht="15.75" customHeight="1">
      <x:c r="A213">
        <x:f t="shared" si="2"/>
      </x:c>
      <x:c r="B213"/>
      <x:c r="C213"/>
      <x:c r="D213"/>
    </x:row>
    <x:row r="214" ht="15.75" customHeight="1">
      <x:c r="A214">
        <x:f t="shared" si="2"/>
      </x:c>
      <x:c r="B214"/>
      <x:c r="C214"/>
      <x:c r="D214"/>
    </x:row>
    <x:row r="215" ht="15.75" customHeight="1">
      <x:c r="A215"/>
      <x:c r="B215">
        <x:f t="shared" ref="B215:D215" si="3">SUM(B31:B214)</x:f>
      </x:c>
      <x:c r="C215">
        <x:f t="shared" si="3"/>
      </x:c>
      <x:c r="D215">
        <x:f t="shared" si="3"/>
      </x:c>
    </x:row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>
      <x:c r="A237"/>
    </x:row>
    <x:row r="238" ht="15.75" customHeight="1"/>
    <x:row r="239" ht="15.75" customHeight="1">
      <x:c r="A239"/>
    </x:row>
    <x:row r="240" ht="15.75" customHeight="1">
      <x:c r="A240"/>
      <x:c r="B240"/>
      <x:c r="C240"/>
      <x:c r="D240"/>
    </x:row>
    <x:row r="241" ht="15.75" customHeight="1">
      <x:c r="A241"/>
      <x:c r="B241"/>
      <x:c r="C241"/>
      <x:c r="D241"/>
    </x:row>
    <x:row r="242" ht="15.75" customHeight="1">
      <x:c r="A242"/>
      <x:c r="B242"/>
      <x:c r="C242"/>
      <x:c r="D242"/>
    </x:row>
    <x:row r="243" ht="15.75" customHeight="1">
      <x:c r="A243"/>
      <x:c r="B243"/>
      <x:c r="C243"/>
      <x:c r="D243"/>
    </x:row>
    <x:row r="244" ht="15.75" customHeight="1">
      <x:c r="A244"/>
      <x:c r="B244"/>
      <x:c r="C244"/>
      <x:c r="D244"/>
    </x:row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D1"/>
    <x:mergeCell ref="A4:D4"/>
    <x:mergeCell ref="A18:D18"/>
    <x:mergeCell ref="A27:D27"/>
    <x:mergeCell ref="A29:D29"/>
    <x:mergeCell ref="A237:D237"/>
    <x:mergeCell ref="A239:D239"/>
    <x:mergeCell ref="A1:N1"/>
  </x:mergeCells>
  <x:pageMargins left="0.7" right="0.7" top="0.75" bottom="0.75" header="0.3" footer="0.3"/>
  <x:drawing xmlns:r="http://schemas.openxmlformats.org/officeDocument/2006/relationships" r:id="Rdbabd3878ea2491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20" hidden="0" customWidth="1"/>
    <x:col min="2" max="7" width="13" customWidth="1"/>
    <x:col min="8" max="26" width="14.380000114440918" customWidth="1"/>
    <x:col min="2" max="2" width="13" hidden="0" customWidth="1"/>
    <x:col min="3" max="3" width="13" hidden="0" customWidth="1"/>
    <x:col min="4" max="4" width="20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5" hidden="0" customWidth="1"/>
    <x:col min="12" max="12" width="15" hidden="0" customWidth="1"/>
  </x:cols>
  <x:sheetData>
    <x:row r="1" ht="32" customHeight="1">
      <x:c r="A1" s="123" t="str">
        <x:v>GESTÃO SAC &amp; PÓS-VENDA | VISÃO EXECUTIVA</x:v>
      </x:c>
      <x:c r="B1"/>
      <x:c r="C1"/>
      <x:c r="D1"/>
      <x:c r="E1"/>
      <x:c r="F1"/>
      <x:c r="G1"/>
      <x:c r="I1"/>
      <x:c r="J1"/>
      <x:c r="K1"/>
    </x:row>
    <x:row r="2" ht="24" customHeight="1">
      <x:c r="A2" t="str">
        <x:v>Período de análise</x:v>
      </x:c>
      <x:c r="B2"/>
      <x:c r="E2" s="124" t="n">
        <x:v>46266</x:v>
      </x:c>
      <x:c r="H2" s="97" t="str">
        <x:v>Atualizado / preenchido manualmente</x:v>
      </x:c>
      <x:c r="I2"/>
      <x:c r="J2"/>
      <x:c r="K2"/>
      <x:c r="L2"/>
    </x:row>
    <x:row r="3" ht="24" customHeight="1">
      <x:c r="A3"/>
      <x:c r="B3"/>
      <x:c r="C3"/>
      <x:c r="D3"/>
      <x:c r="E3"/>
      <x:c r="F3"/>
      <x:c r="G3"/>
      <x:c r="I3"/>
      <x:c r="J3"/>
      <x:c r="K3"/>
      <x:c r="L3"/>
    </x:row>
    <x:row r="4" ht="24" customHeight="1">
      <x:c r="A4" s="129" t="str">
        <x:v>CHAMADOS NO MÊS</x:v>
      </x:c>
      <x:c r="B4"/>
      <x:c r="C4"/>
      <x:c r="D4" s="129" t="str">
        <x:v>RECLAMAÇÕES / NC</x:v>
      </x:c>
      <x:c r="E4"/>
      <x:c r="F4"/>
      <x:c r="G4" s="129" t="str">
        <x:v>SATISFAÇÃO MÉDIA</x:v>
      </x:c>
      <x:c r="I4"/>
      <x:c r="J4" s="129" t="str">
        <x:v>CUSTO DE NC</x:v>
      </x:c>
      <x:c r="K4"/>
      <x:c r="L4"/>
    </x:row>
    <x:row r="5" ht="24" customHeight="1">
      <x:c r="A5" s="134" t="n">
        <x:f>COUNTIFS(SAC!$C$2:$C$1000,"&gt;="&amp;$E$2,SAC!$C$2:$C$1000,"&lt;"&amp;DATE(YEAR($E$2),MONTH($E$2)+1,1))</x:f>
        <x:v>1</x:v>
      </x:c>
      <x:c r="B5"/>
      <x:c r="C5"/>
      <x:c r="D5" s="134" t="n">
        <x:f>COUNTIFS('BASE NC'!$A$4:$A$1000,"&gt;="&amp;$E$2,'BASE NC'!$A$4:$A$1000,"&lt;"&amp;DATE(YEAR($E$2),MONTH($E$2)+1,1))</x:f>
        <x:v>1</x:v>
      </x:c>
      <x:c r="E5"/>
      <x:c r="F5"/>
      <x:c r="G5" s="135" t="n">
        <x:f>IFERROR(SUMIFS(SAC!$G$2:$G$1000,SAC!$C$2:$C$1000,"&gt;="&amp;$E$2,SAC!$C$2:$C$1000,"&lt;"&amp;DATE(YEAR($E$2),MONTH($E$2)+1,1))/COUNTIFS(SAC!$C$2:$C$1000,"&gt;="&amp;$E$2,SAC!$C$2:$C$1000,"&lt;"&amp;DATE(YEAR($E$2),MONTH($E$2)+1,1)),"")</x:f>
        <x:v>0</x:v>
      </x:c>
      <x:c r="I5"/>
      <x:c r="J5" s="136" t="n">
        <x:f>SUMIFS('BASE NC'!$J$4:$J$1000,'BASE NC'!$A$4:$A$1000,"&gt;="&amp;$E$2,'BASE NC'!$A$4:$A$1000,"&lt;"&amp;DATE(YEAR($E$2),MONTH($E$2)+1,1))</x:f>
        <x:v>0</x:v>
      </x:c>
      <x:c r="K5"/>
      <x:c r="L5"/>
    </x:row>
    <x:row r="6" ht="24" customHeight="1">
      <x:c r="A6"/>
      <x:c r="B6"/>
      <x:c r="C6"/>
      <x:c r="D6"/>
      <x:c r="E6"/>
      <x:c r="F6"/>
      <x:c r="G6"/>
      <x:c r="I6"/>
      <x:c r="J6"/>
      <x:c r="K6"/>
      <x:c r="L6"/>
    </x:row>
    <x:row r="7" ht="24" customHeight="1">
      <x:c r="A7"/>
      <x:c r="B7"/>
      <x:c r="C7"/>
      <x:c r="D7"/>
      <x:c r="E7"/>
      <x:c r="F7"/>
      <x:c r="G7"/>
      <x:c r="I7"/>
      <x:c r="J7"/>
      <x:c r="K7"/>
      <x:c r="L7"/>
    </x:row>
    <x:row r="8" ht="24" customHeight="1">
      <x:c r="A8" s="137" t="str">
        <x:v>STATUS DO MÊS</x:v>
      </x:c>
      <x:c r="B8" s="137"/>
      <x:c r="C8" s="137"/>
      <x:c r="D8" s="137"/>
      <x:c r="E8" s="137"/>
      <x:c r="F8" s="137"/>
      <x:c r="G8"/>
      <x:c r="H8" s="137" t="str">
        <x:v>HISTÓRICO MENSAL</x:v>
      </x:c>
      <x:c r="I8" s="137"/>
      <x:c r="J8" s="137"/>
      <x:c r="K8" s="137"/>
      <x:c r="L8" s="137"/>
    </x:row>
    <x:row r="9" ht="24" customHeight="1">
      <x:c r="A9" s="142" t="str">
        <x:v>Indicador</x:v>
      </x:c>
      <x:c r="B9" s="142" t="str">
        <x:v>Realizado</x:v>
      </x:c>
      <x:c r="C9" s="142" t="str">
        <x:v>Meta</x:v>
      </x:c>
      <x:c r="D9" s="142" t="str">
        <x:v>Status</x:v>
      </x:c>
      <x:c r="E9" t="str"/>
      <x:c r="F9" t="str"/>
      <x:c r="G9"/>
      <x:c r="H9" s="148" t="str">
        <x:v>Mês</x:v>
      </x:c>
      <x:c r="I9" s="148" t="str">
        <x:v>Chamados</x:v>
      </x:c>
      <x:c r="J9" s="148" t="str">
        <x:v>NC</x:v>
      </x:c>
      <x:c r="K9" s="148" t="str">
        <x:v>Satisfação média</x:v>
      </x:c>
      <x:c r="L9" s="148" t="str">
        <x:v>Pós-vendas</x:v>
      </x:c>
    </x:row>
    <x:row r="10" ht="24" customHeight="1">
      <x:c r="A10" s="140" t="str">
        <x:v>Chamados recebidos</x:v>
      </x:c>
      <x:c r="B10" s="140" t="n">
        <x:f>COUNTIFS(SAC!$C$2:$C$1000,"&gt;="&amp;$E$2,SAC!$C$2:$C$1000,"&lt;"&amp;DATE(YEAR($E$2),MONTH($E$2)+1,1))</x:f>
        <x:v>1</x:v>
      </x:c>
      <x:c r="C10" s="140" t="n">
        <x:v>20</x:v>
      </x:c>
      <x:c r="D10" s="140" t="str">
        <x:f>IF(B10&lt;=C10,"Dentro","Acima")</x:f>
        <x:v>Dentro</x:v>
      </x:c>
      <x:c r="E10" t="str"/>
      <x:c r="F10" t="str"/>
      <x:c r="G10"/>
      <x:c r="H10" s="149" t="n">
        <x:v>46235</x:v>
      </x:c>
      <x:c r="I10" s="150" t="n">
        <x:f>COUNTIFS(SAC!$C$2:$C$1000,"&gt;="&amp;H10,SAC!$C$2:$C$1000,"&lt;"&amp;DATE(YEAR(H10),MONTH(H10)+1,1))</x:f>
        <x:v>0</x:v>
      </x:c>
      <x:c r="J10" s="150" t="n">
        <x:f>COUNTIFS('BASE NC'!$A$4:$A$1000,"&gt;="&amp;H10,'BASE NC'!$A$4:$A$1000,"&lt;"&amp;DATE(YEAR(H10),MONTH(H10)+1,1))</x:f>
        <x:v>0</x:v>
      </x:c>
      <x:c r="K10" s="151" t="str">
        <x:f>IFERROR(SUMIFS(SAC!$G$2:$G$1000,SAC!$C$2:$C$1000,"&gt;="&amp;H10,SAC!$C$2:$C$1000,"&lt;"&amp;DATE(YEAR(H10),MONTH(H10)+1,1))/COUNTIFS(SAC!$C$2:$C$1000,"&gt;="&amp;H10,SAC!$C$2:$C$1000,"&lt;"&amp;DATE(YEAR(H10),MONTH(H10)+1,1)),"")</x:f>
      </x:c>
      <x:c r="L10" s="151" t="n">
        <x:f>COUNTIFS('POS-VENDA'!$A$2:$A$1000,"&gt;="&amp;H10,'POS-VENDA'!$A$2:$A$1000,"&lt;"&amp;DATE(YEAR(H10),MONTH(H10)+1,1))</x:f>
        <x:v>0</x:v>
      </x:c>
    </x:row>
    <x:row r="11" ht="24" customHeight="1">
      <x:c r="A11" s="140" t="str">
        <x:v>Reclamações / NC</x:v>
      </x:c>
      <x:c r="B11" s="140" t="n">
        <x:f>COUNTIFS('BASE NC'!$A$4:$A$1000,"&gt;="&amp;$E$2,'BASE NC'!$A$4:$A$1000,"&lt;"&amp;DATE(YEAR($E$2),MONTH($E$2)+1,1))</x:f>
        <x:v>1</x:v>
      </x:c>
      <x:c r="C11" s="140" t="n">
        <x:v>5</x:v>
      </x:c>
      <x:c r="D11" s="140" t="str">
        <x:f>IF(B11&lt;=C11,"Dentro","Acima")</x:f>
        <x:v>Dentro</x:v>
      </x:c>
      <x:c r="E11" t="str"/>
      <x:c r="F11" t="str"/>
      <x:c r="G11"/>
      <x:c r="H11" s="149" t="n">
        <x:v>46266</x:v>
      </x:c>
      <x:c r="I11" s="150" t="n">
        <x:f>COUNTIFS(SAC!$C$2:$C$1000,"&gt;="&amp;H11,SAC!$C$2:$C$1000,"&lt;"&amp;DATE(YEAR(H11),MONTH(H11)+1,1))</x:f>
        <x:v>1</x:v>
      </x:c>
      <x:c r="J11" s="150" t="n">
        <x:f>COUNTIFS('BASE NC'!$A$4:$A$1000,"&gt;="&amp;H11,'BASE NC'!$A$4:$A$1000,"&lt;"&amp;DATE(YEAR(H11),MONTH(H11)+1,1))</x:f>
        <x:v>1</x:v>
      </x:c>
      <x:c r="K11" s="151" t="n">
        <x:f>IFERROR(SUMIFS(SAC!$G$2:$G$1000,SAC!$C$2:$C$1000,"&gt;="&amp;H11,SAC!$C$2:$C$1000,"&lt;"&amp;DATE(YEAR(H11),MONTH(H11)+1,1))/COUNTIFS(SAC!$C$2:$C$1000,"&gt;="&amp;H11,SAC!$C$2:$C$1000,"&lt;"&amp;DATE(YEAR(H11),MONTH(H11)+1,1)),"")</x:f>
        <x:v>0</x:v>
      </x:c>
      <x:c r="L11" s="151" t="n">
        <x:f>COUNTIFS('POS-VENDA'!$A$2:$A$1000,"&gt;="&amp;H11,'POS-VENDA'!$A$2:$A$1000,"&lt;"&amp;DATE(YEAR(H11),MONTH(H11)+1,1))</x:f>
        <x:v>1</x:v>
      </x:c>
    </x:row>
    <x:row r="12" ht="24" customHeight="1">
      <x:c r="A12" s="140" t="str">
        <x:v>Satisfação média</x:v>
      </x:c>
      <x:c r="B12" s="143" t="n">
        <x:f>IFERROR(SUMIFS(SAC!$G$2:$G$1000,SAC!$C$2:$C$1000,"&gt;="&amp;$E$2,SAC!$C$2:$C$1000,"&lt;"&amp;DATE(YEAR($E$2),MONTH($E$2)+1,1))/COUNTIFS(SAC!$C$2:$C$1000,"&gt;="&amp;$E$2,SAC!$C$2:$C$1000,"&lt;"&amp;DATE(YEAR($E$2),MONTH($E$2)+1,1)),"")</x:f>
        <x:v>0</x:v>
      </x:c>
      <x:c r="C12" s="140" t="n">
        <x:v>4.5</x:v>
      </x:c>
      <x:c r="D12" s="140" t="str">
        <x:f>IF(B12&gt;=C12,"Dentro","Abaixo")</x:f>
        <x:v>Abaixo</x:v>
      </x:c>
      <x:c r="E12" t="str"/>
      <x:c r="F12" t="str"/>
      <x:c r="G12"/>
      <x:c r="H12" s="149" t="n">
        <x:v>46296</x:v>
      </x:c>
      <x:c r="I12" s="150" t="n">
        <x:f>COUNTIFS(SAC!$C$2:$C$1000,"&gt;="&amp;H12,SAC!$C$2:$C$1000,"&lt;"&amp;DATE(YEAR(H12),MONTH(H12)+1,1))</x:f>
        <x:v>0</x:v>
      </x:c>
      <x:c r="J12" s="150" t="n">
        <x:f>COUNTIFS('BASE NC'!$A$4:$A$1000,"&gt;="&amp;H12,'BASE NC'!$A$4:$A$1000,"&lt;"&amp;DATE(YEAR(H12),MONTH(H12)+1,1))</x:f>
        <x:v>0</x:v>
      </x:c>
      <x:c r="K12" s="151" t="str">
        <x:f>IFERROR(SUMIFS(SAC!$G$2:$G$1000,SAC!$C$2:$C$1000,"&gt;="&amp;H12,SAC!$C$2:$C$1000,"&lt;"&amp;DATE(YEAR(H12),MONTH(H12)+1,1))/COUNTIFS(SAC!$C$2:$C$1000,"&gt;="&amp;H12,SAC!$C$2:$C$1000,"&lt;"&amp;DATE(YEAR(H12),MONTH(H12)+1,1)),"")</x:f>
      </x:c>
      <x:c r="L12" s="151" t="n">
        <x:f>COUNTIFS('POS-VENDA'!$A$2:$A$1000,"&gt;="&amp;H12,'POS-VENDA'!$A$2:$A$1000,"&lt;"&amp;DATE(YEAR(H12),MONTH(H12)+1,1))</x:f>
        <x:v>0</x:v>
      </x:c>
    </x:row>
    <x:row r="13" ht="24" customHeight="1">
      <x:c r="A13" s="140" t="str">
        <x:v>Pós-vendas realizados</x:v>
      </x:c>
      <x:c r="B13" s="140" t="n">
        <x:f>COUNTIFS('POS-VENDA'!$A$2:$A$1000,"&gt;="&amp;$E$2,'POS-VENDA'!$A$2:$A$1000,"&lt;"&amp;DATE(YEAR($E$2),MONTH($E$2)+1,1))</x:f>
        <x:v>1</x:v>
      </x:c>
      <x:c r="C13" s="140" t="n">
        <x:v>15</x:v>
      </x:c>
      <x:c r="D13" s="140" t="str">
        <x:f>IF(B13&gt;=C13,"Dentro","Abaixo")</x:f>
        <x:v>Abaixo</x:v>
      </x:c>
      <x:c r="E13" t="str"/>
      <x:c r="F13" t="str"/>
      <x:c r="G13"/>
      <x:c r="H13" s="149" t="n">
        <x:v>46327</x:v>
      </x:c>
      <x:c r="I13" s="150" t="n">
        <x:f>COUNTIFS(SAC!$C$2:$C$1000,"&gt;="&amp;H13,SAC!$C$2:$C$1000,"&lt;"&amp;DATE(YEAR(H13),MONTH(H13)+1,1))</x:f>
        <x:v>0</x:v>
      </x:c>
      <x:c r="J13" s="150" t="n">
        <x:f>COUNTIFS('BASE NC'!$A$4:$A$1000,"&gt;="&amp;H13,'BASE NC'!$A$4:$A$1000,"&lt;"&amp;DATE(YEAR(H13),MONTH(H13)+1,1))</x:f>
        <x:v>0</x:v>
      </x:c>
      <x:c r="K13" s="151" t="str">
        <x:f>IFERROR(SUMIFS(SAC!$G$2:$G$1000,SAC!$C$2:$C$1000,"&gt;="&amp;H13,SAC!$C$2:$C$1000,"&lt;"&amp;DATE(YEAR(H13),MONTH(H13)+1,1))/COUNTIFS(SAC!$C$2:$C$1000,"&gt;="&amp;H13,SAC!$C$2:$C$1000,"&lt;"&amp;DATE(YEAR(H13),MONTH(H13)+1,1)),"")</x:f>
      </x:c>
      <x:c r="L13" s="151" t="n">
        <x:f>COUNTIFS('POS-VENDA'!$A$2:$A$1000,"&gt;="&amp;H13,'POS-VENDA'!$A$2:$A$1000,"&lt;"&amp;DATE(YEAR(H13),MONTH(H13)+1,1))</x:f>
        <x:v>0</x:v>
      </x:c>
    </x:row>
    <x:row r="14" ht="24" customHeight="1">
      <x:c r="A14"/>
      <x:c r="B14"/>
      <x:c r="C14"/>
      <x:c r="D14"/>
      <x:c r="E14"/>
      <x:c r="F14"/>
      <x:c r="G14"/>
      <x:c r="H14" s="149" t="n">
        <x:v>46357</x:v>
      </x:c>
      <x:c r="I14" s="150" t="n">
        <x:f>COUNTIFS(SAC!$C$2:$C$1000,"&gt;="&amp;H14,SAC!$C$2:$C$1000,"&lt;"&amp;DATE(YEAR(H14),MONTH(H14)+1,1))</x:f>
        <x:v>0</x:v>
      </x:c>
      <x:c r="J14" s="150" t="n">
        <x:f>COUNTIFS('BASE NC'!$A$4:$A$1000,"&gt;="&amp;H14,'BASE NC'!$A$4:$A$1000,"&lt;"&amp;DATE(YEAR(H14),MONTH(H14)+1,1))</x:f>
        <x:v>0</x:v>
      </x:c>
      <x:c r="K14" s="151" t="str">
        <x:f>IFERROR(SUMIFS(SAC!$G$2:$G$1000,SAC!$C$2:$C$1000,"&gt;="&amp;H14,SAC!$C$2:$C$1000,"&lt;"&amp;DATE(YEAR(H14),MONTH(H14)+1,1))/COUNTIFS(SAC!$C$2:$C$1000,"&gt;="&amp;H14,SAC!$C$2:$C$1000,"&lt;"&amp;DATE(YEAR(H14),MONTH(H14)+1,1)),"")</x:f>
      </x:c>
      <x:c r="L14" s="151" t="n">
        <x:f>COUNTIFS('POS-VENDA'!$A$2:$A$1000,"&gt;="&amp;H14,'POS-VENDA'!$A$2:$A$1000,"&lt;"&amp;DATE(YEAR(H14),MONTH(H14)+1,1))</x:f>
        <x:v>0</x:v>
      </x:c>
    </x:row>
    <x:row r="15" ht="24" customHeight="1">
      <x:c r="A15"/>
      <x:c r="B15"/>
      <x:c r="C15"/>
      <x:c r="D15"/>
      <x:c r="E15"/>
      <x:c r="F15"/>
      <x:c r="G15"/>
      <x:c r="H15" s="149" t="n">
        <x:v>46388</x:v>
      </x:c>
      <x:c r="I15" s="150" t="n">
        <x:f>COUNTIFS(SAC!$C$2:$C$1000,"&gt;="&amp;H15,SAC!$C$2:$C$1000,"&lt;"&amp;DATE(YEAR(H15),MONTH(H15)+1,1))</x:f>
        <x:v>0</x:v>
      </x:c>
      <x:c r="J15" s="150" t="n">
        <x:f>COUNTIFS('BASE NC'!$A$4:$A$1000,"&gt;="&amp;H15,'BASE NC'!$A$4:$A$1000,"&lt;"&amp;DATE(YEAR(H15),MONTH(H15)+1,1))</x:f>
        <x:v>0</x:v>
      </x:c>
      <x:c r="K15" s="151" t="str">
        <x:f>IFERROR(SUMIFS(SAC!$G$2:$G$1000,SAC!$C$2:$C$1000,"&gt;="&amp;H15,SAC!$C$2:$C$1000,"&lt;"&amp;DATE(YEAR(H15),MONTH(H15)+1,1))/COUNTIFS(SAC!$C$2:$C$1000,"&gt;="&amp;H15,SAC!$C$2:$C$1000,"&lt;"&amp;DATE(YEAR(H15),MONTH(H15)+1,1)),"")</x:f>
      </x:c>
      <x:c r="L15" s="151" t="n">
        <x:f>COUNTIFS('POS-VENDA'!$A$2:$A$1000,"&gt;="&amp;H15,'POS-VENDA'!$A$2:$A$1000,"&lt;"&amp;DATE(YEAR(H15),MONTH(H15)+1,1))</x:f>
        <x:v>0</x:v>
      </x:c>
    </x:row>
    <x:row r="16" ht="24" customHeight="1">
      <x:c r="A16" s="97" t="str">
        <x:v>Leitura executiva: use o campo “Período de análise” para mudar o mês dos KPIs e do bloco de status.</x:v>
      </x:c>
      <x:c r="B16"/>
      <x:c r="C16"/>
      <x:c r="D16"/>
      <x:c r="E16"/>
      <x:c r="F16"/>
      <x:c r="G16"/>
    </x:row>
    <x:row r="18">
      <x:c r="A18"/>
    </x:row>
    <x:row r="20">
      <x:c r="A20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G1"/>
    <x:mergeCell ref="A18:G18"/>
    <x:mergeCell ref="A20:G20"/>
    <x:mergeCell ref="I1:K1"/>
    <x:mergeCell ref="A11:G11"/>
    <x:mergeCell ref="A1:L1"/>
    <x:mergeCell ref="A2:D2"/>
    <x:mergeCell ref="E2:F2"/>
    <x:mergeCell ref="H2:L2"/>
    <x:mergeCell ref="A4:C6"/>
    <x:mergeCell ref="A5:C6"/>
    <x:mergeCell ref="D4:F6"/>
    <x:mergeCell ref="D5:F6"/>
    <x:mergeCell ref="G4:I6"/>
    <x:mergeCell ref="G5:I6"/>
    <x:mergeCell ref="J4:L6"/>
    <x:mergeCell ref="J5:L6"/>
    <x:mergeCell ref="A8:F8"/>
    <x:mergeCell ref="H8:L8"/>
    <x:mergeCell ref="A16:L16"/>
  </x:mergeCells>
  <x:conditionalFormatting sqref="B4:G4">
    <x:cfRule type="colorScale" priority="1">
      <x:colorScale>
        <x:cfvo type="min" val="0"/>
        <x:cfvo type="percentile" val="50"/>
        <x:cfvo type="max" val="0"/>
        <x:color rgb="FFC6EFCE"/>
        <x:color rgb="FFFFEB9C"/>
        <x:color rgb="FFFFC7CE"/>
      </x:colorScale>
    </x:cfRule>
  </x:conditionalFormatting>
  <x:conditionalFormatting sqref="B5:G5">
    <x:cfRule type="colorScale" priority="2">
      <x:colorScale>
        <x:cfvo type="min" val="0"/>
        <x:cfvo type="percentile" val="50"/>
        <x:cfvo type="max" val="0"/>
        <x:color rgb="FFC6EFCE"/>
        <x:color rgb="FFFFEB9C"/>
        <x:color rgb="FFFFC7CE"/>
      </x:colorScale>
    </x:cfRule>
  </x:conditionalFormatting>
  <x:conditionalFormatting sqref="B6:G6">
    <x:cfRule type="colorScale" priority="3">
      <x:colorScale>
        <x:cfvo type="min" val="0"/>
        <x:cfvo type="percentile" val="50"/>
        <x:cfvo type="max" val="0"/>
        <x:color rgb="FFC6EFCE"/>
        <x:color rgb="FFFFEB9C"/>
        <x:color rgb="FFFFC7CE"/>
      </x:colorScale>
    </x:cfRule>
  </x:conditionalFormatting>
  <x:conditionalFormatting sqref="B7:G7">
    <x:cfRule type="colorScale" priority="4">
      <x:colorScale>
        <x:cfvo type="min" val="0"/>
        <x:cfvo type="percentile" val="50"/>
        <x:cfvo type="max" val="0"/>
        <x:color rgb="FFC6EFCE"/>
        <x:color rgb="FFFFEB9C"/>
        <x:color rgb="FFFFC7CE"/>
      </x:colorScale>
    </x:cfRule>
  </x:conditionalFormatting>
  <x:conditionalFormatting sqref="B8:G8">
    <x:cfRule type="colorScale" priority="5">
      <x:colorScale>
        <x:cfvo type="min" val="0"/>
        <x:cfvo type="percentile" val="50"/>
        <x:cfvo type="max" val="0"/>
        <x:color rgb="FFC6EFCE"/>
        <x:color rgb="FFFFEB9C"/>
        <x:color rgb="FFFFC7CE"/>
      </x:colorScale>
    </x:cfRule>
  </x:conditionalFormatting>
  <x:conditionalFormatting sqref="B9:G9">
    <x:cfRule type="colorScale" priority="6">
      <x:colorScale>
        <x:cfvo type="min" val="0"/>
        <x:cfvo type="percentile" val="50"/>
        <x:cfvo type="max" val="0"/>
        <x:color rgb="FFC6EFCE"/>
        <x:color rgb="FFFFEB9C"/>
        <x:color rgb="FFFFC7CE"/>
      </x:colorScale>
    </x:cfRule>
  </x:conditionalFormatting>
  <x:conditionalFormatting sqref="B10:G10">
    <x:cfRule type="colorScale" priority="7">
      <x:colorScale>
        <x:cfvo type="min" val="0"/>
        <x:cfvo type="percentile" val="50"/>
        <x:cfvo type="max" val="0"/>
        <x:color rgb="FFC6EFCE"/>
        <x:color rgb="FFFFEB9C"/>
        <x:color rgb="FFFFC7CE"/>
      </x:colorScale>
    </x:cfRule>
  </x:conditionalFormatting>
  <x:conditionalFormatting sqref="B11:G11">
    <x:cfRule type="colorScale" priority="8">
      <x:colorScale>
        <x:cfvo type="min" val="0"/>
        <x:cfvo type="percentile" val="50"/>
        <x:cfvo type="max" val="0"/>
        <x:color rgb="FFC6EFCE"/>
        <x:color rgb="FFFFEB9C"/>
        <x:color rgb="FFFFC7CE"/>
      </x:colorScale>
    </x:cfRule>
  </x:conditionalFormatting>
  <x:conditionalFormatting sqref="B12:G12">
    <x:cfRule type="colorScale" priority="9">
      <x:colorScale>
        <x:cfvo type="min" val="0"/>
        <x:cfvo type="percentile" val="50"/>
        <x:cfvo type="max" val="0"/>
        <x:color rgb="FFC6EFCE"/>
        <x:color rgb="FFFFEB9C"/>
        <x:color rgb="FFFFC7CE"/>
      </x:colorScale>
    </x:cfRule>
  </x:conditionalFormatting>
  <x:conditionalFormatting sqref="B13:G13">
    <x:cfRule type="colorScale" priority="10">
      <x:colorScale>
        <x:cfvo type="min" val="0"/>
        <x:cfvo type="percentile" val="50"/>
        <x:cfvo type="max" val="0"/>
        <x:color rgb="FFC6EFCE"/>
        <x:color rgb="FFFFEB9C"/>
        <x:color rgb="FFFFC7CE"/>
      </x:colorScale>
    </x:cfRule>
  </x:conditionalFormatting>
  <x:conditionalFormatting sqref="B14:G14">
    <x:cfRule type="colorScale" priority="11">
      <x:colorScale>
        <x:cfvo type="min" val="0"/>
        <x:cfvo type="percentile" val="50"/>
        <x:cfvo type="max" val="0"/>
        <x:color rgb="FFC6EFCE"/>
        <x:color rgb="FFFFEB9C"/>
        <x:color rgb="FFFFC7CE"/>
      </x:colorScale>
    </x:cfRule>
  </x:conditionalFormatting>
  <x:conditionalFormatting sqref="B15:G15">
    <x:cfRule type="colorScale" priority="12">
      <x:colorScale>
        <x:cfvo type="min" val="0"/>
        <x:cfvo type="percentile" val="50"/>
        <x:cfvo type="max" val="0"/>
        <x:color rgb="FFC6EFCE"/>
        <x:color rgb="FFFFEB9C"/>
        <x:color rgb="FFFFC7CE"/>
      </x:colorScale>
    </x:cfRule>
  </x:conditionalFormatting>
  <x:conditionalFormatting sqref="B16:G16">
    <x:cfRule type="colorScale" priority="13">
      <x:colorScale>
        <x:cfvo type="min" val="0"/>
        <x:cfvo type="percentile" val="50"/>
        <x:cfvo type="max" val="0"/>
        <x:color rgb="FFC6EFCE"/>
        <x:color rgb="FFFFEB9C"/>
        <x:color rgb="FFFFC7CE"/>
      </x:colorScale>
    </x:cfRule>
  </x:conditionalFormatting>
  <x:conditionalFormatting sqref="L3:L7">
    <x:cfRule type="expression" dxfId="3" priority="14">
      <x:formula>L3="Verde"</x:formula>
    </x:cfRule>
    <x:cfRule type="expression" dxfId="4" priority="15">
      <x:formula>L3="Amarelo"</x:formula>
    </x:cfRule>
    <x:cfRule type="expression" dxfId="5" priority="16">
      <x:formula>L3="Vermelho"</x:formula>
    </x:cfRule>
  </x:conditionalFormatting>
  <x:pageMargins left="0.7" right="0.7" top="0.75" bottom="0.75" header="0.3" footer="0.3"/>
  <x:drawing xmlns:r="http://schemas.openxmlformats.org/officeDocument/2006/relationships" r:id="R303dc641964c4aa9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2" width="12" customWidth="1"/>
    <x:col min="3" max="3" width="24" hidden="0" customWidth="1"/>
    <x:col min="4" max="4" width="52" hidden="0" customWidth="1"/>
    <x:col min="5" max="5" width="18" hidden="0" customWidth="1"/>
    <x:col min="6" max="6" width="20" hidden="0" customWidth="1"/>
    <x:col min="7" max="8" width="18" customWidth="1"/>
    <x:col min="9" max="9" width="15" hidden="0" customWidth="1"/>
    <x:col min="10" max="10" width="24" hidden="0" customWidth="1"/>
    <x:col min="11" max="11" width="14" hidden="0" customWidth="1"/>
    <x:col min="12" max="12" width="15" hidden="0" customWidth="1"/>
    <x:col min="13" max="13" width="16" customWidth="1"/>
    <x:col min="14" max="14" width="8.75" customWidth="1"/>
    <x:col min="15" max="15" width="27.6299991607666" customWidth="1"/>
    <x:col min="16" max="16" width="8.75" customWidth="1"/>
    <x:col min="17" max="26" width="14.380000114440918" customWidth="1"/>
    <x:col min="1" max="1" width="18" hidden="0" customWidth="1"/>
    <x:col min="2" max="2" width="17" hidden="0" customWidth="1"/>
    <x:col min="7" max="7" width="20" hidden="0" customWidth="1"/>
    <x:col min="8" max="8" width="38" hidden="0" customWidth="1"/>
  </x:cols>
  <x:sheetData>
    <x:row r="1">
      <x:c r="A1" s="160" t="str">
        <x:v>BASE ÚNICA DE NÃO CONFORMIDADES</x:v>
      </x:c>
      <x:c r="B1" s="160"/>
      <x:c r="C1" s="160"/>
      <x:c r="D1" s="160"/>
      <x:c r="E1" s="160"/>
      <x:c r="F1" s="160"/>
      <x:c r="G1" s="160"/>
      <x:c r="H1" s="160"/>
      <x:c r="I1" s="160"/>
      <x:c r="J1" s="160"/>
      <x:c r="K1" s="160"/>
      <x:c r="L1" s="160"/>
      <x:c r="M1" s="160"/>
      <x:c r="N1" s="162" t="str">
        <x:v>INDICADORES</x:v>
      </x:c>
      <x:c r="O1" s="162"/>
    </x:row>
    <x:row r="2">
      <x:c r="N2" t="str">
        <x:v>Total de reclamações</x:v>
      </x:c>
      <x:c r="O2" t="n">
        <x:f>COUNT(A4:A1000)</x:f>
        <x:v>1</x:v>
      </x:c>
      <x:c r="P2"/>
    </x:row>
    <x:row r="3" ht="28" customHeight="1">
      <x:c r="A3" s="142" t="str">
        <x:v>Data</x:v>
      </x:c>
      <x:c r="B3" s="142" t="str">
        <x:v>Pedido</x:v>
      </x:c>
      <x:c r="C3" s="142" t="str">
        <x:v>Produto</x:v>
      </x:c>
      <x:c r="D3" s="142" t="str">
        <x:v>Reclamação</x:v>
      </x:c>
      <x:c r="E3" s="142" t="str">
        <x:v>Categoria</x:v>
      </x:c>
      <x:c r="F3" s="142" t="str">
        <x:v>Causa provável</x:v>
      </x:c>
      <x:c r="G3" s="142" t="str">
        <x:v>Setor responsável</x:v>
      </x:c>
      <x:c r="H3" s="142" t="str">
        <x:v>Solução</x:v>
      </x:c>
      <x:c r="I3" s="142" t="str">
        <x:v>Custo (R$)</x:v>
      </x:c>
      <x:c r="J3" s="142" t="str">
        <x:v>Transportadora</x:v>
      </x:c>
      <x:c r="K3" s="142" t="str">
        <x:v>Reincidência</x:v>
      </x:c>
      <x:c r="L3" s="142" t="str">
        <x:v>Status</x:v>
      </x:c>
      <x:c r="M3"/>
      <x:c r="N3" t="str">
        <x:v>Custo total (R$)</x:v>
      </x:c>
      <x:c r="O3" s="85" t="n">
        <x:f>SUM(I4:I1000)</x:f>
        <x:v>150</x:v>
      </x:c>
      <x:c r="P3"/>
    </x:row>
    <x:row r="4" ht="28" customHeight="1">
      <x:c r="A4" s="164" t="n">
        <x:v>46270</x:v>
      </x:c>
      <x:c r="B4" s="140" t="str">
        <x:v>PED-10234</x:v>
      </x:c>
      <x:c r="C4" s="140" t="str">
        <x:v>Lavatorio/Shampoo</x:v>
      </x:c>
      <x:c r="D4" s="140" t="str">
        <x:v>Cliente relatou vazamento na cuba após poucos dias de uso</x:v>
      </x:c>
      <x:c r="E4" s="140" t="str">
        <x:v>Hidraulica</x:v>
      </x:c>
      <x:c r="F4" s="140" t="str">
        <x:v>Produção interna</x:v>
      </x:c>
      <x:c r="G4" s="140" t="str">
        <x:v>Produção</x:v>
      </x:c>
      <x:c r="H4" s="140" t="str">
        <x:v>Peça substituída em garantia</x:v>
      </x:c>
      <x:c r="I4" s="140" t="n">
        <x:v>150</x:v>
      </x:c>
      <x:c r="J4" s="140" t="str">
        <x:v>Transportadora Rapida</x:v>
      </x:c>
      <x:c r="K4" s="140" t="str">
        <x:v>Não</x:v>
      </x:c>
      <x:c r="L4" s="140" t="str">
        <x:v>Resolvido</x:v>
      </x:c>
      <x:c r="M4"/>
      <x:c r="N4" t="str">
        <x:v>% reincidência</x:v>
      </x:c>
      <x:c r="O4" s="163" t="n">
        <x:f>IFERROR(COUNTIF(K4:K1000,"Sim")/COUNT(A4:A1000),0)</x:f>
        <x:v>0</x:v>
      </x:c>
      <x:c r="P4"/>
    </x:row>
    <x:row r="5">
      <x:c r="A5" s="62"/>
      <x:c r="B5"/>
      <x:c r="C5"/>
      <x:c r="D5"/>
      <x:c r="E5"/>
      <x:c r="F5"/>
      <x:c r="G5"/>
      <x:c r="H5"/>
      <x:c r="I5"/>
      <x:c r="J5"/>
      <x:c r="K5"/>
      <x:c r="L5"/>
      <x:c r="M5"/>
      <x:c r="N5" t="str">
        <x:v>Custo médio / reclamação</x:v>
      </x:c>
      <x:c r="O5" s="85" t="n">
        <x:f>IFERROR(AVERAGE(I4:I1000),0)</x:f>
        <x:v>150</x:v>
      </x:c>
      <x:c r="P5"/>
    </x:row>
    <x:row r="6">
      <x:c r="A6" s="62"/>
      <x:c r="B6"/>
      <x:c r="C6"/>
      <x:c r="D6"/>
      <x:c r="E6"/>
      <x:c r="F6"/>
      <x:c r="G6"/>
      <x:c r="H6"/>
      <x:c r="I6"/>
      <x:c r="J6"/>
      <x:c r="K6"/>
      <x:c r="L6"/>
      <x:c r="M6"/>
    </x:row>
    <x:row r="7">
      <x:c r="A7" s="62"/>
      <x:c r="B7"/>
      <x:c r="C7"/>
      <x:c r="D7"/>
      <x:c r="E7"/>
      <x:c r="F7"/>
      <x:c r="G7"/>
      <x:c r="H7"/>
      <x:c r="I7"/>
      <x:c r="J7"/>
      <x:c r="K7"/>
      <x:c r="L7"/>
      <x:c r="M7"/>
    </x:row>
    <x:row r="8">
      <x:c r="A8" s="62"/>
      <x:c r="B8"/>
      <x:c r="C8"/>
      <x:c r="D8"/>
      <x:c r="E8"/>
      <x:c r="F8"/>
      <x:c r="G8"/>
      <x:c r="H8"/>
      <x:c r="I8"/>
      <x:c r="J8"/>
      <x:c r="K8"/>
      <x:c r="L8"/>
      <x:c r="M8"/>
    </x:row>
    <x:row r="9">
      <x:c r="A9" s="62"/>
      <x:c r="B9"/>
      <x:c r="C9"/>
      <x:c r="D9"/>
      <x:c r="E9"/>
      <x:c r="F9"/>
      <x:c r="G9"/>
      <x:c r="H9"/>
      <x:c r="I9"/>
      <x:c r="J9"/>
      <x:c r="K9"/>
      <x:c r="L9"/>
      <x:c r="M9"/>
    </x:row>
    <x:row r="10">
      <x:c r="A10" s="62"/>
      <x:c r="B10"/>
      <x:c r="C10"/>
      <x:c r="D10"/>
      <x:c r="E10"/>
      <x:c r="F10"/>
      <x:c r="G10"/>
      <x:c r="H10"/>
      <x:c r="I10"/>
      <x:c r="J10"/>
      <x:c r="K10"/>
      <x:c r="L10"/>
      <x:c r="M10"/>
    </x:row>
    <x:row r="11">
      <x:c r="A11" s="62"/>
      <x:c r="B11"/>
      <x:c r="C11"/>
      <x:c r="D11"/>
      <x:c r="E11"/>
      <x:c r="F11"/>
      <x:c r="G11"/>
      <x:c r="H11"/>
      <x:c r="I11"/>
      <x:c r="J11"/>
      <x:c r="K11"/>
      <x:c r="L11"/>
      <x:c r="M11"/>
    </x:row>
    <x:row r="12">
      <x:c r="A12" s="62"/>
      <x:c r="B12"/>
      <x:c r="C12"/>
      <x:c r="D12"/>
      <x:c r="E12"/>
      <x:c r="F12"/>
      <x:c r="G12"/>
      <x:c r="H12"/>
      <x:c r="I12"/>
      <x:c r="J12"/>
      <x:c r="K12"/>
      <x:c r="L12"/>
      <x:c r="M12"/>
    </x:row>
    <x:row r="13">
      <x:c r="A13" s="62"/>
      <x:c r="B13"/>
      <x:c r="C13"/>
      <x:c r="D13"/>
      <x:c r="E13"/>
      <x:c r="F13"/>
      <x:c r="G13"/>
      <x:c r="H13"/>
      <x:c r="I13"/>
      <x:c r="J13"/>
      <x:c r="K13"/>
      <x:c r="L13"/>
      <x:c r="M13"/>
    </x:row>
    <x:row r="14">
      <x:c r="A14" s="62"/>
      <x:c r="B14"/>
      <x:c r="C14"/>
      <x:c r="D14"/>
      <x:c r="E14"/>
      <x:c r="F14"/>
      <x:c r="G14"/>
      <x:c r="H14"/>
      <x:c r="I14"/>
      <x:c r="J14"/>
      <x:c r="K14"/>
      <x:c r="L14"/>
      <x:c r="M14"/>
    </x:row>
    <x:row r="15">
      <x:c r="A15" s="62"/>
      <x:c r="B15"/>
      <x:c r="C15"/>
      <x:c r="D15"/>
      <x:c r="E15"/>
      <x:c r="F15"/>
      <x:c r="G15"/>
      <x:c r="H15"/>
      <x:c r="I15"/>
      <x:c r="J15"/>
      <x:c r="K15"/>
      <x:c r="L15"/>
      <x:c r="M15"/>
    </x:row>
    <x:row r="16">
      <x:c r="A16" s="62"/>
      <x:c r="B16"/>
      <x:c r="C16"/>
      <x:c r="D16"/>
      <x:c r="E16"/>
      <x:c r="F16"/>
      <x:c r="G16"/>
      <x:c r="H16"/>
      <x:c r="I16"/>
      <x:c r="J16"/>
      <x:c r="K16"/>
      <x:c r="L16"/>
      <x:c r="M16"/>
    </x:row>
    <x:row r="17">
      <x:c r="A17" s="62"/>
      <x:c r="B17"/>
      <x:c r="C17"/>
      <x:c r="D17"/>
      <x:c r="E17"/>
      <x:c r="F17"/>
      <x:c r="G17"/>
      <x:c r="H17"/>
      <x:c r="I17"/>
      <x:c r="J17"/>
      <x:c r="K17"/>
      <x:c r="L17"/>
      <x:c r="M17"/>
    </x:row>
    <x:row r="18">
      <x:c r="A18" s="62"/>
      <x:c r="B18"/>
      <x:c r="C18"/>
      <x:c r="D18"/>
      <x:c r="E18"/>
      <x:c r="F18"/>
      <x:c r="G18"/>
      <x:c r="H18"/>
      <x:c r="I18"/>
      <x:c r="J18"/>
      <x:c r="K18"/>
      <x:c r="L18"/>
      <x:c r="M18"/>
    </x:row>
    <x:row r="19">
      <x:c r="A19" s="62"/>
      <x:c r="B19"/>
      <x:c r="C19"/>
      <x:c r="D19"/>
      <x:c r="E19"/>
      <x:c r="F19"/>
      <x:c r="G19"/>
      <x:c r="H19"/>
      <x:c r="I19"/>
      <x:c r="J19"/>
      <x:c r="K19"/>
      <x:c r="L19"/>
      <x:c r="M19"/>
    </x:row>
    <x:row r="20">
      <x:c r="A20" s="62"/>
      <x:c r="B20"/>
      <x:c r="C20"/>
      <x:c r="D20"/>
      <x:c r="E20"/>
      <x:c r="F20"/>
      <x:c r="G20"/>
      <x:c r="H20"/>
      <x:c r="I20"/>
      <x:c r="J20"/>
      <x:c r="K20"/>
      <x:c r="L20"/>
      <x:c r="M20"/>
    </x:row>
    <x:row r="21" ht="15.75" customHeight="1">
      <x:c r="A21" s="62"/>
      <x:c r="B21"/>
      <x:c r="C21"/>
      <x:c r="D21"/>
      <x:c r="E21"/>
      <x:c r="F21"/>
      <x:c r="G21"/>
      <x:c r="H21"/>
      <x:c r="I21"/>
      <x:c r="J21"/>
      <x:c r="K21"/>
      <x:c r="L21"/>
      <x:c r="M21"/>
    </x:row>
    <x:row r="22" ht="15.75" customHeight="1">
      <x:c r="A22" s="62"/>
      <x:c r="B22"/>
      <x:c r="C22"/>
      <x:c r="D22"/>
      <x:c r="E22"/>
      <x:c r="F22"/>
      <x:c r="G22"/>
      <x:c r="H22"/>
      <x:c r="I22"/>
      <x:c r="J22"/>
      <x:c r="K22"/>
      <x:c r="L22"/>
      <x:c r="M22"/>
    </x:row>
    <x:row r="23" ht="15.75" customHeight="1">
      <x:c r="A23" s="62"/>
      <x:c r="B23"/>
      <x:c r="C23"/>
      <x:c r="D23"/>
      <x:c r="E23"/>
      <x:c r="F23"/>
      <x:c r="G23"/>
      <x:c r="H23"/>
      <x:c r="I23"/>
      <x:c r="J23"/>
      <x:c r="K23"/>
      <x:c r="L23"/>
      <x:c r="M23"/>
    </x:row>
    <x:row r="24" ht="15.75" customHeight="1">
      <x:c r="A24" s="62"/>
      <x:c r="B24"/>
      <x:c r="C24"/>
      <x:c r="D24"/>
      <x:c r="E24"/>
      <x:c r="F24"/>
      <x:c r="G24"/>
      <x:c r="H24"/>
      <x:c r="I24"/>
      <x:c r="J24"/>
      <x:c r="K24"/>
      <x:c r="L24"/>
      <x:c r="M24"/>
    </x:row>
    <x:row r="25" ht="15.75" customHeight="1">
      <x:c r="A25" s="62"/>
      <x:c r="B25"/>
      <x:c r="C25"/>
      <x:c r="D25"/>
      <x:c r="E25"/>
      <x:c r="F25"/>
      <x:c r="G25"/>
      <x:c r="H25"/>
      <x:c r="I25"/>
      <x:c r="J25"/>
      <x:c r="K25"/>
      <x:c r="L25"/>
      <x:c r="M25"/>
    </x:row>
    <x:row r="26" ht="15.75" customHeight="1">
      <x:c r="A26" s="62"/>
      <x:c r="B26"/>
      <x:c r="C26"/>
      <x:c r="D26"/>
      <x:c r="E26"/>
      <x:c r="F26"/>
      <x:c r="G26"/>
      <x:c r="H26"/>
      <x:c r="I26"/>
      <x:c r="J26"/>
      <x:c r="K26"/>
      <x:c r="L26"/>
      <x:c r="M26"/>
    </x:row>
    <x:row r="27" ht="15.75" customHeight="1">
      <x:c r="A27" s="62"/>
      <x:c r="B27"/>
      <x:c r="C27"/>
      <x:c r="D27"/>
      <x:c r="E27"/>
      <x:c r="F27"/>
      <x:c r="G27"/>
      <x:c r="H27"/>
      <x:c r="I27"/>
      <x:c r="J27"/>
      <x:c r="K27"/>
      <x:c r="L27"/>
      <x:c r="M27"/>
    </x:row>
    <x:row r="28" ht="15.75" customHeight="1">
      <x:c r="A28" s="62"/>
      <x:c r="B28"/>
      <x:c r="C28"/>
      <x:c r="D28"/>
      <x:c r="E28"/>
      <x:c r="F28"/>
      <x:c r="G28"/>
      <x:c r="H28"/>
      <x:c r="I28"/>
      <x:c r="J28"/>
      <x:c r="K28"/>
      <x:c r="L28"/>
      <x:c r="M28"/>
    </x:row>
    <x:row r="29" ht="15.75" customHeight="1">
      <x:c r="A29" s="62"/>
      <x:c r="B29"/>
      <x:c r="C29"/>
      <x:c r="D29"/>
      <x:c r="E29"/>
      <x:c r="F29"/>
      <x:c r="G29"/>
      <x:c r="H29"/>
      <x:c r="I29"/>
      <x:c r="J29"/>
      <x:c r="K29"/>
      <x:c r="L29"/>
      <x:c r="M29"/>
    </x:row>
    <x:row r="30" ht="15.75" customHeight="1">
      <x:c r="A30" s="62"/>
      <x:c r="B30"/>
      <x:c r="C30"/>
      <x:c r="D30"/>
      <x:c r="E30"/>
      <x:c r="F30"/>
      <x:c r="G30"/>
      <x:c r="H30"/>
      <x:c r="I30"/>
      <x:c r="J30"/>
      <x:c r="K30"/>
      <x:c r="L30"/>
      <x:c r="M30"/>
    </x:row>
    <x:row r="31" ht="15.75" customHeight="1">
      <x:c r="A31" s="62"/>
      <x:c r="B31"/>
      <x:c r="C31"/>
      <x:c r="D31"/>
      <x:c r="E31"/>
      <x:c r="F31"/>
      <x:c r="G31"/>
      <x:c r="H31"/>
      <x:c r="I31"/>
      <x:c r="J31"/>
      <x:c r="K31"/>
      <x:c r="L31"/>
      <x:c r="M31"/>
    </x:row>
    <x:row r="32" ht="15.75" customHeight="1">
      <x:c r="A32" s="62"/>
      <x:c r="B32"/>
      <x:c r="C32"/>
      <x:c r="D32"/>
      <x:c r="E32"/>
      <x:c r="F32"/>
      <x:c r="G32"/>
      <x:c r="H32"/>
      <x:c r="I32"/>
      <x:c r="J32"/>
      <x:c r="K32"/>
      <x:c r="L32"/>
      <x:c r="M32"/>
    </x:row>
    <x:row r="33" ht="15.75" customHeight="1">
      <x:c r="A33" s="62"/>
      <x:c r="B33"/>
      <x:c r="C33"/>
      <x:c r="D33"/>
      <x:c r="E33"/>
      <x:c r="F33"/>
      <x:c r="G33"/>
      <x:c r="H33"/>
      <x:c r="I33"/>
      <x:c r="J33"/>
      <x:c r="K33"/>
      <x:c r="L33"/>
      <x:c r="M33"/>
    </x:row>
    <x:row r="34" ht="15.75" customHeight="1">
      <x:c r="A34" s="62"/>
      <x:c r="B34"/>
      <x:c r="C34"/>
      <x:c r="D34"/>
      <x:c r="E34"/>
      <x:c r="F34"/>
      <x:c r="G34"/>
      <x:c r="H34"/>
      <x:c r="I34"/>
      <x:c r="J34"/>
      <x:c r="K34"/>
      <x:c r="L34"/>
      <x:c r="M34"/>
    </x:row>
    <x:row r="35" ht="15.75" customHeight="1">
      <x:c r="A35" s="62"/>
      <x:c r="B35"/>
      <x:c r="C35"/>
      <x:c r="D35"/>
      <x:c r="E35"/>
      <x:c r="F35"/>
      <x:c r="G35"/>
      <x:c r="H35"/>
      <x:c r="I35"/>
      <x:c r="J35"/>
      <x:c r="K35"/>
      <x:c r="L35"/>
      <x:c r="M35"/>
    </x:row>
    <x:row r="36" ht="15.75" customHeight="1">
      <x:c r="A36" s="62"/>
      <x:c r="B36"/>
      <x:c r="C36"/>
      <x:c r="D36"/>
      <x:c r="E36"/>
      <x:c r="F36"/>
      <x:c r="G36"/>
      <x:c r="H36"/>
      <x:c r="I36"/>
      <x:c r="J36"/>
      <x:c r="K36"/>
      <x:c r="L36"/>
      <x:c r="M36"/>
    </x:row>
    <x:row r="37" ht="15.75" customHeight="1">
      <x:c r="A37" s="62"/>
      <x:c r="B37"/>
      <x:c r="C37"/>
      <x:c r="D37"/>
      <x:c r="E37"/>
      <x:c r="F37"/>
      <x:c r="G37"/>
      <x:c r="H37"/>
      <x:c r="I37"/>
      <x:c r="J37"/>
      <x:c r="K37"/>
      <x:c r="L37"/>
      <x:c r="M37"/>
    </x:row>
    <x:row r="38" ht="15.75" customHeight="1">
      <x:c r="A38" s="62"/>
      <x:c r="B38"/>
      <x:c r="C38"/>
      <x:c r="D38"/>
      <x:c r="E38"/>
      <x:c r="F38"/>
      <x:c r="G38"/>
      <x:c r="H38"/>
      <x:c r="I38"/>
      <x:c r="J38"/>
      <x:c r="K38"/>
      <x:c r="L38"/>
      <x:c r="M38"/>
    </x:row>
    <x:row r="39" ht="15.75" customHeight="1">
      <x:c r="A39" s="62"/>
      <x:c r="B39"/>
      <x:c r="C39"/>
      <x:c r="D39"/>
      <x:c r="E39"/>
      <x:c r="F39"/>
      <x:c r="G39"/>
      <x:c r="H39"/>
      <x:c r="I39"/>
      <x:c r="J39"/>
      <x:c r="K39"/>
      <x:c r="L39"/>
      <x:c r="M39"/>
    </x:row>
    <x:row r="40" ht="15.75" customHeight="1">
      <x:c r="A40" s="62"/>
      <x:c r="B40"/>
      <x:c r="C40"/>
      <x:c r="D40"/>
      <x:c r="E40"/>
      <x:c r="F40"/>
      <x:c r="G40"/>
      <x:c r="H40"/>
      <x:c r="I40"/>
      <x:c r="J40"/>
      <x:c r="K40"/>
      <x:c r="L40"/>
      <x:c r="M40"/>
    </x:row>
    <x:row r="41" ht="15.75" customHeight="1">
      <x:c r="A41" s="62"/>
      <x:c r="B41"/>
      <x:c r="C41"/>
      <x:c r="D41"/>
      <x:c r="E41"/>
      <x:c r="F41"/>
      <x:c r="G41"/>
      <x:c r="H41"/>
      <x:c r="I41"/>
      <x:c r="J41"/>
      <x:c r="K41"/>
      <x:c r="L41"/>
      <x:c r="M41"/>
    </x:row>
    <x:row r="42" ht="15.75" customHeight="1">
      <x:c r="A42" s="62"/>
      <x:c r="B42"/>
      <x:c r="C42"/>
      <x:c r="D42"/>
      <x:c r="E42"/>
      <x:c r="F42"/>
      <x:c r="G42"/>
      <x:c r="H42"/>
      <x:c r="I42"/>
      <x:c r="J42"/>
      <x:c r="K42"/>
      <x:c r="L42"/>
      <x:c r="M42"/>
    </x:row>
    <x:row r="43" ht="15.75" customHeight="1">
      <x:c r="A43" s="62"/>
      <x:c r="B43"/>
      <x:c r="C43"/>
      <x:c r="D43"/>
      <x:c r="E43"/>
      <x:c r="F43"/>
      <x:c r="G43"/>
      <x:c r="H43"/>
      <x:c r="I43"/>
      <x:c r="J43"/>
      <x:c r="K43"/>
      <x:c r="L43"/>
      <x:c r="M43"/>
    </x:row>
    <x:row r="44" ht="15.75" customHeight="1">
      <x:c r="A44" s="62"/>
      <x:c r="B44"/>
      <x:c r="C44"/>
      <x:c r="D44"/>
      <x:c r="E44"/>
      <x:c r="F44"/>
      <x:c r="G44"/>
      <x:c r="H44"/>
      <x:c r="I44"/>
      <x:c r="J44"/>
      <x:c r="K44"/>
      <x:c r="L44"/>
      <x:c r="M44"/>
    </x:row>
    <x:row r="45" ht="15.75" customHeight="1">
      <x:c r="A45" s="62"/>
      <x:c r="B45"/>
      <x:c r="C45"/>
      <x:c r="D45"/>
      <x:c r="E45"/>
      <x:c r="F45"/>
      <x:c r="G45"/>
      <x:c r="H45"/>
      <x:c r="I45"/>
      <x:c r="J45"/>
      <x:c r="K45"/>
      <x:c r="L45"/>
      <x:c r="M45"/>
    </x:row>
    <x:row r="46" ht="15.75" customHeight="1">
      <x:c r="A46" s="62"/>
      <x:c r="B46"/>
      <x:c r="C46"/>
      <x:c r="D46"/>
      <x:c r="E46"/>
      <x:c r="F46"/>
      <x:c r="G46"/>
      <x:c r="H46"/>
      <x:c r="I46"/>
      <x:c r="J46"/>
      <x:c r="K46"/>
      <x:c r="L46"/>
      <x:c r="M46"/>
    </x:row>
    <x:row r="47" ht="15.75" customHeight="1">
      <x:c r="A47" s="62"/>
      <x:c r="B47"/>
      <x:c r="C47"/>
      <x:c r="D47"/>
      <x:c r="E47"/>
      <x:c r="F47"/>
      <x:c r="G47"/>
      <x:c r="H47"/>
      <x:c r="I47"/>
      <x:c r="J47"/>
      <x:c r="K47"/>
      <x:c r="L47"/>
      <x:c r="M47"/>
    </x:row>
    <x:row r="48" ht="15.75" customHeight="1">
      <x:c r="A48" s="62"/>
      <x:c r="B48"/>
      <x:c r="C48"/>
      <x:c r="D48"/>
      <x:c r="E48"/>
      <x:c r="F48"/>
      <x:c r="G48"/>
      <x:c r="H48"/>
      <x:c r="I48"/>
      <x:c r="J48"/>
      <x:c r="K48"/>
      <x:c r="L48"/>
      <x:c r="M48"/>
    </x:row>
    <x:row r="49" ht="15.75" customHeight="1">
      <x:c r="A49" s="62"/>
      <x:c r="B49"/>
      <x:c r="C49"/>
      <x:c r="D49"/>
      <x:c r="E49"/>
      <x:c r="F49"/>
      <x:c r="G49"/>
      <x:c r="H49"/>
      <x:c r="I49"/>
      <x:c r="J49"/>
      <x:c r="K49"/>
      <x:c r="L49"/>
      <x:c r="M49"/>
    </x:row>
    <x:row r="50" ht="15.75" customHeight="1">
      <x:c r="A50" s="62"/>
      <x:c r="B50"/>
      <x:c r="C50"/>
      <x:c r="D50"/>
      <x:c r="E50"/>
      <x:c r="F50"/>
      <x:c r="G50"/>
      <x:c r="H50"/>
      <x:c r="I50"/>
      <x:c r="J50"/>
      <x:c r="K50"/>
      <x:c r="L50"/>
      <x:c r="M50"/>
    </x:row>
    <x:row r="51" ht="15.75" customHeight="1">
      <x:c r="A51" s="62"/>
      <x:c r="B51"/>
      <x:c r="C51"/>
      <x:c r="D51"/>
      <x:c r="E51"/>
      <x:c r="F51"/>
      <x:c r="G51"/>
      <x:c r="H51"/>
      <x:c r="I51"/>
      <x:c r="J51"/>
      <x:c r="K51"/>
      <x:c r="L51"/>
      <x:c r="M51"/>
    </x:row>
    <x:row r="52" ht="15.75" customHeight="1">
      <x:c r="A52" s="62"/>
      <x:c r="B52"/>
      <x:c r="C52"/>
      <x:c r="D52"/>
      <x:c r="E52"/>
      <x:c r="F52"/>
      <x:c r="G52"/>
      <x:c r="H52"/>
      <x:c r="I52"/>
      <x:c r="J52"/>
      <x:c r="K52"/>
      <x:c r="L52"/>
      <x:c r="M52"/>
    </x:row>
    <x:row r="53" ht="15.75" customHeight="1">
      <x:c r="A53" s="62"/>
      <x:c r="B53"/>
      <x:c r="C53"/>
      <x:c r="D53"/>
      <x:c r="E53"/>
      <x:c r="F53"/>
      <x:c r="G53"/>
      <x:c r="H53"/>
      <x:c r="I53"/>
      <x:c r="J53"/>
      <x:c r="K53"/>
      <x:c r="L53"/>
      <x:c r="M53"/>
    </x:row>
    <x:row r="54" ht="15.75" customHeight="1">
      <x:c r="A54" s="62"/>
      <x:c r="B54"/>
      <x:c r="C54"/>
      <x:c r="D54"/>
      <x:c r="E54"/>
      <x:c r="F54"/>
      <x:c r="G54"/>
      <x:c r="H54"/>
      <x:c r="I54"/>
      <x:c r="J54"/>
      <x:c r="K54"/>
      <x:c r="L54"/>
      <x:c r="M54"/>
    </x:row>
    <x:row r="55" ht="15.75" customHeight="1">
      <x:c r="A55" s="62"/>
      <x:c r="B55"/>
      <x:c r="C55"/>
      <x:c r="D55"/>
      <x:c r="E55"/>
      <x:c r="F55"/>
      <x:c r="G55"/>
      <x:c r="H55"/>
      <x:c r="I55"/>
      <x:c r="J55"/>
      <x:c r="K55"/>
      <x:c r="L55"/>
      <x:c r="M55"/>
    </x:row>
    <x:row r="56" ht="15.75" customHeight="1">
      <x:c r="A56" s="62"/>
      <x:c r="B56"/>
      <x:c r="C56"/>
      <x:c r="D56"/>
      <x:c r="E56"/>
      <x:c r="F56"/>
      <x:c r="G56"/>
      <x:c r="H56"/>
      <x:c r="I56"/>
      <x:c r="J56"/>
      <x:c r="K56"/>
      <x:c r="L56"/>
      <x:c r="M56"/>
    </x:row>
    <x:row r="57" ht="15.75" customHeight="1">
      <x:c r="A57" s="62"/>
      <x:c r="B57"/>
      <x:c r="C57"/>
      <x:c r="D57"/>
      <x:c r="E57"/>
      <x:c r="F57"/>
      <x:c r="G57"/>
      <x:c r="H57"/>
      <x:c r="I57"/>
      <x:c r="J57"/>
      <x:c r="K57"/>
      <x:c r="L57"/>
      <x:c r="M57"/>
    </x:row>
    <x:row r="58" ht="15.75" customHeight="1">
      <x:c r="A58" s="62"/>
      <x:c r="B58"/>
      <x:c r="C58"/>
      <x:c r="D58"/>
      <x:c r="E58"/>
      <x:c r="F58"/>
      <x:c r="G58"/>
      <x:c r="H58"/>
      <x:c r="I58"/>
      <x:c r="J58"/>
      <x:c r="K58"/>
      <x:c r="L58"/>
      <x:c r="M58"/>
    </x:row>
    <x:row r="59" ht="15.75" customHeight="1">
      <x:c r="A59" s="62"/>
      <x:c r="B59"/>
      <x:c r="C59"/>
      <x:c r="D59"/>
      <x:c r="E59"/>
      <x:c r="F59"/>
      <x:c r="G59"/>
      <x:c r="H59"/>
      <x:c r="I59"/>
      <x:c r="J59"/>
      <x:c r="K59"/>
      <x:c r="L59"/>
      <x:c r="M59"/>
    </x:row>
    <x:row r="60" ht="15.75" customHeight="1">
      <x:c r="A60" s="62"/>
      <x:c r="B60"/>
      <x:c r="C60"/>
      <x:c r="D60"/>
      <x:c r="E60"/>
      <x:c r="F60"/>
      <x:c r="G60"/>
      <x:c r="H60"/>
      <x:c r="I60"/>
      <x:c r="J60"/>
      <x:c r="K60"/>
      <x:c r="L60"/>
      <x:c r="M60"/>
    </x:row>
    <x:row r="61" ht="15.75" customHeight="1">
      <x:c r="A61" s="62"/>
      <x:c r="B61"/>
      <x:c r="C61"/>
      <x:c r="D61"/>
      <x:c r="E61"/>
      <x:c r="F61"/>
      <x:c r="G61"/>
      <x:c r="H61"/>
      <x:c r="I61"/>
      <x:c r="J61"/>
      <x:c r="K61"/>
      <x:c r="L61"/>
      <x:c r="M61"/>
    </x:row>
    <x:row r="62" ht="15.75" customHeight="1">
      <x:c r="A62" s="62"/>
      <x:c r="B62"/>
      <x:c r="C62"/>
      <x:c r="D62"/>
      <x:c r="E62"/>
      <x:c r="F62"/>
      <x:c r="G62"/>
      <x:c r="H62"/>
      <x:c r="I62"/>
      <x:c r="J62"/>
      <x:c r="K62"/>
      <x:c r="L62"/>
      <x:c r="M62"/>
    </x:row>
    <x:row r="63" ht="15.75" customHeight="1">
      <x:c r="A63" s="62"/>
      <x:c r="B63"/>
      <x:c r="C63"/>
      <x:c r="D63"/>
      <x:c r="E63"/>
      <x:c r="F63"/>
      <x:c r="G63"/>
      <x:c r="H63"/>
      <x:c r="I63"/>
      <x:c r="J63"/>
      <x:c r="K63"/>
      <x:c r="L63"/>
      <x:c r="M63"/>
    </x:row>
    <x:row r="64" ht="15.75" customHeight="1">
      <x:c r="A64" s="62"/>
      <x:c r="B64"/>
      <x:c r="C64"/>
      <x:c r="D64"/>
      <x:c r="E64"/>
      <x:c r="F64"/>
      <x:c r="G64"/>
      <x:c r="H64"/>
      <x:c r="I64"/>
      <x:c r="J64"/>
      <x:c r="K64"/>
      <x:c r="L64"/>
      <x:c r="M64"/>
    </x:row>
    <x:row r="65" ht="15.75" customHeight="1">
      <x:c r="A65" s="62"/>
      <x:c r="B65"/>
      <x:c r="C65"/>
      <x:c r="D65"/>
      <x:c r="E65"/>
      <x:c r="F65"/>
      <x:c r="G65"/>
      <x:c r="H65"/>
      <x:c r="I65"/>
      <x:c r="J65"/>
      <x:c r="K65"/>
      <x:c r="L65"/>
      <x:c r="M65"/>
    </x:row>
    <x:row r="66" ht="15.75" customHeight="1">
      <x:c r="A66" s="62"/>
      <x:c r="B66"/>
      <x:c r="C66"/>
      <x:c r="D66"/>
      <x:c r="E66"/>
      <x:c r="F66"/>
      <x:c r="G66"/>
      <x:c r="H66"/>
      <x:c r="I66"/>
      <x:c r="J66"/>
      <x:c r="K66"/>
      <x:c r="L66"/>
      <x:c r="M66"/>
    </x:row>
    <x:row r="67" ht="15.75" customHeight="1">
      <x:c r="A67" s="62"/>
      <x:c r="B67"/>
      <x:c r="C67"/>
      <x:c r="D67"/>
      <x:c r="E67"/>
      <x:c r="F67"/>
      <x:c r="G67"/>
      <x:c r="H67"/>
      <x:c r="I67"/>
      <x:c r="J67"/>
      <x:c r="K67"/>
      <x:c r="L67"/>
      <x:c r="M67"/>
    </x:row>
    <x:row r="68" ht="15.75" customHeight="1">
      <x:c r="A68" s="62"/>
      <x:c r="B68"/>
      <x:c r="C68"/>
      <x:c r="D68"/>
      <x:c r="E68"/>
      <x:c r="F68"/>
      <x:c r="G68"/>
      <x:c r="H68"/>
      <x:c r="I68"/>
      <x:c r="J68"/>
      <x:c r="K68"/>
      <x:c r="L68"/>
      <x:c r="M68"/>
    </x:row>
    <x:row r="69" ht="15.75" customHeight="1">
      <x:c r="A69" s="62"/>
      <x:c r="B69"/>
      <x:c r="C69"/>
      <x:c r="D69"/>
      <x:c r="E69"/>
      <x:c r="F69"/>
      <x:c r="G69"/>
      <x:c r="H69"/>
      <x:c r="I69"/>
      <x:c r="J69"/>
      <x:c r="K69"/>
      <x:c r="L69"/>
      <x:c r="M69"/>
    </x:row>
    <x:row r="70" ht="15.75" customHeight="1">
      <x:c r="A70" s="62"/>
      <x:c r="B70"/>
      <x:c r="C70"/>
      <x:c r="D70"/>
      <x:c r="E70"/>
      <x:c r="F70"/>
      <x:c r="G70"/>
      <x:c r="H70"/>
      <x:c r="I70"/>
      <x:c r="J70"/>
      <x:c r="K70"/>
      <x:c r="L70"/>
      <x:c r="M70"/>
    </x:row>
    <x:row r="71" ht="15.75" customHeight="1">
      <x:c r="A71" s="62"/>
      <x:c r="B71"/>
      <x:c r="C71"/>
      <x:c r="D71"/>
      <x:c r="E71"/>
      <x:c r="F71"/>
      <x:c r="G71"/>
      <x:c r="H71"/>
      <x:c r="I71"/>
      <x:c r="J71"/>
      <x:c r="K71"/>
      <x:c r="L71"/>
      <x:c r="M71"/>
    </x:row>
    <x:row r="72" ht="15.75" customHeight="1">
      <x:c r="A72" s="62"/>
      <x:c r="B72"/>
      <x:c r="C72"/>
      <x:c r="D72"/>
      <x:c r="E72"/>
      <x:c r="F72"/>
      <x:c r="G72"/>
      <x:c r="H72"/>
      <x:c r="I72"/>
      <x:c r="J72"/>
      <x:c r="K72"/>
      <x:c r="L72"/>
      <x:c r="M72"/>
    </x:row>
    <x:row r="73" ht="15.75" customHeight="1">
      <x:c r="A73" s="62"/>
      <x:c r="B73"/>
      <x:c r="C73"/>
      <x:c r="D73"/>
      <x:c r="E73"/>
      <x:c r="F73"/>
      <x:c r="G73"/>
      <x:c r="H73"/>
      <x:c r="I73"/>
      <x:c r="J73"/>
      <x:c r="K73"/>
      <x:c r="L73"/>
      <x:c r="M73"/>
    </x:row>
    <x:row r="74" ht="15.75" customHeight="1">
      <x:c r="A74" s="62"/>
      <x:c r="B74"/>
      <x:c r="C74"/>
      <x:c r="D74"/>
      <x:c r="E74"/>
      <x:c r="F74"/>
      <x:c r="G74"/>
      <x:c r="H74"/>
      <x:c r="I74"/>
      <x:c r="J74"/>
      <x:c r="K74"/>
      <x:c r="L74"/>
      <x:c r="M74"/>
    </x:row>
    <x:row r="75" ht="15.75" customHeight="1">
      <x:c r="A75" s="62"/>
      <x:c r="B75"/>
      <x:c r="C75"/>
      <x:c r="D75"/>
      <x:c r="E75"/>
      <x:c r="F75"/>
      <x:c r="G75"/>
      <x:c r="H75"/>
      <x:c r="I75"/>
      <x:c r="J75"/>
      <x:c r="K75"/>
      <x:c r="L75"/>
      <x:c r="M75"/>
    </x:row>
    <x:row r="76" ht="15.75" customHeight="1">
      <x:c r="A76" s="62"/>
      <x:c r="B76"/>
      <x:c r="C76"/>
      <x:c r="D76"/>
      <x:c r="E76"/>
      <x:c r="F76"/>
      <x:c r="G76"/>
      <x:c r="H76"/>
      <x:c r="I76"/>
      <x:c r="J76"/>
      <x:c r="K76"/>
      <x:c r="L76"/>
      <x:c r="M76"/>
    </x:row>
    <x:row r="77" ht="15.75" customHeight="1">
      <x:c r="A77" s="62"/>
      <x:c r="B77"/>
      <x:c r="C77"/>
      <x:c r="D77"/>
      <x:c r="E77"/>
      <x:c r="F77"/>
      <x:c r="G77"/>
      <x:c r="H77"/>
      <x:c r="I77"/>
      <x:c r="J77"/>
      <x:c r="K77"/>
      <x:c r="L77"/>
      <x:c r="M77"/>
    </x:row>
    <x:row r="78" ht="15.75" customHeight="1">
      <x:c r="A78" s="62"/>
      <x:c r="B78"/>
      <x:c r="C78"/>
      <x:c r="D78"/>
      <x:c r="E78"/>
      <x:c r="F78"/>
      <x:c r="G78"/>
      <x:c r="H78"/>
      <x:c r="I78"/>
      <x:c r="J78"/>
      <x:c r="K78"/>
      <x:c r="L78"/>
      <x:c r="M78"/>
    </x:row>
    <x:row r="79" ht="15.75" customHeight="1">
      <x:c r="A79" s="62"/>
      <x:c r="B79"/>
      <x:c r="C79"/>
      <x:c r="D79"/>
      <x:c r="E79"/>
      <x:c r="F79"/>
      <x:c r="G79"/>
      <x:c r="H79"/>
      <x:c r="I79"/>
      <x:c r="J79"/>
      <x:c r="K79"/>
      <x:c r="L79"/>
      <x:c r="M79"/>
    </x:row>
    <x:row r="80" ht="15.75" customHeight="1">
      <x:c r="A80" s="62"/>
      <x:c r="B80"/>
      <x:c r="C80"/>
      <x:c r="D80"/>
      <x:c r="E80"/>
      <x:c r="F80"/>
      <x:c r="G80"/>
      <x:c r="H80"/>
      <x:c r="I80"/>
      <x:c r="J80"/>
      <x:c r="K80"/>
      <x:c r="L80"/>
      <x:c r="M80"/>
    </x:row>
    <x:row r="81" ht="15.75" customHeight="1">
      <x:c r="A81" s="62"/>
      <x:c r="B81"/>
      <x:c r="C81"/>
      <x:c r="D81"/>
      <x:c r="E81"/>
      <x:c r="F81"/>
      <x:c r="G81"/>
      <x:c r="H81"/>
      <x:c r="I81"/>
      <x:c r="J81"/>
      <x:c r="K81"/>
      <x:c r="L81"/>
      <x:c r="M81"/>
    </x:row>
    <x:row r="82" ht="15.75" customHeight="1">
      <x:c r="A82" s="62"/>
      <x:c r="B82"/>
      <x:c r="C82"/>
      <x:c r="D82"/>
      <x:c r="E82"/>
      <x:c r="F82"/>
      <x:c r="G82"/>
      <x:c r="H82"/>
      <x:c r="I82"/>
      <x:c r="J82"/>
      <x:c r="K82"/>
      <x:c r="L82"/>
      <x:c r="M82"/>
    </x:row>
    <x:row r="83" ht="15.75" customHeight="1">
      <x:c r="A83" s="62"/>
      <x:c r="B83"/>
      <x:c r="C83"/>
      <x:c r="D83"/>
      <x:c r="E83"/>
      <x:c r="F83"/>
      <x:c r="G83"/>
      <x:c r="H83"/>
      <x:c r="I83"/>
      <x:c r="J83"/>
      <x:c r="K83"/>
      <x:c r="L83"/>
      <x:c r="M83"/>
    </x:row>
    <x:row r="84" ht="15.75" customHeight="1">
      <x:c r="A84" s="62"/>
      <x:c r="B84"/>
      <x:c r="C84"/>
      <x:c r="D84"/>
      <x:c r="E84"/>
      <x:c r="F84"/>
      <x:c r="G84"/>
      <x:c r="H84"/>
      <x:c r="I84"/>
      <x:c r="J84"/>
      <x:c r="K84"/>
      <x:c r="L84"/>
      <x:c r="M84"/>
    </x:row>
    <x:row r="85" ht="15.75" customHeight="1">
      <x:c r="A85" s="62"/>
      <x:c r="B85"/>
      <x:c r="C85"/>
      <x:c r="D85"/>
      <x:c r="E85"/>
      <x:c r="F85"/>
      <x:c r="G85"/>
      <x:c r="H85"/>
      <x:c r="I85"/>
      <x:c r="J85"/>
      <x:c r="K85"/>
      <x:c r="L85"/>
      <x:c r="M85"/>
    </x:row>
    <x:row r="86" ht="15.75" customHeight="1">
      <x:c r="A86" s="62"/>
      <x:c r="B86"/>
      <x:c r="C86"/>
      <x:c r="D86"/>
      <x:c r="E86"/>
      <x:c r="F86"/>
      <x:c r="G86"/>
      <x:c r="H86"/>
      <x:c r="I86"/>
      <x:c r="J86"/>
      <x:c r="K86"/>
      <x:c r="L86"/>
      <x:c r="M86"/>
    </x:row>
    <x:row r="87" ht="15.75" customHeight="1">
      <x:c r="A87" s="62"/>
      <x:c r="B87"/>
      <x:c r="C87"/>
      <x:c r="D87"/>
      <x:c r="E87"/>
      <x:c r="F87"/>
      <x:c r="G87"/>
      <x:c r="H87"/>
      <x:c r="I87"/>
      <x:c r="J87"/>
      <x:c r="K87"/>
      <x:c r="L87"/>
      <x:c r="M87"/>
    </x:row>
    <x:row r="88" ht="15.75" customHeight="1">
      <x:c r="A88" s="62"/>
      <x:c r="B88"/>
      <x:c r="C88"/>
      <x:c r="D88"/>
      <x:c r="E88"/>
      <x:c r="F88"/>
      <x:c r="G88"/>
      <x:c r="H88"/>
      <x:c r="I88"/>
      <x:c r="J88"/>
      <x:c r="K88"/>
      <x:c r="L88"/>
      <x:c r="M88"/>
    </x:row>
    <x:row r="89" ht="15.75" customHeight="1">
      <x:c r="A89" s="62"/>
      <x:c r="B89"/>
      <x:c r="C89"/>
      <x:c r="D89"/>
      <x:c r="E89"/>
      <x:c r="F89"/>
      <x:c r="G89"/>
      <x:c r="H89"/>
      <x:c r="I89"/>
      <x:c r="J89"/>
      <x:c r="K89"/>
      <x:c r="L89"/>
      <x:c r="M89"/>
    </x:row>
    <x:row r="90" ht="15.75" customHeight="1">
      <x:c r="A90" s="62"/>
      <x:c r="B90"/>
      <x:c r="C90"/>
      <x:c r="D90"/>
      <x:c r="E90"/>
      <x:c r="F90"/>
      <x:c r="G90"/>
      <x:c r="H90"/>
      <x:c r="I90"/>
      <x:c r="J90"/>
      <x:c r="K90"/>
      <x:c r="L90"/>
      <x:c r="M90"/>
    </x:row>
    <x:row r="91" ht="15.75" customHeight="1">
      <x:c r="A91" s="62"/>
      <x:c r="B91"/>
      <x:c r="C91"/>
      <x:c r="D91"/>
      <x:c r="E91"/>
      <x:c r="F91"/>
      <x:c r="G91"/>
      <x:c r="H91"/>
      <x:c r="I91"/>
      <x:c r="J91"/>
      <x:c r="K91"/>
      <x:c r="L91"/>
      <x:c r="M91"/>
    </x:row>
    <x:row r="92" ht="15.75" customHeight="1">
      <x:c r="A92" s="62"/>
      <x:c r="B92"/>
      <x:c r="C92"/>
      <x:c r="D92"/>
      <x:c r="E92"/>
      <x:c r="F92"/>
      <x:c r="G92"/>
      <x:c r="H92"/>
      <x:c r="I92"/>
      <x:c r="J92"/>
      <x:c r="K92"/>
      <x:c r="L92"/>
      <x:c r="M92"/>
    </x:row>
    <x:row r="93" ht="15.75" customHeight="1">
      <x:c r="A93" s="62"/>
      <x:c r="B93"/>
      <x:c r="C93"/>
      <x:c r="D93"/>
      <x:c r="E93"/>
      <x:c r="F93"/>
      <x:c r="G93"/>
      <x:c r="H93"/>
      <x:c r="I93"/>
      <x:c r="J93"/>
      <x:c r="K93"/>
      <x:c r="L93"/>
      <x:c r="M93"/>
    </x:row>
    <x:row r="94" ht="15.75" customHeight="1">
      <x:c r="A94" s="62"/>
      <x:c r="B94"/>
      <x:c r="C94"/>
      <x:c r="D94"/>
      <x:c r="E94"/>
      <x:c r="F94"/>
      <x:c r="G94"/>
      <x:c r="H94"/>
      <x:c r="I94"/>
      <x:c r="J94"/>
      <x:c r="K94"/>
      <x:c r="L94"/>
      <x:c r="M94"/>
    </x:row>
    <x:row r="95" ht="15.75" customHeight="1">
      <x:c r="A95" s="62"/>
      <x:c r="B95"/>
      <x:c r="C95"/>
      <x:c r="D95"/>
      <x:c r="E95"/>
      <x:c r="F95"/>
      <x:c r="G95"/>
      <x:c r="H95"/>
      <x:c r="I95"/>
      <x:c r="J95"/>
      <x:c r="K95"/>
      <x:c r="L95"/>
      <x:c r="M95"/>
    </x:row>
    <x:row r="96" ht="15.75" customHeight="1">
      <x:c r="A96" s="62"/>
      <x:c r="B96"/>
      <x:c r="C96"/>
      <x:c r="D96"/>
      <x:c r="E96"/>
      <x:c r="F96"/>
      <x:c r="G96"/>
      <x:c r="H96"/>
      <x:c r="I96"/>
      <x:c r="J96"/>
      <x:c r="K96"/>
      <x:c r="L96"/>
      <x:c r="M96"/>
    </x:row>
    <x:row r="97" ht="15.75" customHeight="1">
      <x:c r="A97" s="62"/>
      <x:c r="B97"/>
      <x:c r="C97"/>
      <x:c r="D97"/>
      <x:c r="E97"/>
      <x:c r="F97"/>
      <x:c r="G97"/>
      <x:c r="H97"/>
      <x:c r="I97"/>
      <x:c r="J97"/>
      <x:c r="K97"/>
      <x:c r="L97"/>
      <x:c r="M97"/>
    </x:row>
    <x:row r="98" ht="15.75" customHeight="1">
      <x:c r="A98" s="62"/>
      <x:c r="B98"/>
      <x:c r="C98"/>
      <x:c r="D98"/>
      <x:c r="E98"/>
      <x:c r="F98"/>
      <x:c r="G98"/>
      <x:c r="H98"/>
      <x:c r="I98"/>
      <x:c r="J98"/>
      <x:c r="K98"/>
      <x:c r="L98"/>
      <x:c r="M98"/>
    </x:row>
    <x:row r="99" ht="15.75" customHeight="1">
      <x:c r="A99" s="62"/>
      <x:c r="B99"/>
      <x:c r="C99"/>
      <x:c r="D99"/>
      <x:c r="E99"/>
      <x:c r="F99"/>
      <x:c r="G99"/>
      <x:c r="H99"/>
      <x:c r="I99"/>
      <x:c r="J99"/>
      <x:c r="K99"/>
      <x:c r="L99"/>
      <x:c r="M99"/>
    </x:row>
    <x:row r="100" ht="15.75" customHeight="1">
      <x:c r="A100" s="62"/>
      <x:c r="B100"/>
      <x:c r="C100"/>
      <x:c r="D100"/>
      <x:c r="E100"/>
      <x:c r="F100"/>
      <x:c r="G100"/>
      <x:c r="H100"/>
      <x:c r="I100"/>
      <x:c r="J100"/>
      <x:c r="K100"/>
      <x:c r="L100"/>
      <x:c r="M100"/>
    </x:row>
    <x:row r="101" ht="15.75" customHeight="1">
      <x:c r="A101" s="62"/>
      <x:c r="B101"/>
      <x:c r="C101"/>
      <x:c r="D101"/>
      <x:c r="E101"/>
      <x:c r="F101"/>
      <x:c r="G101"/>
      <x:c r="H101"/>
      <x:c r="I101"/>
      <x:c r="J101"/>
      <x:c r="K101"/>
      <x:c r="L101"/>
      <x:c r="M101"/>
    </x:row>
    <x:row r="102" ht="15.75" customHeight="1">
      <x:c r="A102" s="62"/>
      <x:c r="B102"/>
      <x:c r="C102"/>
      <x:c r="D102"/>
      <x:c r="E102"/>
      <x:c r="F102"/>
      <x:c r="G102"/>
      <x:c r="H102"/>
      <x:c r="I102"/>
      <x:c r="J102"/>
      <x:c r="K102"/>
      <x:c r="L102"/>
      <x:c r="M102"/>
    </x:row>
    <x:row r="103" ht="15.75" customHeight="1">
      <x:c r="A103" s="62"/>
      <x:c r="B103"/>
      <x:c r="C103"/>
      <x:c r="D103"/>
      <x:c r="E103"/>
      <x:c r="F103"/>
      <x:c r="G103"/>
      <x:c r="H103"/>
      <x:c r="I103"/>
      <x:c r="J103"/>
      <x:c r="K103"/>
      <x:c r="L103"/>
      <x:c r="M103"/>
    </x:row>
    <x:row r="104" ht="15.75" customHeight="1">
      <x:c r="A104" s="62"/>
      <x:c r="B104"/>
      <x:c r="C104"/>
      <x:c r="D104"/>
      <x:c r="E104"/>
      <x:c r="F104"/>
      <x:c r="G104"/>
      <x:c r="H104"/>
      <x:c r="I104"/>
      <x:c r="J104"/>
      <x:c r="K104"/>
      <x:c r="L104"/>
      <x:c r="M104"/>
    </x:row>
    <x:row r="105" ht="15.75" customHeight="1">
      <x:c r="A105" s="62"/>
      <x:c r="B105"/>
      <x:c r="C105"/>
      <x:c r="D105"/>
      <x:c r="E105"/>
      <x:c r="F105"/>
      <x:c r="G105"/>
      <x:c r="H105"/>
      <x:c r="I105"/>
      <x:c r="J105"/>
      <x:c r="K105"/>
      <x:c r="L105"/>
      <x:c r="M105"/>
    </x:row>
    <x:row r="106" ht="15.75" customHeight="1">
      <x:c r="A106" s="62"/>
      <x:c r="B106"/>
      <x:c r="C106"/>
      <x:c r="D106"/>
      <x:c r="E106"/>
      <x:c r="F106"/>
      <x:c r="G106"/>
      <x:c r="H106"/>
      <x:c r="I106"/>
      <x:c r="J106"/>
      <x:c r="K106"/>
      <x:c r="L106"/>
      <x:c r="M106"/>
    </x:row>
    <x:row r="107" ht="15.75" customHeight="1">
      <x:c r="A107" s="62"/>
      <x:c r="B107"/>
      <x:c r="C107"/>
      <x:c r="D107"/>
      <x:c r="E107"/>
      <x:c r="F107"/>
      <x:c r="G107"/>
      <x:c r="H107"/>
      <x:c r="I107"/>
      <x:c r="J107"/>
      <x:c r="K107"/>
      <x:c r="L107"/>
      <x:c r="M107"/>
    </x:row>
    <x:row r="108" ht="15.75" customHeight="1">
      <x:c r="A108" s="62"/>
      <x:c r="B108"/>
      <x:c r="C108"/>
      <x:c r="D108"/>
      <x:c r="E108"/>
      <x:c r="F108"/>
      <x:c r="G108"/>
      <x:c r="H108"/>
      <x:c r="I108"/>
      <x:c r="J108"/>
      <x:c r="K108"/>
      <x:c r="L108"/>
      <x:c r="M108"/>
    </x:row>
    <x:row r="109" ht="15.75" customHeight="1">
      <x:c r="A109" s="62"/>
      <x:c r="B109"/>
      <x:c r="C109"/>
      <x:c r="D109"/>
      <x:c r="E109"/>
      <x:c r="F109"/>
      <x:c r="G109"/>
      <x:c r="H109"/>
      <x:c r="I109"/>
      <x:c r="J109"/>
      <x:c r="K109"/>
      <x:c r="L109"/>
      <x:c r="M109"/>
    </x:row>
    <x:row r="110" ht="15.75" customHeight="1">
      <x:c r="A110" s="62"/>
      <x:c r="B110"/>
      <x:c r="C110"/>
      <x:c r="D110"/>
      <x:c r="E110"/>
      <x:c r="F110"/>
      <x:c r="G110"/>
      <x:c r="H110"/>
      <x:c r="I110"/>
      <x:c r="J110"/>
      <x:c r="K110"/>
      <x:c r="L110"/>
      <x:c r="M110"/>
    </x:row>
    <x:row r="111" ht="15.75" customHeight="1">
      <x:c r="A111" s="62"/>
      <x:c r="B111"/>
      <x:c r="C111"/>
      <x:c r="D111"/>
      <x:c r="E111"/>
      <x:c r="F111"/>
      <x:c r="G111"/>
      <x:c r="H111"/>
      <x:c r="I111"/>
      <x:c r="J111"/>
      <x:c r="K111"/>
      <x:c r="L111"/>
      <x:c r="M111"/>
    </x:row>
    <x:row r="112" ht="15.75" customHeight="1">
      <x:c r="A112" s="62"/>
      <x:c r="B112"/>
      <x:c r="C112"/>
      <x:c r="D112"/>
      <x:c r="E112"/>
      <x:c r="F112"/>
      <x:c r="G112"/>
      <x:c r="H112"/>
      <x:c r="I112"/>
      <x:c r="J112"/>
      <x:c r="K112"/>
      <x:c r="L112"/>
      <x:c r="M112"/>
    </x:row>
    <x:row r="113" ht="15.75" customHeight="1">
      <x:c r="A113" s="62"/>
      <x:c r="B113"/>
      <x:c r="C113"/>
      <x:c r="D113"/>
      <x:c r="E113"/>
      <x:c r="F113"/>
      <x:c r="G113"/>
      <x:c r="H113"/>
      <x:c r="I113"/>
      <x:c r="J113"/>
      <x:c r="K113"/>
      <x:c r="L113"/>
      <x:c r="M113"/>
    </x:row>
    <x:row r="114" ht="15.75" customHeight="1">
      <x:c r="A114" s="62"/>
      <x:c r="B114"/>
      <x:c r="C114"/>
      <x:c r="D114"/>
      <x:c r="E114"/>
      <x:c r="F114"/>
      <x:c r="G114"/>
      <x:c r="H114"/>
      <x:c r="I114"/>
      <x:c r="J114"/>
      <x:c r="K114"/>
      <x:c r="L114"/>
      <x:c r="M114"/>
    </x:row>
    <x:row r="115" ht="15.75" customHeight="1">
      <x:c r="A115" s="62"/>
      <x:c r="B115"/>
      <x:c r="C115"/>
      <x:c r="D115"/>
      <x:c r="E115"/>
      <x:c r="F115"/>
      <x:c r="G115"/>
      <x:c r="H115"/>
      <x:c r="I115"/>
      <x:c r="J115"/>
      <x:c r="K115"/>
      <x:c r="L115"/>
      <x:c r="M115"/>
    </x:row>
    <x:row r="116" ht="15.75" customHeight="1">
      <x:c r="A116" s="62"/>
      <x:c r="B116"/>
      <x:c r="C116"/>
      <x:c r="D116"/>
      <x:c r="E116"/>
      <x:c r="F116"/>
      <x:c r="G116"/>
      <x:c r="H116"/>
      <x:c r="I116"/>
      <x:c r="J116"/>
      <x:c r="K116"/>
      <x:c r="L116"/>
      <x:c r="M116"/>
    </x:row>
    <x:row r="117" ht="15.75" customHeight="1">
      <x:c r="A117" s="62"/>
      <x:c r="B117"/>
      <x:c r="C117"/>
      <x:c r="D117"/>
      <x:c r="E117"/>
      <x:c r="F117"/>
      <x:c r="G117"/>
      <x:c r="H117"/>
      <x:c r="I117"/>
      <x:c r="J117"/>
      <x:c r="K117"/>
      <x:c r="L117"/>
      <x:c r="M117"/>
    </x:row>
    <x:row r="118" ht="15.75" customHeight="1">
      <x:c r="A118" s="62"/>
      <x:c r="B118"/>
      <x:c r="C118"/>
      <x:c r="D118"/>
      <x:c r="E118"/>
      <x:c r="F118"/>
      <x:c r="G118"/>
      <x:c r="H118"/>
      <x:c r="I118"/>
      <x:c r="J118"/>
      <x:c r="K118"/>
      <x:c r="L118"/>
      <x:c r="M118"/>
    </x:row>
    <x:row r="119" ht="15.75" customHeight="1">
      <x:c r="A119" s="62"/>
      <x:c r="B119"/>
      <x:c r="C119"/>
      <x:c r="D119"/>
      <x:c r="E119"/>
      <x:c r="F119"/>
      <x:c r="G119"/>
      <x:c r="H119"/>
      <x:c r="I119"/>
      <x:c r="J119"/>
      <x:c r="K119"/>
      <x:c r="L119"/>
      <x:c r="M119"/>
    </x:row>
    <x:row r="120" ht="15.75" customHeight="1">
      <x:c r="A120" s="62"/>
      <x:c r="B120"/>
      <x:c r="C120"/>
      <x:c r="D120"/>
      <x:c r="E120"/>
      <x:c r="F120"/>
      <x:c r="G120"/>
      <x:c r="H120"/>
      <x:c r="I120"/>
      <x:c r="J120"/>
      <x:c r="K120"/>
      <x:c r="L120"/>
      <x:c r="M120"/>
    </x:row>
    <x:row r="121" ht="15.75" customHeight="1">
      <x:c r="A121" s="62"/>
      <x:c r="B121"/>
      <x:c r="C121"/>
      <x:c r="D121"/>
      <x:c r="E121"/>
      <x:c r="F121"/>
      <x:c r="G121"/>
      <x:c r="H121"/>
      <x:c r="I121"/>
      <x:c r="J121"/>
      <x:c r="K121"/>
      <x:c r="L121"/>
      <x:c r="M121"/>
    </x:row>
    <x:row r="122" ht="15.75" customHeight="1">
      <x:c r="A122" s="62"/>
      <x:c r="B122"/>
      <x:c r="C122"/>
      <x:c r="D122"/>
      <x:c r="E122"/>
      <x:c r="F122"/>
      <x:c r="G122"/>
      <x:c r="H122"/>
      <x:c r="I122"/>
      <x:c r="J122"/>
      <x:c r="K122"/>
      <x:c r="L122"/>
      <x:c r="M122"/>
    </x:row>
    <x:row r="123" ht="15.75" customHeight="1">
      <x:c r="A123" s="62"/>
      <x:c r="B123"/>
      <x:c r="C123"/>
      <x:c r="D123"/>
      <x:c r="E123"/>
      <x:c r="F123"/>
      <x:c r="G123"/>
      <x:c r="H123"/>
      <x:c r="I123"/>
      <x:c r="J123"/>
      <x:c r="K123"/>
      <x:c r="L123"/>
      <x:c r="M123"/>
    </x:row>
    <x:row r="124" ht="15.75" customHeight="1">
      <x:c r="A124" s="62"/>
      <x:c r="B124"/>
      <x:c r="C124"/>
      <x:c r="D124"/>
      <x:c r="E124"/>
      <x:c r="F124"/>
      <x:c r="G124"/>
      <x:c r="H124"/>
      <x:c r="I124"/>
      <x:c r="J124"/>
      <x:c r="K124"/>
      <x:c r="L124"/>
      <x:c r="M124"/>
    </x:row>
    <x:row r="125" ht="15.75" customHeight="1">
      <x:c r="A125" s="62"/>
      <x:c r="B125"/>
      <x:c r="C125"/>
      <x:c r="D125"/>
      <x:c r="E125"/>
      <x:c r="F125"/>
      <x:c r="G125"/>
      <x:c r="H125"/>
      <x:c r="I125"/>
      <x:c r="J125"/>
      <x:c r="K125"/>
      <x:c r="L125"/>
      <x:c r="M125"/>
    </x:row>
    <x:row r="126" ht="15.75" customHeight="1">
      <x:c r="A126" s="62"/>
      <x:c r="B126"/>
      <x:c r="C126"/>
      <x:c r="D126"/>
      <x:c r="E126"/>
      <x:c r="F126"/>
      <x:c r="G126"/>
      <x:c r="H126"/>
      <x:c r="I126"/>
      <x:c r="J126"/>
      <x:c r="K126"/>
      <x:c r="L126"/>
      <x:c r="M126"/>
    </x:row>
    <x:row r="127" ht="15.75" customHeight="1">
      <x:c r="A127" s="62"/>
      <x:c r="B127"/>
      <x:c r="C127"/>
      <x:c r="D127"/>
      <x:c r="E127"/>
      <x:c r="F127"/>
      <x:c r="G127"/>
      <x:c r="H127"/>
      <x:c r="I127"/>
      <x:c r="J127"/>
      <x:c r="K127"/>
      <x:c r="L127"/>
      <x:c r="M127"/>
    </x:row>
    <x:row r="128" ht="15.75" customHeight="1">
      <x:c r="A128" s="62"/>
      <x:c r="B128"/>
      <x:c r="C128"/>
      <x:c r="D128"/>
      <x:c r="E128"/>
      <x:c r="F128"/>
      <x:c r="G128"/>
      <x:c r="H128"/>
      <x:c r="I128"/>
      <x:c r="J128"/>
      <x:c r="K128"/>
      <x:c r="L128"/>
      <x:c r="M128"/>
    </x:row>
    <x:row r="129" ht="15.75" customHeight="1">
      <x:c r="A129" s="62"/>
      <x:c r="B129"/>
      <x:c r="C129"/>
      <x:c r="D129"/>
      <x:c r="E129"/>
      <x:c r="F129"/>
      <x:c r="G129"/>
      <x:c r="H129"/>
      <x:c r="I129"/>
      <x:c r="J129"/>
      <x:c r="K129"/>
      <x:c r="L129"/>
      <x:c r="M129"/>
    </x:row>
    <x:row r="130" ht="15.75" customHeight="1">
      <x:c r="A130" s="62"/>
      <x:c r="B130"/>
      <x:c r="C130"/>
      <x:c r="D130"/>
      <x:c r="E130"/>
      <x:c r="F130"/>
      <x:c r="G130"/>
      <x:c r="H130"/>
      <x:c r="I130"/>
      <x:c r="J130"/>
      <x:c r="K130"/>
      <x:c r="L130"/>
      <x:c r="M130"/>
    </x:row>
    <x:row r="131" ht="15.75" customHeight="1">
      <x:c r="A131" s="62"/>
      <x:c r="B131"/>
      <x:c r="C131"/>
      <x:c r="D131"/>
      <x:c r="E131"/>
      <x:c r="F131"/>
      <x:c r="G131"/>
      <x:c r="H131"/>
      <x:c r="I131"/>
      <x:c r="J131"/>
      <x:c r="K131"/>
      <x:c r="L131"/>
      <x:c r="M131"/>
    </x:row>
    <x:row r="132" ht="15.75" customHeight="1">
      <x:c r="A132" s="62"/>
      <x:c r="B132"/>
      <x:c r="C132"/>
      <x:c r="D132"/>
      <x:c r="E132"/>
      <x:c r="F132"/>
      <x:c r="G132"/>
      <x:c r="H132"/>
      <x:c r="I132"/>
      <x:c r="J132"/>
      <x:c r="K132"/>
      <x:c r="L132"/>
      <x:c r="M132"/>
    </x:row>
    <x:row r="133" ht="15.75" customHeight="1">
      <x:c r="A133" s="62"/>
      <x:c r="B133"/>
      <x:c r="C133"/>
      <x:c r="D133"/>
      <x:c r="E133"/>
      <x:c r="F133"/>
      <x:c r="G133"/>
      <x:c r="H133"/>
      <x:c r="I133"/>
      <x:c r="J133"/>
      <x:c r="K133"/>
      <x:c r="L133"/>
      <x:c r="M133"/>
    </x:row>
    <x:row r="134" ht="15.75" customHeight="1">
      <x:c r="A134" s="62"/>
      <x:c r="B134"/>
      <x:c r="C134"/>
      <x:c r="D134"/>
      <x:c r="E134"/>
      <x:c r="F134"/>
      <x:c r="G134"/>
      <x:c r="H134"/>
      <x:c r="I134"/>
      <x:c r="J134"/>
      <x:c r="K134"/>
      <x:c r="L134"/>
      <x:c r="M134"/>
    </x:row>
    <x:row r="135" ht="15.75" customHeight="1">
      <x:c r="A135" s="62"/>
      <x:c r="B135"/>
      <x:c r="C135"/>
      <x:c r="D135"/>
      <x:c r="E135"/>
      <x:c r="F135"/>
      <x:c r="G135"/>
      <x:c r="H135"/>
      <x:c r="I135"/>
      <x:c r="J135"/>
      <x:c r="K135"/>
      <x:c r="L135"/>
      <x:c r="M135"/>
    </x:row>
    <x:row r="136" ht="15.75" customHeight="1">
      <x:c r="A136" s="62"/>
      <x:c r="B136"/>
      <x:c r="C136"/>
      <x:c r="D136"/>
      <x:c r="E136"/>
      <x:c r="F136"/>
      <x:c r="G136"/>
      <x:c r="H136"/>
      <x:c r="I136"/>
      <x:c r="J136"/>
      <x:c r="K136"/>
      <x:c r="L136"/>
      <x:c r="M136"/>
    </x:row>
    <x:row r="137" ht="15.75" customHeight="1">
      <x:c r="A137" s="62"/>
      <x:c r="B137"/>
      <x:c r="C137"/>
      <x:c r="D137"/>
      <x:c r="E137"/>
      <x:c r="F137"/>
      <x:c r="G137"/>
      <x:c r="H137"/>
      <x:c r="I137"/>
      <x:c r="J137"/>
      <x:c r="K137"/>
      <x:c r="L137"/>
      <x:c r="M137"/>
    </x:row>
    <x:row r="138" ht="15.75" customHeight="1">
      <x:c r="A138" s="62"/>
      <x:c r="B138"/>
      <x:c r="C138"/>
      <x:c r="D138"/>
      <x:c r="E138"/>
      <x:c r="F138"/>
      <x:c r="G138"/>
      <x:c r="H138"/>
      <x:c r="I138"/>
      <x:c r="J138"/>
      <x:c r="K138"/>
      <x:c r="L138"/>
      <x:c r="M138"/>
    </x:row>
    <x:row r="139" ht="15.75" customHeight="1">
      <x:c r="A139" s="62"/>
      <x:c r="B139"/>
      <x:c r="C139"/>
      <x:c r="D139"/>
      <x:c r="E139"/>
      <x:c r="F139"/>
      <x:c r="G139"/>
      <x:c r="H139"/>
      <x:c r="I139"/>
      <x:c r="J139"/>
      <x:c r="K139"/>
      <x:c r="L139"/>
      <x:c r="M139"/>
    </x:row>
    <x:row r="140" ht="15.75" customHeight="1">
      <x:c r="A140" s="62"/>
      <x:c r="B140"/>
      <x:c r="C140"/>
      <x:c r="D140"/>
      <x:c r="E140"/>
      <x:c r="F140"/>
      <x:c r="G140"/>
      <x:c r="H140"/>
      <x:c r="I140"/>
      <x:c r="J140"/>
      <x:c r="K140"/>
      <x:c r="L140"/>
      <x:c r="M140"/>
    </x:row>
    <x:row r="141" ht="15.75" customHeight="1">
      <x:c r="A141" s="62"/>
      <x:c r="B141"/>
      <x:c r="C141"/>
      <x:c r="D141"/>
      <x:c r="E141"/>
      <x:c r="F141"/>
      <x:c r="G141"/>
      <x:c r="H141"/>
      <x:c r="I141"/>
      <x:c r="J141"/>
      <x:c r="K141"/>
      <x:c r="L141"/>
      <x:c r="M141"/>
    </x:row>
    <x:row r="142" ht="15.75" customHeight="1">
      <x:c r="A142" s="62"/>
      <x:c r="B142"/>
      <x:c r="C142"/>
      <x:c r="D142"/>
      <x:c r="E142"/>
      <x:c r="F142"/>
      <x:c r="G142"/>
      <x:c r="H142"/>
      <x:c r="I142"/>
      <x:c r="J142"/>
      <x:c r="K142"/>
      <x:c r="L142"/>
      <x:c r="M142"/>
    </x:row>
    <x:row r="143" ht="15.75" customHeight="1">
      <x:c r="A143" s="62"/>
      <x:c r="B143"/>
      <x:c r="C143"/>
      <x:c r="D143"/>
      <x:c r="E143"/>
      <x:c r="F143"/>
      <x:c r="G143"/>
      <x:c r="H143"/>
      <x:c r="I143"/>
      <x:c r="J143"/>
      <x:c r="K143"/>
      <x:c r="L143"/>
      <x:c r="M143"/>
    </x:row>
    <x:row r="144" ht="15.75" customHeight="1">
      <x:c r="A144" s="62"/>
      <x:c r="B144"/>
      <x:c r="C144"/>
      <x:c r="D144"/>
      <x:c r="E144"/>
      <x:c r="F144"/>
      <x:c r="G144"/>
      <x:c r="H144"/>
      <x:c r="I144"/>
      <x:c r="J144"/>
      <x:c r="K144"/>
      <x:c r="L144"/>
      <x:c r="M144"/>
    </x:row>
    <x:row r="145" ht="15.75" customHeight="1">
      <x:c r="A145" s="62"/>
      <x:c r="B145"/>
      <x:c r="C145"/>
      <x:c r="D145"/>
      <x:c r="E145"/>
      <x:c r="F145"/>
      <x:c r="G145"/>
      <x:c r="H145"/>
      <x:c r="I145"/>
      <x:c r="J145"/>
      <x:c r="K145"/>
      <x:c r="L145"/>
      <x:c r="M145"/>
    </x:row>
    <x:row r="146" ht="15.75" customHeight="1">
      <x:c r="A146" s="62"/>
      <x:c r="B146"/>
      <x:c r="C146"/>
      <x:c r="D146"/>
      <x:c r="E146"/>
      <x:c r="F146"/>
      <x:c r="G146"/>
      <x:c r="H146"/>
      <x:c r="I146"/>
      <x:c r="J146"/>
      <x:c r="K146"/>
      <x:c r="L146"/>
      <x:c r="M146"/>
    </x:row>
    <x:row r="147" ht="15.75" customHeight="1">
      <x:c r="A147" s="62"/>
      <x:c r="B147"/>
      <x:c r="C147"/>
      <x:c r="D147"/>
      <x:c r="E147"/>
      <x:c r="F147"/>
      <x:c r="G147"/>
      <x:c r="H147"/>
      <x:c r="I147"/>
      <x:c r="J147"/>
      <x:c r="K147"/>
      <x:c r="L147"/>
      <x:c r="M147"/>
    </x:row>
    <x:row r="148" ht="15.75" customHeight="1">
      <x:c r="A148" s="62"/>
      <x:c r="B148"/>
      <x:c r="C148"/>
      <x:c r="D148"/>
      <x:c r="E148"/>
      <x:c r="F148"/>
      <x:c r="G148"/>
      <x:c r="H148"/>
      <x:c r="I148"/>
      <x:c r="J148"/>
      <x:c r="K148"/>
      <x:c r="L148"/>
      <x:c r="M148"/>
    </x:row>
    <x:row r="149" ht="15.75" customHeight="1">
      <x:c r="A149" s="62"/>
      <x:c r="B149"/>
      <x:c r="C149"/>
      <x:c r="D149"/>
      <x:c r="E149"/>
      <x:c r="F149"/>
      <x:c r="G149"/>
      <x:c r="H149"/>
      <x:c r="I149"/>
      <x:c r="J149"/>
      <x:c r="K149"/>
      <x:c r="L149"/>
      <x:c r="M149"/>
    </x:row>
    <x:row r="150" ht="15.75" customHeight="1">
      <x:c r="A150" s="62"/>
      <x:c r="B150"/>
      <x:c r="C150"/>
      <x:c r="D150"/>
      <x:c r="E150"/>
      <x:c r="F150"/>
      <x:c r="G150"/>
      <x:c r="H150"/>
      <x:c r="I150"/>
      <x:c r="J150"/>
      <x:c r="K150"/>
      <x:c r="L150"/>
      <x:c r="M150"/>
    </x:row>
    <x:row r="151" ht="15.75" customHeight="1">
      <x:c r="A151" s="62"/>
      <x:c r="B151"/>
      <x:c r="C151"/>
      <x:c r="D151"/>
      <x:c r="E151"/>
      <x:c r="F151"/>
      <x:c r="G151"/>
      <x:c r="H151"/>
      <x:c r="I151"/>
      <x:c r="J151"/>
      <x:c r="K151"/>
      <x:c r="L151"/>
      <x:c r="M151"/>
    </x:row>
    <x:row r="152" ht="15.75" customHeight="1">
      <x:c r="A152" s="62"/>
      <x:c r="B152"/>
      <x:c r="C152"/>
      <x:c r="D152"/>
      <x:c r="E152"/>
      <x:c r="F152"/>
      <x:c r="G152"/>
      <x:c r="H152"/>
      <x:c r="I152"/>
      <x:c r="J152"/>
      <x:c r="K152"/>
      <x:c r="L152"/>
      <x:c r="M152"/>
    </x:row>
    <x:row r="153" ht="15.75" customHeight="1">
      <x:c r="A153" s="62"/>
      <x:c r="B153"/>
      <x:c r="C153"/>
      <x:c r="D153"/>
      <x:c r="E153"/>
      <x:c r="F153"/>
      <x:c r="G153"/>
      <x:c r="H153"/>
      <x:c r="I153"/>
      <x:c r="J153"/>
      <x:c r="K153"/>
      <x:c r="L153"/>
      <x:c r="M153"/>
    </x:row>
    <x:row r="154" ht="15.75" customHeight="1">
      <x:c r="A154" s="62"/>
      <x:c r="B154"/>
      <x:c r="C154"/>
      <x:c r="D154"/>
      <x:c r="E154"/>
      <x:c r="F154"/>
      <x:c r="G154"/>
      <x:c r="H154"/>
      <x:c r="I154"/>
      <x:c r="J154"/>
      <x:c r="K154"/>
      <x:c r="L154"/>
      <x:c r="M154"/>
    </x:row>
    <x:row r="155" ht="15.75" customHeight="1">
      <x:c r="A155" s="62"/>
      <x:c r="B155"/>
      <x:c r="C155"/>
      <x:c r="D155"/>
      <x:c r="E155"/>
      <x:c r="F155"/>
      <x:c r="G155"/>
      <x:c r="H155"/>
      <x:c r="I155"/>
      <x:c r="J155"/>
      <x:c r="K155"/>
      <x:c r="L155"/>
      <x:c r="M155"/>
    </x:row>
    <x:row r="156" ht="15.75" customHeight="1">
      <x:c r="A156" s="62"/>
      <x:c r="B156"/>
      <x:c r="C156"/>
      <x:c r="D156"/>
      <x:c r="E156"/>
      <x:c r="F156"/>
      <x:c r="G156"/>
      <x:c r="H156"/>
      <x:c r="I156"/>
      <x:c r="J156"/>
      <x:c r="K156"/>
      <x:c r="L156"/>
      <x:c r="M156"/>
    </x:row>
    <x:row r="157" ht="15.75" customHeight="1">
      <x:c r="A157" s="62"/>
      <x:c r="B157"/>
      <x:c r="C157"/>
      <x:c r="D157"/>
      <x:c r="E157"/>
      <x:c r="F157"/>
      <x:c r="G157"/>
      <x:c r="H157"/>
      <x:c r="I157"/>
      <x:c r="J157"/>
      <x:c r="K157"/>
      <x:c r="L157"/>
      <x:c r="M157"/>
    </x:row>
    <x:row r="158" ht="15.75" customHeight="1">
      <x:c r="A158" s="62"/>
      <x:c r="B158"/>
      <x:c r="C158"/>
      <x:c r="D158"/>
      <x:c r="E158"/>
      <x:c r="F158"/>
      <x:c r="G158"/>
      <x:c r="H158"/>
      <x:c r="I158"/>
      <x:c r="J158"/>
      <x:c r="K158"/>
      <x:c r="L158"/>
      <x:c r="M158"/>
    </x:row>
    <x:row r="159" ht="15.75" customHeight="1">
      <x:c r="A159" s="62"/>
      <x:c r="B159"/>
      <x:c r="C159"/>
      <x:c r="D159"/>
      <x:c r="E159"/>
      <x:c r="F159"/>
      <x:c r="G159"/>
      <x:c r="H159"/>
      <x:c r="I159"/>
      <x:c r="J159"/>
      <x:c r="K159"/>
      <x:c r="L159"/>
      <x:c r="M159"/>
    </x:row>
    <x:row r="160" ht="15.75" customHeight="1">
      <x:c r="A160" s="62"/>
      <x:c r="B160"/>
      <x:c r="C160"/>
      <x:c r="D160"/>
      <x:c r="E160"/>
      <x:c r="F160"/>
      <x:c r="G160"/>
      <x:c r="H160"/>
      <x:c r="I160"/>
      <x:c r="J160"/>
      <x:c r="K160"/>
      <x:c r="L160"/>
      <x:c r="M160"/>
    </x:row>
    <x:row r="161" ht="15.75" customHeight="1">
      <x:c r="A161" s="62"/>
      <x:c r="B161"/>
      <x:c r="C161"/>
      <x:c r="D161"/>
      <x:c r="E161"/>
      <x:c r="F161"/>
      <x:c r="G161"/>
      <x:c r="H161"/>
      <x:c r="I161"/>
      <x:c r="J161"/>
      <x:c r="K161"/>
      <x:c r="L161"/>
      <x:c r="M161"/>
    </x:row>
    <x:row r="162" ht="15.75" customHeight="1">
      <x:c r="A162" s="62"/>
      <x:c r="B162"/>
      <x:c r="C162"/>
      <x:c r="D162"/>
      <x:c r="E162"/>
      <x:c r="F162"/>
      <x:c r="G162"/>
      <x:c r="H162"/>
      <x:c r="I162"/>
      <x:c r="J162"/>
      <x:c r="K162"/>
      <x:c r="L162"/>
      <x:c r="M162"/>
    </x:row>
    <x:row r="163" ht="15.75" customHeight="1">
      <x:c r="A163" s="62"/>
      <x:c r="B163"/>
      <x:c r="C163"/>
      <x:c r="D163"/>
      <x:c r="E163"/>
      <x:c r="F163"/>
      <x:c r="G163"/>
      <x:c r="H163"/>
      <x:c r="I163"/>
      <x:c r="J163"/>
      <x:c r="K163"/>
      <x:c r="L163"/>
      <x:c r="M163"/>
    </x:row>
    <x:row r="164" ht="15.75" customHeight="1">
      <x:c r="A164" s="62"/>
      <x:c r="B164"/>
      <x:c r="C164"/>
      <x:c r="D164"/>
      <x:c r="E164"/>
      <x:c r="F164"/>
      <x:c r="G164"/>
      <x:c r="H164"/>
      <x:c r="I164"/>
      <x:c r="J164"/>
      <x:c r="K164"/>
      <x:c r="L164"/>
      <x:c r="M164"/>
    </x:row>
    <x:row r="165" ht="15.75" customHeight="1">
      <x:c r="A165" s="62"/>
      <x:c r="B165"/>
      <x:c r="C165"/>
      <x:c r="D165"/>
      <x:c r="E165"/>
      <x:c r="F165"/>
      <x:c r="G165"/>
      <x:c r="H165"/>
      <x:c r="I165"/>
      <x:c r="J165"/>
      <x:c r="K165"/>
      <x:c r="L165"/>
      <x:c r="M165"/>
    </x:row>
    <x:row r="166" ht="15.75" customHeight="1">
      <x:c r="A166" s="62"/>
      <x:c r="B166"/>
      <x:c r="C166"/>
      <x:c r="D166"/>
      <x:c r="E166"/>
      <x:c r="F166"/>
      <x:c r="G166"/>
      <x:c r="H166"/>
      <x:c r="I166"/>
      <x:c r="J166"/>
      <x:c r="K166"/>
      <x:c r="L166"/>
      <x:c r="M166"/>
    </x:row>
    <x:row r="167" ht="15.75" customHeight="1">
      <x:c r="A167" s="62"/>
      <x:c r="B167"/>
      <x:c r="C167"/>
      <x:c r="D167"/>
      <x:c r="E167"/>
      <x:c r="F167"/>
      <x:c r="G167"/>
      <x:c r="H167"/>
      <x:c r="I167"/>
      <x:c r="J167"/>
      <x:c r="K167"/>
      <x:c r="L167"/>
      <x:c r="M167"/>
    </x:row>
    <x:row r="168" ht="15.75" customHeight="1">
      <x:c r="A168" s="62"/>
      <x:c r="B168"/>
      <x:c r="C168"/>
      <x:c r="D168"/>
      <x:c r="E168"/>
      <x:c r="F168"/>
      <x:c r="G168"/>
      <x:c r="H168"/>
      <x:c r="I168"/>
      <x:c r="J168"/>
      <x:c r="K168"/>
      <x:c r="L168"/>
      <x:c r="M168"/>
    </x:row>
    <x:row r="169" ht="15.75" customHeight="1">
      <x:c r="A169" s="62"/>
      <x:c r="B169"/>
      <x:c r="C169"/>
      <x:c r="D169"/>
      <x:c r="E169"/>
      <x:c r="F169"/>
      <x:c r="G169"/>
      <x:c r="H169"/>
      <x:c r="I169"/>
      <x:c r="J169"/>
      <x:c r="K169"/>
      <x:c r="L169"/>
      <x:c r="M169"/>
    </x:row>
    <x:row r="170" ht="15.75" customHeight="1">
      <x:c r="A170" s="62"/>
      <x:c r="B170"/>
      <x:c r="C170"/>
      <x:c r="D170"/>
      <x:c r="E170"/>
      <x:c r="F170"/>
      <x:c r="G170"/>
      <x:c r="H170"/>
      <x:c r="I170"/>
      <x:c r="J170"/>
      <x:c r="K170"/>
      <x:c r="L170"/>
      <x:c r="M170"/>
    </x:row>
    <x:row r="171" ht="15.75" customHeight="1">
      <x:c r="A171" s="62"/>
      <x:c r="B171"/>
      <x:c r="C171"/>
      <x:c r="D171"/>
      <x:c r="E171"/>
      <x:c r="F171"/>
      <x:c r="G171"/>
      <x:c r="H171"/>
      <x:c r="I171"/>
      <x:c r="J171"/>
      <x:c r="K171"/>
      <x:c r="L171"/>
      <x:c r="M171"/>
    </x:row>
    <x:row r="172" ht="15.75" customHeight="1">
      <x:c r="A172" s="62"/>
      <x:c r="B172"/>
      <x:c r="C172"/>
      <x:c r="D172"/>
      <x:c r="E172"/>
      <x:c r="F172"/>
      <x:c r="G172"/>
      <x:c r="H172"/>
      <x:c r="I172"/>
      <x:c r="J172"/>
      <x:c r="K172"/>
      <x:c r="L172"/>
      <x:c r="M172"/>
    </x:row>
    <x:row r="173" ht="15.75" customHeight="1">
      <x:c r="A173" s="62"/>
      <x:c r="B173"/>
      <x:c r="C173"/>
      <x:c r="D173"/>
      <x:c r="E173"/>
      <x:c r="F173"/>
      <x:c r="G173"/>
      <x:c r="H173"/>
      <x:c r="I173"/>
      <x:c r="J173"/>
      <x:c r="K173"/>
      <x:c r="L173"/>
      <x:c r="M173"/>
    </x:row>
    <x:row r="174" ht="15.75" customHeight="1">
      <x:c r="A174" s="62"/>
      <x:c r="B174"/>
      <x:c r="C174"/>
      <x:c r="D174"/>
      <x:c r="E174"/>
      <x:c r="F174"/>
      <x:c r="G174"/>
      <x:c r="H174"/>
      <x:c r="I174"/>
      <x:c r="J174"/>
      <x:c r="K174"/>
      <x:c r="L174"/>
      <x:c r="M174"/>
    </x:row>
    <x:row r="175" ht="15.75" customHeight="1">
      <x:c r="A175" s="62"/>
      <x:c r="B175"/>
      <x:c r="C175"/>
      <x:c r="D175"/>
      <x:c r="E175"/>
      <x:c r="F175"/>
      <x:c r="G175"/>
      <x:c r="H175"/>
      <x:c r="I175"/>
      <x:c r="J175"/>
      <x:c r="K175"/>
      <x:c r="L175"/>
      <x:c r="M175"/>
    </x:row>
    <x:row r="176" ht="15.75" customHeight="1">
      <x:c r="A176" s="62"/>
      <x:c r="B176"/>
      <x:c r="C176"/>
      <x:c r="D176"/>
      <x:c r="E176"/>
      <x:c r="F176"/>
      <x:c r="G176"/>
      <x:c r="H176"/>
      <x:c r="I176"/>
      <x:c r="J176"/>
      <x:c r="K176"/>
      <x:c r="L176"/>
      <x:c r="M176"/>
    </x:row>
    <x:row r="177" ht="15.75" customHeight="1">
      <x:c r="A177" s="62"/>
      <x:c r="B177"/>
      <x:c r="C177"/>
      <x:c r="D177"/>
      <x:c r="E177"/>
      <x:c r="F177"/>
      <x:c r="G177"/>
      <x:c r="H177"/>
      <x:c r="I177"/>
      <x:c r="J177"/>
      <x:c r="K177"/>
      <x:c r="L177"/>
      <x:c r="M177"/>
    </x:row>
    <x:row r="178" ht="15.75" customHeight="1">
      <x:c r="A178" s="62"/>
      <x:c r="B178"/>
      <x:c r="C178"/>
      <x:c r="D178"/>
      <x:c r="E178"/>
      <x:c r="F178"/>
      <x:c r="G178"/>
      <x:c r="H178"/>
      <x:c r="I178"/>
      <x:c r="J178"/>
      <x:c r="K178"/>
      <x:c r="L178"/>
      <x:c r="M178"/>
    </x:row>
    <x:row r="179" ht="15.75" customHeight="1">
      <x:c r="A179" s="62"/>
      <x:c r="B179"/>
      <x:c r="C179"/>
      <x:c r="D179"/>
      <x:c r="E179"/>
      <x:c r="F179"/>
      <x:c r="G179"/>
      <x:c r="H179"/>
      <x:c r="I179"/>
      <x:c r="J179"/>
      <x:c r="K179"/>
      <x:c r="L179"/>
      <x:c r="M179"/>
    </x:row>
    <x:row r="180" ht="15.75" customHeight="1">
      <x:c r="A180" s="62"/>
      <x:c r="B180"/>
      <x:c r="C180"/>
      <x:c r="D180"/>
      <x:c r="E180"/>
      <x:c r="F180"/>
      <x:c r="G180"/>
      <x:c r="H180"/>
      <x:c r="I180"/>
      <x:c r="J180"/>
      <x:c r="K180"/>
      <x:c r="L180"/>
      <x:c r="M180"/>
    </x:row>
    <x:row r="181" ht="15.75" customHeight="1">
      <x:c r="A181" s="62"/>
      <x:c r="B181"/>
      <x:c r="C181"/>
      <x:c r="D181"/>
      <x:c r="E181"/>
      <x:c r="F181"/>
      <x:c r="G181"/>
      <x:c r="H181"/>
      <x:c r="I181"/>
      <x:c r="J181"/>
      <x:c r="K181"/>
      <x:c r="L181"/>
      <x:c r="M181"/>
    </x:row>
    <x:row r="182" ht="15.75" customHeight="1">
      <x:c r="A182" s="62"/>
      <x:c r="B182"/>
      <x:c r="C182"/>
      <x:c r="D182"/>
      <x:c r="E182"/>
      <x:c r="F182"/>
      <x:c r="G182"/>
      <x:c r="H182"/>
      <x:c r="I182"/>
      <x:c r="J182"/>
      <x:c r="K182"/>
      <x:c r="L182"/>
      <x:c r="M182"/>
    </x:row>
    <x:row r="183" ht="15.75" customHeight="1">
      <x:c r="A183" s="62"/>
      <x:c r="B183"/>
      <x:c r="C183"/>
      <x:c r="D183"/>
      <x:c r="E183"/>
      <x:c r="F183"/>
      <x:c r="G183"/>
      <x:c r="H183"/>
      <x:c r="I183"/>
      <x:c r="J183"/>
      <x:c r="K183"/>
      <x:c r="L183"/>
      <x:c r="M183"/>
    </x:row>
    <x:row r="184" ht="15.75" customHeight="1">
      <x:c r="A184" s="62"/>
      <x:c r="B184"/>
      <x:c r="C184"/>
      <x:c r="D184"/>
      <x:c r="E184"/>
      <x:c r="F184"/>
      <x:c r="G184"/>
      <x:c r="H184"/>
      <x:c r="I184"/>
      <x:c r="J184"/>
      <x:c r="K184"/>
      <x:c r="L184"/>
      <x:c r="M184"/>
    </x:row>
    <x:row r="185" ht="15.75" customHeight="1">
      <x:c r="A185" s="62"/>
      <x:c r="B185"/>
      <x:c r="C185"/>
      <x:c r="D185"/>
      <x:c r="E185"/>
      <x:c r="F185"/>
      <x:c r="G185"/>
      <x:c r="H185"/>
      <x:c r="I185"/>
      <x:c r="J185"/>
      <x:c r="K185"/>
      <x:c r="L185"/>
      <x:c r="M185"/>
    </x:row>
    <x:row r="186" ht="15.75" customHeight="1">
      <x:c r="A186" s="62"/>
      <x:c r="B186"/>
      <x:c r="C186"/>
      <x:c r="D186"/>
      <x:c r="E186"/>
      <x:c r="F186"/>
      <x:c r="G186"/>
      <x:c r="H186"/>
      <x:c r="I186"/>
      <x:c r="J186"/>
      <x:c r="K186"/>
      <x:c r="L186"/>
      <x:c r="M186"/>
    </x:row>
    <x:row r="187" ht="15.75" customHeight="1">
      <x:c r="A187" s="62"/>
      <x:c r="B187"/>
      <x:c r="C187"/>
      <x:c r="D187"/>
      <x:c r="E187"/>
      <x:c r="F187"/>
      <x:c r="G187"/>
      <x:c r="H187"/>
      <x:c r="I187"/>
      <x:c r="J187"/>
      <x:c r="K187"/>
      <x:c r="L187"/>
      <x:c r="M187"/>
    </x:row>
    <x:row r="188" ht="15.75" customHeight="1">
      <x:c r="A188" s="62"/>
      <x:c r="B188"/>
      <x:c r="C188"/>
      <x:c r="D188"/>
      <x:c r="E188"/>
      <x:c r="F188"/>
      <x:c r="G188"/>
      <x:c r="H188"/>
      <x:c r="I188"/>
      <x:c r="J188"/>
      <x:c r="K188"/>
      <x:c r="L188"/>
      <x:c r="M188"/>
    </x:row>
    <x:row r="189" ht="15.75" customHeight="1">
      <x:c r="A189" s="62"/>
      <x:c r="B189"/>
      <x:c r="C189"/>
      <x:c r="D189"/>
      <x:c r="E189"/>
      <x:c r="F189"/>
      <x:c r="G189"/>
      <x:c r="H189"/>
      <x:c r="I189"/>
      <x:c r="J189"/>
      <x:c r="K189"/>
      <x:c r="L189"/>
      <x:c r="M189"/>
    </x:row>
    <x:row r="190" ht="15.75" customHeight="1">
      <x:c r="A190" s="62"/>
      <x:c r="B190"/>
      <x:c r="C190"/>
      <x:c r="D190"/>
      <x:c r="E190"/>
      <x:c r="F190"/>
      <x:c r="G190"/>
      <x:c r="H190"/>
      <x:c r="I190"/>
      <x:c r="J190"/>
      <x:c r="K190"/>
      <x:c r="L190"/>
      <x:c r="M190"/>
    </x:row>
    <x:row r="191" ht="15.75" customHeight="1">
      <x:c r="A191" s="62"/>
      <x:c r="B191"/>
      <x:c r="C191"/>
      <x:c r="D191"/>
      <x:c r="E191"/>
      <x:c r="F191"/>
      <x:c r="G191"/>
      <x:c r="H191"/>
      <x:c r="I191"/>
      <x:c r="J191"/>
      <x:c r="K191"/>
      <x:c r="L191"/>
      <x:c r="M191"/>
    </x:row>
    <x:row r="192" ht="15.75" customHeight="1">
      <x:c r="A192" s="62"/>
      <x:c r="B192"/>
      <x:c r="C192"/>
      <x:c r="D192"/>
      <x:c r="E192"/>
      <x:c r="F192"/>
      <x:c r="G192"/>
      <x:c r="H192"/>
      <x:c r="I192"/>
      <x:c r="J192"/>
      <x:c r="K192"/>
      <x:c r="L192"/>
      <x:c r="M192"/>
    </x:row>
    <x:row r="193" ht="15.75" customHeight="1">
      <x:c r="A193" s="62"/>
      <x:c r="B193"/>
      <x:c r="C193"/>
      <x:c r="D193"/>
      <x:c r="E193"/>
      <x:c r="F193"/>
      <x:c r="G193"/>
      <x:c r="H193"/>
      <x:c r="I193"/>
      <x:c r="J193"/>
      <x:c r="K193"/>
      <x:c r="L193"/>
      <x:c r="M193"/>
    </x:row>
    <x:row r="194" ht="15.75" customHeight="1">
      <x:c r="A194" s="62"/>
      <x:c r="B194"/>
      <x:c r="C194"/>
      <x:c r="D194"/>
      <x:c r="E194"/>
      <x:c r="F194"/>
      <x:c r="G194"/>
      <x:c r="H194"/>
      <x:c r="I194"/>
      <x:c r="J194"/>
      <x:c r="K194"/>
      <x:c r="L194"/>
      <x:c r="M194"/>
    </x:row>
    <x:row r="195" ht="15.75" customHeight="1">
      <x:c r="A195" s="62"/>
      <x:c r="B195"/>
      <x:c r="C195"/>
      <x:c r="D195"/>
      <x:c r="E195"/>
      <x:c r="F195"/>
      <x:c r="G195"/>
      <x:c r="H195"/>
      <x:c r="I195"/>
      <x:c r="J195"/>
      <x:c r="K195"/>
      <x:c r="L195"/>
      <x:c r="M195"/>
    </x:row>
    <x:row r="196" ht="15.75" customHeight="1">
      <x:c r="A196" s="62"/>
      <x:c r="B196"/>
      <x:c r="C196"/>
      <x:c r="D196"/>
      <x:c r="E196"/>
      <x:c r="F196"/>
      <x:c r="G196"/>
      <x:c r="H196"/>
      <x:c r="I196"/>
      <x:c r="J196"/>
      <x:c r="K196"/>
      <x:c r="L196"/>
      <x:c r="M196"/>
    </x:row>
    <x:row r="197" ht="15.75" customHeight="1">
      <x:c r="A197" s="62"/>
      <x:c r="B197"/>
      <x:c r="C197"/>
      <x:c r="D197"/>
      <x:c r="E197"/>
      <x:c r="F197"/>
      <x:c r="G197"/>
      <x:c r="H197"/>
      <x:c r="I197"/>
      <x:c r="J197"/>
      <x:c r="K197"/>
      <x:c r="L197"/>
      <x:c r="M197"/>
    </x:row>
    <x:row r="198" ht="15.75" customHeight="1">
      <x:c r="A198" s="62"/>
      <x:c r="B198"/>
      <x:c r="C198"/>
      <x:c r="D198"/>
      <x:c r="E198"/>
      <x:c r="F198"/>
      <x:c r="G198"/>
      <x:c r="H198"/>
      <x:c r="I198"/>
      <x:c r="J198"/>
      <x:c r="K198"/>
      <x:c r="L198"/>
      <x:c r="M198"/>
    </x:row>
    <x:row r="199" ht="15.75" customHeight="1">
      <x:c r="A199" s="62"/>
      <x:c r="B199"/>
      <x:c r="C199"/>
      <x:c r="D199"/>
      <x:c r="E199"/>
      <x:c r="F199"/>
      <x:c r="G199"/>
      <x:c r="H199"/>
      <x:c r="I199"/>
      <x:c r="J199"/>
      <x:c r="K199"/>
      <x:c r="L199"/>
      <x:c r="M199"/>
    </x:row>
    <x:row r="200" ht="15.75" customHeight="1">
      <x:c r="A200" s="62"/>
      <x:c r="B200"/>
      <x:c r="C200"/>
      <x:c r="D200"/>
      <x:c r="E200"/>
      <x:c r="F200"/>
      <x:c r="G200"/>
      <x:c r="H200"/>
      <x:c r="I200"/>
      <x:c r="J200"/>
      <x:c r="K200"/>
      <x:c r="L200"/>
      <x:c r="M200"/>
    </x:row>
    <x:row r="201" ht="15.75" customHeight="1">
      <x:c r="A201" s="62"/>
      <x:c r="B201"/>
      <x:c r="C201"/>
      <x:c r="D201"/>
      <x:c r="E201"/>
      <x:c r="F201"/>
      <x:c r="G201"/>
      <x:c r="H201"/>
      <x:c r="I201"/>
      <x:c r="J201"/>
      <x:c r="K201"/>
      <x:c r="L201"/>
      <x:c r="M201"/>
    </x:row>
    <x:row r="202" ht="15.75" customHeight="1">
      <x:c r="A202" s="62"/>
      <x:c r="B202"/>
      <x:c r="C202"/>
      <x:c r="D202"/>
      <x:c r="E202"/>
      <x:c r="F202"/>
      <x:c r="G202"/>
      <x:c r="H202"/>
      <x:c r="I202"/>
      <x:c r="J202"/>
      <x:c r="K202"/>
      <x:c r="L202"/>
      <x:c r="M202"/>
    </x:row>
    <x:row r="203" ht="15.75" customHeight="1">
      <x:c r="A203" s="62"/>
      <x:c r="B203"/>
      <x:c r="C203"/>
      <x:c r="D203"/>
      <x:c r="E203"/>
      <x:c r="F203"/>
      <x:c r="G203"/>
      <x:c r="H203"/>
      <x:c r="I203"/>
      <x:c r="J203"/>
      <x:c r="K203"/>
      <x:c r="L203"/>
      <x:c r="M203"/>
    </x:row>
    <x:row r="204" ht="15.75" customHeight="1">
      <x:c r="A204" s="62"/>
      <x:c r="B204"/>
      <x:c r="C204"/>
      <x:c r="D204"/>
      <x:c r="E204"/>
      <x:c r="F204"/>
      <x:c r="G204"/>
      <x:c r="H204"/>
      <x:c r="I204"/>
      <x:c r="J204"/>
      <x:c r="K204"/>
      <x:c r="L204"/>
      <x:c r="M204"/>
    </x:row>
    <x:row r="205" ht="15.75" customHeight="1">
      <x:c r="A205" s="62"/>
      <x:c r="B205"/>
      <x:c r="C205"/>
      <x:c r="D205"/>
      <x:c r="E205"/>
      <x:c r="F205"/>
      <x:c r="G205"/>
      <x:c r="H205"/>
      <x:c r="I205"/>
      <x:c r="J205"/>
      <x:c r="K205"/>
      <x:c r="L205"/>
      <x:c r="M205"/>
    </x:row>
    <x:row r="206" ht="15.75" customHeight="1">
      <x:c r="A206" s="62"/>
      <x:c r="B206"/>
      <x:c r="C206"/>
      <x:c r="D206"/>
      <x:c r="E206"/>
      <x:c r="F206"/>
      <x:c r="G206"/>
      <x:c r="H206"/>
      <x:c r="I206"/>
      <x:c r="J206"/>
      <x:c r="K206"/>
      <x:c r="L206"/>
      <x:c r="M206"/>
    </x:row>
    <x:row r="207" ht="15.75" customHeight="1">
      <x:c r="A207" s="62"/>
      <x:c r="B207"/>
      <x:c r="C207"/>
      <x:c r="D207"/>
      <x:c r="E207"/>
      <x:c r="F207"/>
      <x:c r="G207"/>
      <x:c r="H207"/>
      <x:c r="I207"/>
      <x:c r="J207"/>
      <x:c r="K207"/>
      <x:c r="L207"/>
      <x:c r="M207"/>
    </x:row>
    <x:row r="208" ht="15.75" customHeight="1">
      <x:c r="A208" s="62"/>
      <x:c r="B208"/>
      <x:c r="C208"/>
      <x:c r="D208"/>
      <x:c r="E208"/>
      <x:c r="F208"/>
      <x:c r="G208"/>
      <x:c r="H208"/>
      <x:c r="I208"/>
      <x:c r="J208"/>
      <x:c r="K208"/>
      <x:c r="L208"/>
      <x:c r="M208"/>
    </x:row>
    <x:row r="209" ht="15.75" customHeight="1">
      <x:c r="A209" s="62"/>
      <x:c r="B209"/>
      <x:c r="C209"/>
      <x:c r="D209"/>
      <x:c r="E209"/>
      <x:c r="F209"/>
      <x:c r="G209"/>
      <x:c r="H209"/>
      <x:c r="I209"/>
      <x:c r="J209"/>
      <x:c r="K209"/>
      <x:c r="L209"/>
      <x:c r="M209"/>
    </x:row>
    <x:row r="210" ht="15.75" customHeight="1">
      <x:c r="A210" s="62"/>
      <x:c r="B210"/>
      <x:c r="C210"/>
      <x:c r="D210"/>
      <x:c r="E210"/>
      <x:c r="F210"/>
      <x:c r="G210"/>
      <x:c r="H210"/>
      <x:c r="I210"/>
      <x:c r="J210"/>
      <x:c r="K210"/>
      <x:c r="L210"/>
      <x:c r="M210"/>
    </x:row>
    <x:row r="211" ht="15.75" customHeight="1">
      <x:c r="A211" s="62"/>
      <x:c r="B211"/>
      <x:c r="C211"/>
      <x:c r="D211"/>
      <x:c r="E211"/>
      <x:c r="F211"/>
      <x:c r="G211"/>
      <x:c r="H211"/>
      <x:c r="I211"/>
      <x:c r="J211"/>
      <x:c r="K211"/>
      <x:c r="L211"/>
      <x:c r="M211"/>
    </x:row>
    <x:row r="212" ht="15.75" customHeight="1">
      <x:c r="A212" s="62"/>
      <x:c r="B212"/>
      <x:c r="C212"/>
      <x:c r="D212"/>
      <x:c r="E212"/>
      <x:c r="F212"/>
      <x:c r="G212"/>
      <x:c r="H212"/>
      <x:c r="I212"/>
      <x:c r="J212"/>
      <x:c r="K212"/>
      <x:c r="L212"/>
      <x:c r="M212"/>
    </x:row>
    <x:row r="213" ht="15.75" customHeight="1">
      <x:c r="A213" s="62"/>
      <x:c r="B213"/>
      <x:c r="C213"/>
      <x:c r="D213"/>
      <x:c r="E213"/>
      <x:c r="F213"/>
      <x:c r="G213"/>
      <x:c r="H213"/>
      <x:c r="I213"/>
      <x:c r="J213"/>
      <x:c r="K213"/>
      <x:c r="L213"/>
      <x:c r="M213"/>
    </x:row>
    <x:row r="214" ht="15.75" customHeight="1">
      <x:c r="A214" s="62"/>
      <x:c r="B214"/>
      <x:c r="C214"/>
      <x:c r="D214"/>
      <x:c r="E214"/>
      <x:c r="F214"/>
      <x:c r="G214"/>
      <x:c r="H214"/>
      <x:c r="I214"/>
      <x:c r="J214"/>
      <x:c r="K214"/>
      <x:c r="L214"/>
      <x:c r="M214"/>
    </x:row>
    <x:row r="215" ht="15.75" customHeight="1">
      <x:c r="A215" s="62"/>
      <x:c r="B215"/>
      <x:c r="C215"/>
      <x:c r="D215"/>
      <x:c r="E215"/>
      <x:c r="F215"/>
      <x:c r="G215"/>
      <x:c r="H215"/>
      <x:c r="I215"/>
      <x:c r="J215"/>
      <x:c r="K215"/>
      <x:c r="L215"/>
      <x:c r="M215"/>
    </x:row>
    <x:row r="216" ht="15.75" customHeight="1">
      <x:c r="A216" s="62"/>
      <x:c r="B216"/>
      <x:c r="C216"/>
      <x:c r="D216"/>
      <x:c r="E216"/>
      <x:c r="F216"/>
      <x:c r="G216"/>
      <x:c r="H216"/>
      <x:c r="I216"/>
      <x:c r="J216"/>
      <x:c r="K216"/>
      <x:c r="L216"/>
      <x:c r="M216"/>
    </x:row>
    <x:row r="217" ht="15.75" customHeight="1">
      <x:c r="A217" s="62"/>
      <x:c r="B217"/>
      <x:c r="C217"/>
      <x:c r="D217"/>
      <x:c r="E217"/>
      <x:c r="F217"/>
      <x:c r="G217"/>
      <x:c r="H217"/>
      <x:c r="I217"/>
      <x:c r="J217"/>
      <x:c r="K217"/>
      <x:c r="L217"/>
      <x:c r="M217"/>
    </x:row>
    <x:row r="218" ht="15.75" customHeight="1">
      <x:c r="A218" s="62"/>
      <x:c r="B218"/>
      <x:c r="C218"/>
      <x:c r="D218"/>
      <x:c r="E218"/>
      <x:c r="F218"/>
      <x:c r="G218"/>
      <x:c r="H218"/>
      <x:c r="I218"/>
      <x:c r="J218"/>
      <x:c r="K218"/>
      <x:c r="L218"/>
      <x:c r="M218"/>
    </x:row>
    <x:row r="219" ht="15.75" customHeight="1">
      <x:c r="A219" s="62"/>
      <x:c r="B219"/>
      <x:c r="C219"/>
      <x:c r="D219"/>
      <x:c r="E219"/>
      <x:c r="F219"/>
      <x:c r="G219"/>
      <x:c r="H219"/>
      <x:c r="I219"/>
      <x:c r="J219"/>
      <x:c r="K219"/>
      <x:c r="L219"/>
      <x:c r="M219"/>
    </x:row>
    <x:row r="220" ht="15.75" customHeight="1">
      <x:c r="A220" s="62"/>
      <x:c r="B220"/>
      <x:c r="C220"/>
      <x:c r="D220"/>
      <x:c r="E220"/>
      <x:c r="F220"/>
      <x:c r="G220"/>
      <x:c r="H220"/>
      <x:c r="I220"/>
      <x:c r="J220"/>
      <x:c r="K220"/>
      <x:c r="L220"/>
      <x:c r="M220"/>
    </x:row>
    <x:row r="221" ht="15.75" customHeight="1">
      <x:c r="A221" s="62"/>
      <x:c r="B221"/>
      <x:c r="C221"/>
      <x:c r="D221"/>
      <x:c r="E221"/>
      <x:c r="F221"/>
      <x:c r="G221"/>
      <x:c r="H221"/>
      <x:c r="I221"/>
      <x:c r="J221"/>
      <x:c r="K221"/>
      <x:c r="L221"/>
      <x:c r="M221"/>
    </x:row>
    <x:row r="222" ht="15.75" customHeight="1">
      <x:c r="A222" s="62"/>
      <x:c r="B222"/>
      <x:c r="C222"/>
      <x:c r="D222"/>
      <x:c r="E222"/>
      <x:c r="F222"/>
      <x:c r="G222"/>
      <x:c r="H222"/>
      <x:c r="I222"/>
      <x:c r="J222"/>
      <x:c r="K222"/>
      <x:c r="L222"/>
      <x:c r="M222"/>
    </x:row>
    <x:row r="223" ht="15.75" customHeight="1">
      <x:c r="A223" s="62"/>
      <x:c r="B223"/>
      <x:c r="C223"/>
      <x:c r="D223"/>
      <x:c r="E223"/>
      <x:c r="F223"/>
      <x:c r="G223"/>
      <x:c r="H223"/>
      <x:c r="I223"/>
      <x:c r="J223"/>
      <x:c r="K223"/>
      <x:c r="L223"/>
      <x:c r="M223"/>
    </x:row>
    <x:row r="224" ht="15.75" customHeight="1">
      <x:c r="A224" s="62"/>
      <x:c r="B224"/>
      <x:c r="C224"/>
      <x:c r="D224"/>
      <x:c r="E224"/>
      <x:c r="F224"/>
      <x:c r="G224"/>
      <x:c r="H224"/>
      <x:c r="I224"/>
      <x:c r="J224"/>
      <x:c r="K224"/>
      <x:c r="L224"/>
      <x:c r="M224"/>
    </x:row>
    <x:row r="225" ht="15.75" customHeight="1">
      <x:c r="A225" s="62"/>
      <x:c r="B225"/>
      <x:c r="C225"/>
      <x:c r="D225"/>
      <x:c r="E225"/>
      <x:c r="F225"/>
      <x:c r="G225"/>
      <x:c r="H225"/>
      <x:c r="I225"/>
      <x:c r="J225"/>
      <x:c r="K225"/>
      <x:c r="L225"/>
      <x:c r="M225"/>
    </x:row>
    <x:row r="226" ht="15.75" customHeight="1">
      <x:c r="A226" s="62"/>
      <x:c r="B226"/>
      <x:c r="C226"/>
      <x:c r="D226"/>
      <x:c r="E226"/>
      <x:c r="F226"/>
      <x:c r="G226"/>
      <x:c r="H226"/>
      <x:c r="I226"/>
      <x:c r="J226"/>
      <x:c r="K226"/>
      <x:c r="L226"/>
      <x:c r="M226"/>
    </x:row>
    <x:row r="227" ht="15.75" customHeight="1">
      <x:c r="A227" s="62"/>
      <x:c r="B227"/>
      <x:c r="C227"/>
      <x:c r="D227"/>
      <x:c r="E227"/>
      <x:c r="F227"/>
      <x:c r="G227"/>
      <x:c r="H227"/>
      <x:c r="I227"/>
      <x:c r="J227"/>
      <x:c r="K227"/>
      <x:c r="L227"/>
      <x:c r="M227"/>
    </x:row>
    <x:row r="228" ht="15.75" customHeight="1">
      <x:c r="A228" s="62"/>
      <x:c r="B228"/>
      <x:c r="C228"/>
      <x:c r="D228"/>
      <x:c r="E228"/>
      <x:c r="F228"/>
      <x:c r="G228"/>
      <x:c r="H228"/>
      <x:c r="I228"/>
      <x:c r="J228"/>
      <x:c r="K228"/>
      <x:c r="L228"/>
      <x:c r="M228"/>
    </x:row>
    <x:row r="229" ht="15.75" customHeight="1">
      <x:c r="A229" s="62"/>
      <x:c r="B229"/>
      <x:c r="C229"/>
      <x:c r="D229"/>
      <x:c r="E229"/>
      <x:c r="F229"/>
      <x:c r="G229"/>
      <x:c r="H229"/>
      <x:c r="I229"/>
      <x:c r="J229"/>
      <x:c r="K229"/>
      <x:c r="L229"/>
      <x:c r="M229"/>
    </x:row>
    <x:row r="230" ht="15.75" customHeight="1">
      <x:c r="A230" s="62"/>
      <x:c r="B230"/>
      <x:c r="C230"/>
      <x:c r="D230"/>
      <x:c r="E230"/>
      <x:c r="F230"/>
      <x:c r="G230"/>
      <x:c r="H230"/>
      <x:c r="I230"/>
      <x:c r="J230"/>
      <x:c r="K230"/>
      <x:c r="L230"/>
      <x:c r="M230"/>
    </x:row>
    <x:row r="231" ht="15.75" customHeight="1">
      <x:c r="A231" s="62"/>
      <x:c r="B231"/>
      <x:c r="C231"/>
      <x:c r="D231"/>
      <x:c r="E231"/>
      <x:c r="F231"/>
      <x:c r="G231"/>
      <x:c r="H231"/>
      <x:c r="I231"/>
      <x:c r="J231"/>
      <x:c r="K231"/>
      <x:c r="L231"/>
      <x:c r="M231"/>
    </x:row>
    <x:row r="232" ht="15.75" customHeight="1">
      <x:c r="A232" s="62"/>
      <x:c r="B232"/>
      <x:c r="C232"/>
      <x:c r="D232"/>
      <x:c r="E232"/>
      <x:c r="F232"/>
      <x:c r="G232"/>
      <x:c r="H232"/>
      <x:c r="I232"/>
      <x:c r="J232"/>
      <x:c r="K232"/>
      <x:c r="L232"/>
      <x:c r="M232"/>
    </x:row>
    <x:row r="233" ht="15.75" customHeight="1">
      <x:c r="A233" s="62"/>
      <x:c r="B233"/>
      <x:c r="C233"/>
      <x:c r="D233"/>
      <x:c r="E233"/>
      <x:c r="F233"/>
      <x:c r="G233"/>
      <x:c r="H233"/>
      <x:c r="I233"/>
      <x:c r="J233"/>
      <x:c r="K233"/>
      <x:c r="L233"/>
      <x:c r="M233"/>
    </x:row>
    <x:row r="234" ht="15.75" customHeight="1">
      <x:c r="A234" s="62"/>
      <x:c r="B234"/>
      <x:c r="C234"/>
      <x:c r="D234"/>
      <x:c r="E234"/>
      <x:c r="F234"/>
      <x:c r="G234"/>
      <x:c r="H234"/>
      <x:c r="I234"/>
      <x:c r="J234"/>
      <x:c r="K234"/>
      <x:c r="L234"/>
      <x:c r="M234"/>
    </x:row>
    <x:row r="235" ht="15.75" customHeight="1">
      <x:c r="A235" s="62"/>
      <x:c r="B235"/>
      <x:c r="C235"/>
      <x:c r="D235"/>
      <x:c r="E235"/>
      <x:c r="F235"/>
      <x:c r="G235"/>
      <x:c r="H235"/>
      <x:c r="I235"/>
      <x:c r="J235"/>
      <x:c r="K235"/>
      <x:c r="L235"/>
      <x:c r="M235"/>
    </x:row>
    <x:row r="236" ht="15.75" customHeight="1">
      <x:c r="A236" s="62"/>
      <x:c r="B236"/>
      <x:c r="C236"/>
      <x:c r="D236"/>
      <x:c r="E236"/>
      <x:c r="F236"/>
      <x:c r="G236"/>
      <x:c r="H236"/>
      <x:c r="I236"/>
      <x:c r="J236"/>
      <x:c r="K236"/>
      <x:c r="L236"/>
      <x:c r="M236"/>
    </x:row>
    <x:row r="237" ht="15.75" customHeight="1">
      <x:c r="A237" s="62"/>
      <x:c r="B237"/>
      <x:c r="C237"/>
      <x:c r="D237"/>
      <x:c r="E237"/>
      <x:c r="F237"/>
      <x:c r="G237"/>
      <x:c r="H237"/>
      <x:c r="I237"/>
      <x:c r="J237"/>
      <x:c r="K237"/>
      <x:c r="L237"/>
      <x:c r="M237"/>
    </x:row>
    <x:row r="238" ht="15.75" customHeight="1">
      <x:c r="A238" s="62"/>
      <x:c r="B238"/>
      <x:c r="C238"/>
      <x:c r="D238"/>
      <x:c r="E238"/>
      <x:c r="F238"/>
      <x:c r="G238"/>
      <x:c r="H238"/>
      <x:c r="I238"/>
      <x:c r="J238"/>
      <x:c r="K238"/>
      <x:c r="L238"/>
      <x:c r="M238"/>
    </x:row>
    <x:row r="239" ht="15.75" customHeight="1">
      <x:c r="A239" s="62"/>
      <x:c r="B239"/>
      <x:c r="C239"/>
      <x:c r="D239"/>
      <x:c r="E239"/>
      <x:c r="F239"/>
      <x:c r="G239"/>
      <x:c r="H239"/>
      <x:c r="I239"/>
      <x:c r="J239"/>
      <x:c r="K239"/>
      <x:c r="L239"/>
      <x:c r="M239"/>
    </x:row>
    <x:row r="240" ht="15.75" customHeight="1">
      <x:c r="A240" s="62"/>
      <x:c r="B240"/>
      <x:c r="C240"/>
      <x:c r="D240"/>
      <x:c r="E240"/>
      <x:c r="F240"/>
      <x:c r="G240"/>
      <x:c r="H240"/>
      <x:c r="I240"/>
      <x:c r="J240"/>
      <x:c r="K240"/>
      <x:c r="L240"/>
      <x:c r="M240"/>
    </x:row>
    <x:row r="241" ht="15.75" customHeight="1">
      <x:c r="A241" s="62"/>
      <x:c r="B241"/>
      <x:c r="C241"/>
      <x:c r="D241"/>
      <x:c r="E241"/>
      <x:c r="F241"/>
      <x:c r="G241"/>
      <x:c r="H241"/>
      <x:c r="I241"/>
      <x:c r="J241"/>
      <x:c r="K241"/>
      <x:c r="L241"/>
      <x:c r="M241"/>
    </x:row>
    <x:row r="242" ht="15.75" customHeight="1">
      <x:c r="A242" s="62"/>
      <x:c r="B242"/>
      <x:c r="C242"/>
      <x:c r="D242"/>
      <x:c r="E242"/>
      <x:c r="F242"/>
      <x:c r="G242"/>
      <x:c r="H242"/>
      <x:c r="I242"/>
      <x:c r="J242"/>
      <x:c r="K242"/>
      <x:c r="L242"/>
      <x:c r="M242"/>
    </x:row>
    <x:row r="243" ht="15.75" customHeight="1">
      <x:c r="A243" s="62"/>
      <x:c r="B243"/>
      <x:c r="C243"/>
      <x:c r="D243"/>
      <x:c r="E243"/>
      <x:c r="F243"/>
      <x:c r="G243"/>
      <x:c r="H243"/>
      <x:c r="I243"/>
      <x:c r="J243"/>
      <x:c r="K243"/>
      <x:c r="L243"/>
      <x:c r="M243"/>
    </x:row>
    <x:row r="244" ht="15.75" customHeight="1">
      <x:c r="A244" s="62"/>
      <x:c r="B244"/>
      <x:c r="C244"/>
      <x:c r="D244"/>
      <x:c r="E244"/>
      <x:c r="F244"/>
      <x:c r="G244"/>
      <x:c r="H244"/>
      <x:c r="I244"/>
      <x:c r="J244"/>
      <x:c r="K244"/>
      <x:c r="L244"/>
      <x:c r="M244"/>
    </x:row>
    <x:row r="245" ht="15.75" customHeight="1">
      <x:c r="A245" s="62"/>
      <x:c r="B245"/>
      <x:c r="C245"/>
      <x:c r="D245"/>
      <x:c r="E245"/>
      <x:c r="F245"/>
      <x:c r="G245"/>
      <x:c r="H245"/>
      <x:c r="I245"/>
      <x:c r="J245"/>
      <x:c r="K245"/>
      <x:c r="L245"/>
      <x:c r="M245"/>
    </x:row>
    <x:row r="246" ht="15.75" customHeight="1">
      <x:c r="A246" s="62"/>
      <x:c r="B246"/>
      <x:c r="C246"/>
      <x:c r="D246"/>
      <x:c r="E246"/>
      <x:c r="F246"/>
      <x:c r="G246"/>
      <x:c r="H246"/>
      <x:c r="I246"/>
      <x:c r="J246"/>
      <x:c r="K246"/>
      <x:c r="L246"/>
      <x:c r="M246"/>
    </x:row>
    <x:row r="247" ht="15.75" customHeight="1">
      <x:c r="A247" s="62"/>
      <x:c r="B247"/>
      <x:c r="C247"/>
      <x:c r="D247"/>
      <x:c r="E247"/>
      <x:c r="F247"/>
      <x:c r="G247"/>
      <x:c r="H247"/>
      <x:c r="I247"/>
      <x:c r="J247"/>
      <x:c r="K247"/>
      <x:c r="L247"/>
      <x:c r="M247"/>
    </x:row>
    <x:row r="248" ht="15.75" customHeight="1">
      <x:c r="A248" s="62"/>
      <x:c r="B248"/>
      <x:c r="C248"/>
      <x:c r="D248"/>
      <x:c r="E248"/>
      <x:c r="F248"/>
      <x:c r="G248"/>
      <x:c r="H248"/>
      <x:c r="I248"/>
      <x:c r="J248"/>
      <x:c r="K248"/>
      <x:c r="L248"/>
      <x:c r="M248"/>
    </x:row>
    <x:row r="249" ht="15.75" customHeight="1">
      <x:c r="A249" s="62"/>
      <x:c r="B249"/>
      <x:c r="C249"/>
      <x:c r="D249"/>
      <x:c r="E249"/>
      <x:c r="F249"/>
      <x:c r="G249"/>
      <x:c r="H249"/>
      <x:c r="I249"/>
      <x:c r="J249"/>
      <x:c r="K249"/>
      <x:c r="L249"/>
      <x:c r="M249"/>
    </x:row>
    <x:row r="250" ht="15.75" customHeight="1">
      <x:c r="A250" s="62"/>
      <x:c r="B250"/>
      <x:c r="C250"/>
      <x:c r="D250"/>
      <x:c r="E250"/>
      <x:c r="F250"/>
      <x:c r="G250"/>
      <x:c r="H250"/>
      <x:c r="I250"/>
      <x:c r="J250"/>
      <x:c r="K250"/>
      <x:c r="L250"/>
      <x:c r="M250"/>
    </x:row>
    <x:row r="251" ht="15.75" customHeight="1">
      <x:c r="A251" s="62"/>
      <x:c r="B251"/>
      <x:c r="C251"/>
      <x:c r="D251"/>
      <x:c r="E251"/>
      <x:c r="F251"/>
      <x:c r="G251"/>
      <x:c r="H251"/>
      <x:c r="I251"/>
      <x:c r="J251"/>
      <x:c r="K251"/>
      <x:c r="L251"/>
      <x:c r="M251"/>
    </x:row>
    <x:row r="252" ht="15.75" customHeight="1">
      <x:c r="A252" s="62"/>
      <x:c r="B252"/>
      <x:c r="C252"/>
      <x:c r="D252"/>
      <x:c r="E252"/>
      <x:c r="F252"/>
      <x:c r="G252"/>
      <x:c r="H252"/>
      <x:c r="I252"/>
      <x:c r="J252"/>
      <x:c r="K252"/>
      <x:c r="L252"/>
      <x:c r="M252"/>
    </x:row>
    <x:row r="253" ht="15.75" customHeight="1">
      <x:c r="A253" s="62"/>
      <x:c r="B253"/>
      <x:c r="C253"/>
      <x:c r="D253"/>
      <x:c r="E253"/>
      <x:c r="F253"/>
      <x:c r="G253"/>
      <x:c r="H253"/>
      <x:c r="I253"/>
      <x:c r="J253"/>
      <x:c r="K253"/>
      <x:c r="L253"/>
      <x:c r="M253"/>
    </x:row>
    <x:row r="254" ht="15.75" customHeight="1">
      <x:c r="A254" s="62"/>
      <x:c r="B254"/>
      <x:c r="C254"/>
      <x:c r="D254"/>
      <x:c r="E254"/>
      <x:c r="F254"/>
      <x:c r="G254"/>
      <x:c r="H254"/>
      <x:c r="I254"/>
      <x:c r="J254"/>
      <x:c r="K254"/>
      <x:c r="L254"/>
      <x:c r="M254"/>
    </x:row>
    <x:row r="255" ht="15.75" customHeight="1">
      <x:c r="A255" s="62"/>
      <x:c r="B255"/>
      <x:c r="C255"/>
      <x:c r="D255"/>
      <x:c r="E255"/>
      <x:c r="F255"/>
      <x:c r="G255"/>
      <x:c r="H255"/>
      <x:c r="I255"/>
      <x:c r="J255"/>
      <x:c r="K255"/>
      <x:c r="L255"/>
      <x:c r="M255"/>
    </x:row>
    <x:row r="256" ht="15.75" customHeight="1">
      <x:c r="A256" s="62"/>
      <x:c r="B256"/>
      <x:c r="C256"/>
      <x:c r="D256"/>
      <x:c r="E256"/>
      <x:c r="F256"/>
      <x:c r="G256"/>
      <x:c r="H256"/>
      <x:c r="I256"/>
      <x:c r="J256"/>
      <x:c r="K256"/>
      <x:c r="L256"/>
      <x:c r="M256"/>
    </x:row>
    <x:row r="257" ht="15.75" customHeight="1">
      <x:c r="A257" s="62"/>
      <x:c r="B257"/>
      <x:c r="C257"/>
      <x:c r="D257"/>
      <x:c r="E257"/>
      <x:c r="F257"/>
      <x:c r="G257"/>
      <x:c r="H257"/>
      <x:c r="I257"/>
      <x:c r="J257"/>
      <x:c r="K257"/>
      <x:c r="L257"/>
      <x:c r="M257"/>
    </x:row>
    <x:row r="258" ht="15.75" customHeight="1">
      <x:c r="A258" s="62"/>
      <x:c r="B258"/>
      <x:c r="C258"/>
      <x:c r="D258"/>
      <x:c r="E258"/>
      <x:c r="F258"/>
      <x:c r="G258"/>
      <x:c r="H258"/>
      <x:c r="I258"/>
      <x:c r="J258"/>
      <x:c r="K258"/>
      <x:c r="L258"/>
      <x:c r="M258"/>
    </x:row>
    <x:row r="259" ht="15.75" customHeight="1">
      <x:c r="A259" s="62"/>
      <x:c r="B259"/>
      <x:c r="C259"/>
      <x:c r="D259"/>
      <x:c r="E259"/>
      <x:c r="F259"/>
      <x:c r="G259"/>
      <x:c r="H259"/>
      <x:c r="I259"/>
      <x:c r="J259"/>
      <x:c r="K259"/>
      <x:c r="L259"/>
      <x:c r="M259"/>
    </x:row>
    <x:row r="260" ht="15.75" customHeight="1">
      <x:c r="A260" s="62"/>
      <x:c r="B260"/>
      <x:c r="C260"/>
      <x:c r="D260"/>
      <x:c r="E260"/>
      <x:c r="F260"/>
      <x:c r="G260"/>
      <x:c r="H260"/>
      <x:c r="I260"/>
      <x:c r="J260"/>
      <x:c r="K260"/>
      <x:c r="L260"/>
      <x:c r="M260"/>
    </x:row>
    <x:row r="261" ht="15.75" customHeight="1">
      <x:c r="A261" s="62"/>
      <x:c r="B261"/>
      <x:c r="C261"/>
      <x:c r="D261"/>
      <x:c r="E261"/>
      <x:c r="F261"/>
      <x:c r="G261"/>
      <x:c r="H261"/>
      <x:c r="I261"/>
      <x:c r="J261"/>
      <x:c r="K261"/>
      <x:c r="L261"/>
      <x:c r="M261"/>
    </x:row>
    <x:row r="262" ht="15.75" customHeight="1">
      <x:c r="A262" s="62"/>
      <x:c r="B262"/>
      <x:c r="C262"/>
      <x:c r="D262"/>
      <x:c r="E262"/>
      <x:c r="F262"/>
      <x:c r="G262"/>
      <x:c r="H262"/>
      <x:c r="I262"/>
      <x:c r="J262"/>
      <x:c r="K262"/>
      <x:c r="L262"/>
      <x:c r="M262"/>
    </x:row>
    <x:row r="263" ht="15.75" customHeight="1">
      <x:c r="A263" s="62"/>
      <x:c r="B263"/>
      <x:c r="C263"/>
      <x:c r="D263"/>
      <x:c r="E263"/>
      <x:c r="F263"/>
      <x:c r="G263"/>
      <x:c r="H263"/>
      <x:c r="I263"/>
      <x:c r="J263"/>
      <x:c r="K263"/>
      <x:c r="L263"/>
      <x:c r="M263"/>
    </x:row>
    <x:row r="264" ht="15.75" customHeight="1">
      <x:c r="A264" s="62"/>
      <x:c r="B264"/>
      <x:c r="C264"/>
      <x:c r="D264"/>
      <x:c r="E264"/>
      <x:c r="F264"/>
      <x:c r="G264"/>
      <x:c r="H264"/>
      <x:c r="I264"/>
      <x:c r="J264"/>
      <x:c r="K264"/>
      <x:c r="L264"/>
      <x:c r="M264"/>
    </x:row>
    <x:row r="265" ht="15.75" customHeight="1">
      <x:c r="A265" s="62"/>
      <x:c r="B265"/>
      <x:c r="C265"/>
      <x:c r="D265"/>
      <x:c r="E265"/>
      <x:c r="F265"/>
      <x:c r="G265"/>
      <x:c r="H265"/>
      <x:c r="I265"/>
      <x:c r="J265"/>
      <x:c r="K265"/>
      <x:c r="L265"/>
      <x:c r="M265"/>
    </x:row>
    <x:row r="266" ht="15.75" customHeight="1">
      <x:c r="A266" s="62"/>
      <x:c r="B266"/>
      <x:c r="C266"/>
      <x:c r="D266"/>
      <x:c r="E266"/>
      <x:c r="F266"/>
      <x:c r="G266"/>
      <x:c r="H266"/>
      <x:c r="I266"/>
      <x:c r="J266"/>
      <x:c r="K266"/>
      <x:c r="L266"/>
      <x:c r="M266"/>
    </x:row>
    <x:row r="267" ht="15.75" customHeight="1">
      <x:c r="A267" s="62"/>
      <x:c r="B267"/>
      <x:c r="C267"/>
      <x:c r="D267"/>
      <x:c r="E267"/>
      <x:c r="F267"/>
      <x:c r="G267"/>
      <x:c r="H267"/>
      <x:c r="I267"/>
      <x:c r="J267"/>
      <x:c r="K267"/>
      <x:c r="L267"/>
      <x:c r="M267"/>
    </x:row>
    <x:row r="268" ht="15.75" customHeight="1">
      <x:c r="A268" s="62"/>
      <x:c r="B268"/>
      <x:c r="C268"/>
      <x:c r="D268"/>
      <x:c r="E268"/>
      <x:c r="F268"/>
      <x:c r="G268"/>
      <x:c r="H268"/>
      <x:c r="I268"/>
      <x:c r="J268"/>
      <x:c r="K268"/>
      <x:c r="L268"/>
      <x:c r="M268"/>
    </x:row>
    <x:row r="269" ht="15.75" customHeight="1">
      <x:c r="A269" s="62"/>
      <x:c r="B269"/>
      <x:c r="C269"/>
      <x:c r="D269"/>
      <x:c r="E269"/>
      <x:c r="F269"/>
      <x:c r="G269"/>
      <x:c r="H269"/>
      <x:c r="I269"/>
      <x:c r="J269"/>
      <x:c r="K269"/>
      <x:c r="L269"/>
      <x:c r="M269"/>
    </x:row>
    <x:row r="270" ht="15.75" customHeight="1">
      <x:c r="A270" s="62"/>
      <x:c r="B270"/>
      <x:c r="C270"/>
      <x:c r="D270"/>
      <x:c r="E270"/>
      <x:c r="F270"/>
      <x:c r="G270"/>
      <x:c r="H270"/>
      <x:c r="I270"/>
      <x:c r="J270"/>
      <x:c r="K270"/>
      <x:c r="L270"/>
      <x:c r="M270"/>
    </x:row>
    <x:row r="271" ht="15.75" customHeight="1">
      <x:c r="A271" s="62"/>
      <x:c r="B271"/>
      <x:c r="C271"/>
      <x:c r="D271"/>
      <x:c r="E271"/>
      <x:c r="F271"/>
      <x:c r="G271"/>
      <x:c r="H271"/>
      <x:c r="I271"/>
      <x:c r="J271"/>
      <x:c r="K271"/>
      <x:c r="L271"/>
      <x:c r="M271"/>
    </x:row>
    <x:row r="272" ht="15.75" customHeight="1">
      <x:c r="A272" s="62"/>
      <x:c r="B272"/>
      <x:c r="C272"/>
      <x:c r="D272"/>
      <x:c r="E272"/>
      <x:c r="F272"/>
      <x:c r="G272"/>
      <x:c r="H272"/>
      <x:c r="I272"/>
      <x:c r="J272"/>
      <x:c r="K272"/>
      <x:c r="L272"/>
      <x:c r="M272"/>
    </x:row>
    <x:row r="273" ht="15.75" customHeight="1">
      <x:c r="A273" s="62"/>
      <x:c r="B273"/>
      <x:c r="C273"/>
      <x:c r="D273"/>
      <x:c r="E273"/>
      <x:c r="F273"/>
      <x:c r="G273"/>
      <x:c r="H273"/>
      <x:c r="I273"/>
      <x:c r="J273"/>
      <x:c r="K273"/>
      <x:c r="L273"/>
      <x:c r="M273"/>
    </x:row>
    <x:row r="274" ht="15.75" customHeight="1">
      <x:c r="A274" s="62"/>
      <x:c r="B274"/>
      <x:c r="C274"/>
      <x:c r="D274"/>
      <x:c r="E274"/>
      <x:c r="F274"/>
      <x:c r="G274"/>
      <x:c r="H274"/>
      <x:c r="I274"/>
      <x:c r="J274"/>
      <x:c r="K274"/>
      <x:c r="L274"/>
      <x:c r="M274"/>
    </x:row>
    <x:row r="275" ht="15.75" customHeight="1">
      <x:c r="A275" s="62"/>
      <x:c r="B275"/>
      <x:c r="C275"/>
      <x:c r="D275"/>
      <x:c r="E275"/>
      <x:c r="F275"/>
      <x:c r="G275"/>
      <x:c r="H275"/>
      <x:c r="I275"/>
      <x:c r="J275"/>
      <x:c r="K275"/>
      <x:c r="L275"/>
      <x:c r="M275"/>
    </x:row>
    <x:row r="276" ht="15.75" customHeight="1">
      <x:c r="A276" s="62"/>
      <x:c r="B276"/>
      <x:c r="C276"/>
      <x:c r="D276"/>
      <x:c r="E276"/>
      <x:c r="F276"/>
      <x:c r="G276"/>
      <x:c r="H276"/>
      <x:c r="I276"/>
      <x:c r="J276"/>
      <x:c r="K276"/>
      <x:c r="L276"/>
      <x:c r="M276"/>
    </x:row>
    <x:row r="277" ht="15.75" customHeight="1">
      <x:c r="A277" s="62"/>
      <x:c r="B277"/>
      <x:c r="C277"/>
      <x:c r="D277"/>
      <x:c r="E277"/>
      <x:c r="F277"/>
      <x:c r="G277"/>
      <x:c r="H277"/>
      <x:c r="I277"/>
      <x:c r="J277"/>
      <x:c r="K277"/>
      <x:c r="L277"/>
      <x:c r="M277"/>
    </x:row>
    <x:row r="278" ht="15.75" customHeight="1">
      <x:c r="A278" s="62"/>
      <x:c r="B278"/>
      <x:c r="C278"/>
      <x:c r="D278"/>
      <x:c r="E278"/>
      <x:c r="F278"/>
      <x:c r="G278"/>
      <x:c r="H278"/>
      <x:c r="I278"/>
      <x:c r="J278"/>
      <x:c r="K278"/>
      <x:c r="L278"/>
      <x:c r="M278"/>
    </x:row>
    <x:row r="279" ht="15.75" customHeight="1">
      <x:c r="A279" s="62"/>
      <x:c r="B279"/>
      <x:c r="C279"/>
      <x:c r="D279"/>
      <x:c r="E279"/>
      <x:c r="F279"/>
      <x:c r="G279"/>
      <x:c r="H279"/>
      <x:c r="I279"/>
      <x:c r="J279"/>
      <x:c r="K279"/>
      <x:c r="L279"/>
      <x:c r="M279"/>
    </x:row>
    <x:row r="280" ht="15.75" customHeight="1">
      <x:c r="A280" s="62"/>
      <x:c r="B280"/>
      <x:c r="C280"/>
      <x:c r="D280"/>
      <x:c r="E280"/>
      <x:c r="F280"/>
      <x:c r="G280"/>
      <x:c r="H280"/>
      <x:c r="I280"/>
      <x:c r="J280"/>
      <x:c r="K280"/>
      <x:c r="L280"/>
      <x:c r="M280"/>
    </x:row>
    <x:row r="281" ht="15.75" customHeight="1">
      <x:c r="A281" s="62"/>
      <x:c r="B281"/>
      <x:c r="C281"/>
      <x:c r="D281"/>
      <x:c r="E281"/>
      <x:c r="F281"/>
      <x:c r="G281"/>
      <x:c r="H281"/>
      <x:c r="I281"/>
      <x:c r="J281"/>
      <x:c r="K281"/>
      <x:c r="L281"/>
      <x:c r="M281"/>
    </x:row>
    <x:row r="282" ht="15.75" customHeight="1">
      <x:c r="A282" s="62"/>
      <x:c r="B282"/>
      <x:c r="C282"/>
      <x:c r="D282"/>
      <x:c r="E282"/>
      <x:c r="F282"/>
      <x:c r="G282"/>
      <x:c r="H282"/>
      <x:c r="I282"/>
      <x:c r="J282"/>
      <x:c r="K282"/>
      <x:c r="L282"/>
      <x:c r="M282"/>
    </x:row>
    <x:row r="283" ht="15.75" customHeight="1">
      <x:c r="A283" s="62"/>
      <x:c r="B283"/>
      <x:c r="C283"/>
      <x:c r="D283"/>
      <x:c r="E283"/>
      <x:c r="F283"/>
      <x:c r="G283"/>
      <x:c r="H283"/>
      <x:c r="I283"/>
      <x:c r="J283"/>
      <x:c r="K283"/>
      <x:c r="L283"/>
      <x:c r="M283"/>
    </x:row>
    <x:row r="284" ht="15.75" customHeight="1">
      <x:c r="A284" s="62"/>
      <x:c r="B284"/>
      <x:c r="C284"/>
      <x:c r="D284"/>
      <x:c r="E284"/>
      <x:c r="F284"/>
      <x:c r="G284"/>
      <x:c r="H284"/>
      <x:c r="I284"/>
      <x:c r="J284"/>
      <x:c r="K284"/>
      <x:c r="L284"/>
      <x:c r="M284"/>
    </x:row>
    <x:row r="285" ht="15.75" customHeight="1">
      <x:c r="A285" s="62"/>
      <x:c r="B285"/>
      <x:c r="C285"/>
      <x:c r="D285"/>
      <x:c r="E285"/>
      <x:c r="F285"/>
      <x:c r="G285"/>
      <x:c r="H285"/>
      <x:c r="I285"/>
      <x:c r="J285"/>
      <x:c r="K285"/>
      <x:c r="L285"/>
      <x:c r="M285"/>
    </x:row>
    <x:row r="286" ht="15.75" customHeight="1">
      <x:c r="A286" s="62"/>
      <x:c r="B286"/>
      <x:c r="C286"/>
      <x:c r="D286"/>
      <x:c r="E286"/>
      <x:c r="F286"/>
      <x:c r="G286"/>
      <x:c r="H286"/>
      <x:c r="I286"/>
      <x:c r="J286"/>
      <x:c r="K286"/>
      <x:c r="L286"/>
      <x:c r="M286"/>
    </x:row>
    <x:row r="287" ht="15.75" customHeight="1">
      <x:c r="A287" s="62"/>
      <x:c r="B287"/>
      <x:c r="C287"/>
      <x:c r="D287"/>
      <x:c r="E287"/>
      <x:c r="F287"/>
      <x:c r="G287"/>
      <x:c r="H287"/>
      <x:c r="I287"/>
      <x:c r="J287"/>
      <x:c r="K287"/>
      <x:c r="L287"/>
      <x:c r="M287"/>
    </x:row>
    <x:row r="288" ht="15.75" customHeight="1">
      <x:c r="A288" s="62"/>
      <x:c r="B288"/>
      <x:c r="C288"/>
      <x:c r="D288"/>
      <x:c r="E288"/>
      <x:c r="F288"/>
      <x:c r="G288"/>
      <x:c r="H288"/>
      <x:c r="I288"/>
      <x:c r="J288"/>
      <x:c r="K288"/>
      <x:c r="L288"/>
      <x:c r="M288"/>
    </x:row>
    <x:row r="289" ht="15.75" customHeight="1">
      <x:c r="A289" s="62"/>
      <x:c r="B289"/>
      <x:c r="C289"/>
      <x:c r="D289"/>
      <x:c r="E289"/>
      <x:c r="F289"/>
      <x:c r="G289"/>
      <x:c r="H289"/>
      <x:c r="I289"/>
      <x:c r="J289"/>
      <x:c r="K289"/>
      <x:c r="L289"/>
      <x:c r="M289"/>
    </x:row>
    <x:row r="290" ht="15.75" customHeight="1">
      <x:c r="A290" s="62"/>
      <x:c r="B290"/>
      <x:c r="C290"/>
      <x:c r="D290"/>
      <x:c r="E290"/>
      <x:c r="F290"/>
      <x:c r="G290"/>
      <x:c r="H290"/>
      <x:c r="I290"/>
      <x:c r="J290"/>
      <x:c r="K290"/>
      <x:c r="L290"/>
      <x:c r="M290"/>
    </x:row>
    <x:row r="291" ht="15.75" customHeight="1">
      <x:c r="A291" s="62"/>
      <x:c r="B291"/>
      <x:c r="C291"/>
      <x:c r="D291"/>
      <x:c r="E291"/>
      <x:c r="F291"/>
      <x:c r="G291"/>
      <x:c r="H291"/>
      <x:c r="I291"/>
      <x:c r="J291"/>
      <x:c r="K291"/>
      <x:c r="L291"/>
      <x:c r="M291"/>
    </x:row>
    <x:row r="292" ht="15.75" customHeight="1">
      <x:c r="A292" s="62"/>
      <x:c r="B292"/>
      <x:c r="C292"/>
      <x:c r="D292"/>
      <x:c r="E292"/>
      <x:c r="F292"/>
      <x:c r="G292"/>
      <x:c r="H292"/>
      <x:c r="I292"/>
      <x:c r="J292"/>
      <x:c r="K292"/>
      <x:c r="L292"/>
      <x:c r="M292"/>
    </x:row>
    <x:row r="293" ht="15.75" customHeight="1">
      <x:c r="A293" s="62"/>
      <x:c r="B293"/>
      <x:c r="C293"/>
      <x:c r="D293"/>
      <x:c r="E293"/>
      <x:c r="F293"/>
      <x:c r="G293"/>
      <x:c r="H293"/>
      <x:c r="I293"/>
      <x:c r="J293"/>
      <x:c r="K293"/>
      <x:c r="L293"/>
      <x:c r="M293"/>
    </x:row>
    <x:row r="294" ht="15.75" customHeight="1">
      <x:c r="A294" s="62"/>
      <x:c r="B294"/>
      <x:c r="C294"/>
      <x:c r="D294"/>
      <x:c r="E294"/>
      <x:c r="F294"/>
      <x:c r="G294"/>
      <x:c r="H294"/>
      <x:c r="I294"/>
      <x:c r="J294"/>
      <x:c r="K294"/>
      <x:c r="L294"/>
      <x:c r="M294"/>
    </x:row>
    <x:row r="295" ht="15.75" customHeight="1">
      <x:c r="A295" s="62"/>
      <x:c r="B295"/>
      <x:c r="C295"/>
      <x:c r="D295"/>
      <x:c r="E295"/>
      <x:c r="F295"/>
      <x:c r="G295"/>
      <x:c r="H295"/>
      <x:c r="I295"/>
      <x:c r="J295"/>
      <x:c r="K295"/>
      <x:c r="L295"/>
      <x:c r="M295"/>
    </x:row>
    <x:row r="296" ht="15.75" customHeight="1">
      <x:c r="A296" s="62"/>
      <x:c r="B296"/>
      <x:c r="C296"/>
      <x:c r="D296"/>
      <x:c r="E296"/>
      <x:c r="F296"/>
      <x:c r="G296"/>
      <x:c r="H296"/>
      <x:c r="I296"/>
      <x:c r="J296"/>
      <x:c r="K296"/>
      <x:c r="L296"/>
      <x:c r="M296"/>
    </x:row>
    <x:row r="297" ht="15.75" customHeight="1">
      <x:c r="A297" s="62"/>
      <x:c r="B297"/>
      <x:c r="C297"/>
      <x:c r="D297"/>
      <x:c r="E297"/>
      <x:c r="F297"/>
      <x:c r="G297"/>
      <x:c r="H297"/>
      <x:c r="I297"/>
      <x:c r="J297"/>
      <x:c r="K297"/>
      <x:c r="L297"/>
      <x:c r="M297"/>
    </x:row>
    <x:row r="298" ht="15.75" customHeight="1">
      <x:c r="A298" s="62"/>
      <x:c r="B298"/>
      <x:c r="C298"/>
      <x:c r="D298"/>
      <x:c r="E298"/>
      <x:c r="F298"/>
      <x:c r="G298"/>
      <x:c r="H298"/>
      <x:c r="I298"/>
      <x:c r="J298"/>
      <x:c r="K298"/>
      <x:c r="L298"/>
      <x:c r="M298"/>
    </x:row>
    <x:row r="299" ht="15.75" customHeight="1">
      <x:c r="A299" s="62"/>
      <x:c r="B299"/>
      <x:c r="C299"/>
      <x:c r="D299"/>
      <x:c r="E299"/>
      <x:c r="F299"/>
      <x:c r="G299"/>
      <x:c r="H299"/>
      <x:c r="I299"/>
      <x:c r="J299"/>
      <x:c r="K299"/>
      <x:c r="L299"/>
      <x:c r="M299"/>
    </x:row>
    <x:row r="300" ht="15.75" customHeight="1">
      <x:c r="A300" s="62"/>
      <x:c r="B300"/>
      <x:c r="C300"/>
      <x:c r="D300"/>
      <x:c r="E300"/>
      <x:c r="F300"/>
      <x:c r="G300"/>
      <x:c r="H300"/>
      <x:c r="I300"/>
      <x:c r="J300"/>
      <x:c r="K300"/>
      <x:c r="L300"/>
      <x:c r="M300"/>
    </x:row>
    <x:row r="301" ht="15.75" customHeight="1">
      <x:c r="A301" s="62"/>
      <x:c r="B301"/>
      <x:c r="C301"/>
      <x:c r="D301"/>
      <x:c r="E301"/>
      <x:c r="F301"/>
      <x:c r="G301"/>
      <x:c r="H301"/>
      <x:c r="I301"/>
      <x:c r="J301"/>
      <x:c r="K301"/>
      <x:c r="L301"/>
      <x:c r="M301"/>
    </x:row>
    <x:row r="302" ht="15.75" customHeight="1">
      <x:c r="A302" s="62"/>
      <x:c r="B302"/>
      <x:c r="C302"/>
      <x:c r="D302"/>
      <x:c r="E302"/>
      <x:c r="F302"/>
      <x:c r="G302"/>
      <x:c r="H302"/>
      <x:c r="I302"/>
      <x:c r="J302"/>
      <x:c r="K302"/>
      <x:c r="L302"/>
      <x:c r="M302"/>
    </x:row>
    <x:row r="303" ht="15.75" customHeight="1">
      <x:c r="A303" s="62"/>
    </x:row>
    <x:row r="304" ht="15.75" customHeight="1">
      <x:c r="A304" s="62"/>
    </x:row>
    <x:row r="305" ht="15.75" customHeight="1">
      <x:c r="A305" s="62"/>
      <x:c r="B305"/>
      <x:c r="C305"/>
    </x:row>
    <x:row r="306" ht="15.75" customHeight="1">
      <x:c r="A306" s="62"/>
      <x:c r="B306">
        <x:f t="shared" ref="B306:B315" si="1">COUNTIF($E$5:$E$302,$A306)</x:f>
      </x:c>
      <x:c r="C306">
        <x:f t="shared" ref="C306:C315" si="2">SUMIF($E$5:$E$302,$A306,$J$5:$J$302)</x:f>
      </x:c>
      <x:c r="G306"/>
    </x:row>
    <x:row r="307" ht="15.75" customHeight="1">
      <x:c r="A307" s="62"/>
      <x:c r="B307">
        <x:f t="shared" si="1"/>
      </x:c>
      <x:c r="C307">
        <x:f t="shared" si="2"/>
      </x:c>
      <x:c r="G307"/>
    </x:row>
    <x:row r="308" ht="15.75" customHeight="1">
      <x:c r="A308" s="62"/>
      <x:c r="B308">
        <x:f t="shared" si="1"/>
      </x:c>
      <x:c r="C308">
        <x:f t="shared" si="2"/>
      </x:c>
      <x:c r="G308"/>
    </x:row>
    <x:row r="309" ht="15.75" customHeight="1">
      <x:c r="A309" s="62"/>
      <x:c r="B309">
        <x:f t="shared" si="1"/>
      </x:c>
      <x:c r="C309">
        <x:f t="shared" si="2"/>
      </x:c>
      <x:c r="G309"/>
    </x:row>
    <x:row r="310" ht="15.75" customHeight="1">
      <x:c r="A310" s="62"/>
      <x:c r="B310">
        <x:f t="shared" si="1"/>
      </x:c>
      <x:c r="C310">
        <x:f t="shared" si="2"/>
      </x:c>
      <x:c r="G310"/>
    </x:row>
    <x:row r="311" ht="15.75" customHeight="1">
      <x:c r="A311" s="62"/>
      <x:c r="B311">
        <x:f t="shared" si="1"/>
      </x:c>
      <x:c r="C311">
        <x:f t="shared" si="2"/>
      </x:c>
      <x:c r="G311"/>
    </x:row>
    <x:row r="312" ht="15.75" customHeight="1">
      <x:c r="A312" s="62"/>
      <x:c r="B312">
        <x:f t="shared" si="1"/>
      </x:c>
      <x:c r="C312">
        <x:f t="shared" si="2"/>
      </x:c>
      <x:c r="G312"/>
    </x:row>
    <x:row r="313" ht="15.75" customHeight="1">
      <x:c r="A313" s="62"/>
      <x:c r="B313">
        <x:f t="shared" si="1"/>
      </x:c>
      <x:c r="C313">
        <x:f t="shared" si="2"/>
      </x:c>
      <x:c r="G313"/>
    </x:row>
    <x:row r="314" ht="15.75" customHeight="1">
      <x:c r="A314" s="62"/>
      <x:c r="B314">
        <x:f t="shared" si="1"/>
      </x:c>
      <x:c r="C314">
        <x:f t="shared" si="2"/>
      </x:c>
      <x:c r="G314"/>
    </x:row>
    <x:row r="315" ht="15.75" customHeight="1">
      <x:c r="A315" s="62"/>
      <x:c r="B315">
        <x:f t="shared" si="1"/>
      </x:c>
      <x:c r="C315">
        <x:f t="shared" si="2"/>
      </x:c>
      <x:c r="G315"/>
    </x:row>
    <x:row r="316" ht="15.75" customHeight="1">
      <x:c r="A316" s="62"/>
    </x:row>
    <x:row r="317" ht="15.75" customHeight="1">
      <x:c r="A317" s="62"/>
    </x:row>
    <x:row r="318" ht="15.75" customHeight="1">
      <x:c r="A318" s="62"/>
      <x:c r="B318"/>
    </x:row>
    <x:row r="319" ht="15.75" customHeight="1">
      <x:c r="A319" s="62"/>
      <x:c r="B319">
        <x:f t="shared" ref="B319:B326" si="3">COUNTIF($F$5:$F$302,$A319)</x:f>
      </x:c>
      <x:c r="G319"/>
    </x:row>
    <x:row r="320" ht="15.75" customHeight="1">
      <x:c r="A320" s="62"/>
      <x:c r="B320">
        <x:f t="shared" si="3"/>
      </x:c>
      <x:c r="G320"/>
    </x:row>
    <x:row r="321" ht="15.75" customHeight="1">
      <x:c r="A321" s="62"/>
      <x:c r="B321">
        <x:f t="shared" si="3"/>
      </x:c>
      <x:c r="G321"/>
    </x:row>
    <x:row r="322" ht="15.75" customHeight="1">
      <x:c r="A322" s="62"/>
      <x:c r="B322">
        <x:f t="shared" si="3"/>
      </x:c>
      <x:c r="G322"/>
    </x:row>
    <x:row r="323" ht="15.75" customHeight="1">
      <x:c r="A323" s="62"/>
      <x:c r="B323">
        <x:f t="shared" si="3"/>
      </x:c>
      <x:c r="G323"/>
    </x:row>
    <x:row r="324" ht="15.75" customHeight="1">
      <x:c r="A324" s="62"/>
      <x:c r="B324">
        <x:f t="shared" si="3"/>
      </x:c>
      <x:c r="G324"/>
    </x:row>
    <x:row r="325" ht="15.75" customHeight="1">
      <x:c r="A325" s="62"/>
      <x:c r="B325">
        <x:f t="shared" si="3"/>
      </x:c>
      <x:c r="G325"/>
    </x:row>
    <x:row r="326" ht="15.75" customHeight="1">
      <x:c r="A326" s="62"/>
      <x:c r="B326">
        <x:f t="shared" si="3"/>
      </x:c>
      <x:c r="G326"/>
    </x:row>
    <x:row r="327" ht="15.75" customHeight="1">
      <x:c r="A327" s="62"/>
    </x:row>
    <x:row r="328" ht="15.75" customHeight="1">
      <x:c r="A328" s="62"/>
    </x:row>
    <x:row r="329" ht="15.75" customHeight="1">
      <x:c r="A329" s="62"/>
      <x:c r="B329"/>
    </x:row>
    <x:row r="330" ht="15.75" customHeight="1">
      <x:c r="A330" s="62"/>
      <x:c r="B330">
        <x:f t="shared" ref="B330:B336" si="4">COUNTIF($H$5:$H$302,$A330)</x:f>
      </x:c>
    </x:row>
    <x:row r="331" ht="15.75" customHeight="1">
      <x:c r="A331" s="62"/>
      <x:c r="B331">
        <x:f t="shared" si="4"/>
      </x:c>
    </x:row>
    <x:row r="332" ht="15.75" customHeight="1">
      <x:c r="A332" s="62"/>
      <x:c r="B332">
        <x:f t="shared" si="4"/>
      </x:c>
    </x:row>
    <x:row r="333" ht="15.75" customHeight="1">
      <x:c r="A333" s="62"/>
      <x:c r="B333">
        <x:f t="shared" si="4"/>
      </x:c>
    </x:row>
    <x:row r="334" ht="15.75" customHeight="1">
      <x:c r="A334" s="62"/>
      <x:c r="B334">
        <x:f t="shared" si="4"/>
      </x:c>
    </x:row>
    <x:row r="335" ht="15.75" customHeight="1">
      <x:c r="A335" s="62"/>
      <x:c r="B335">
        <x:f t="shared" si="4"/>
      </x:c>
    </x:row>
    <x:row r="336" ht="15.75" customHeight="1">
      <x:c r="A336" s="62"/>
      <x:c r="B336">
        <x:f t="shared" si="4"/>
      </x:c>
    </x:row>
    <x:row r="337" ht="15.75" customHeight="1">
      <x:c r="A337" s="62"/>
    </x:row>
    <x:row r="338" ht="15.75" customHeight="1">
      <x:c r="A338" s="62"/>
    </x:row>
    <x:row r="339" ht="15.75" customHeight="1">
      <x:c r="A339" s="62"/>
      <x:c r="B339"/>
    </x:row>
    <x:row r="340" ht="15.75" customHeight="1">
      <x:c r="A340" s="62"/>
      <x:c r="B340">
        <x:f t="shared" ref="B340:B346" si="5">COUNTIF($C$5:$C$302,$A340)</x:f>
      </x:c>
    </x:row>
    <x:row r="341" ht="15.75" customHeight="1">
      <x:c r="A341" s="62"/>
      <x:c r="B341">
        <x:f t="shared" si="5"/>
      </x:c>
    </x:row>
    <x:row r="342" ht="15.75" customHeight="1">
      <x:c r="A342" s="62"/>
      <x:c r="B342">
        <x:f t="shared" si="5"/>
      </x:c>
    </x:row>
    <x:row r="343" ht="15.75" customHeight="1">
      <x:c r="A343" s="62"/>
      <x:c r="B343">
        <x:f t="shared" si="5"/>
      </x:c>
    </x:row>
    <x:row r="344" ht="15.75" customHeight="1">
      <x:c r="A344" s="62"/>
      <x:c r="B344">
        <x:f t="shared" si="5"/>
      </x:c>
    </x:row>
    <x:row r="345" ht="15.75" customHeight="1">
      <x:c r="A345" s="62"/>
      <x:c r="B345">
        <x:f t="shared" si="5"/>
      </x:c>
    </x:row>
    <x:row r="346" ht="15.75" customHeight="1">
      <x:c r="A346" s="62"/>
      <x:c r="B346">
        <x:f t="shared" si="5"/>
      </x:c>
    </x:row>
    <x:row r="347" ht="15.75" customHeight="1">
      <x:c r="A347" s="62"/>
    </x:row>
    <x:row r="348" ht="15.75" customHeight="1">
      <x:c r="A348" s="62"/>
    </x:row>
    <x:row r="349" ht="15.75" customHeight="1">
      <x:c r="A349" s="62"/>
      <x:c r="B349"/>
    </x:row>
    <x:row r="350" ht="15.75" customHeight="1">
      <x:c r="A350" s="62"/>
      <x:c r="B350">
        <x:f t="shared" ref="B350:B351" si="6">COUNTIF($L$5:$L$302,$A350)</x:f>
      </x:c>
    </x:row>
    <x:row r="351" ht="15.75" customHeight="1">
      <x:c r="A351" s="62"/>
      <x:c r="B351">
        <x:f t="shared" si="6"/>
      </x:c>
    </x:row>
    <x:row r="352" ht="15.75" customHeight="1">
      <x:c r="A352" s="62"/>
    </x:row>
    <x:row r="353" ht="15.75" customHeight="1">
      <x:c r="A353" s="62"/>
    </x:row>
    <x:row r="354" ht="15.75" customHeight="1">
      <x:c r="A354" s="62"/>
      <x:c r="B354"/>
    </x:row>
    <x:row r="355" ht="15.75" customHeight="1">
      <x:c r="A355" s="62"/>
      <x:c r="B355">
        <x:f t="shared" ref="B355:B360" si="7">COUNTIFS($A$5:$A$302,"&gt;="&amp;A355,$A$5:$A$302,"&lt;"&amp;EDATE(A355,1))</x:f>
      </x:c>
    </x:row>
    <x:row r="356" ht="15.75" customHeight="1">
      <x:c r="A356" s="62"/>
      <x:c r="B356">
        <x:f t="shared" si="7"/>
      </x:c>
    </x:row>
    <x:row r="357" ht="15.75" customHeight="1">
      <x:c r="A357" s="62"/>
      <x:c r="B357">
        <x:f t="shared" si="7"/>
      </x:c>
    </x:row>
    <x:row r="358" ht="15.75" customHeight="1">
      <x:c r="A358" s="62"/>
      <x:c r="B358">
        <x:f t="shared" si="7"/>
      </x:c>
    </x:row>
    <x:row r="359" ht="15.75" customHeight="1">
      <x:c r="A359" s="62"/>
      <x:c r="B359">
        <x:f t="shared" si="7"/>
      </x:c>
    </x:row>
    <x:row r="360" ht="15.75" customHeight="1">
      <x:c r="A360" s="62"/>
      <x:c r="B360">
        <x:f t="shared" si="7"/>
      </x:c>
    </x:row>
    <x:row r="361" ht="15.75" customHeight="1">
      <x:c r="A361" s="62"/>
    </x:row>
    <x:row r="362" ht="15.75" customHeight="1">
      <x:c r="A362" s="62"/>
    </x:row>
    <x:row r="363" ht="15.75" customHeight="1">
      <x:c r="A363" s="62"/>
      <x:c r="B363"/>
      <x:c r="C363"/>
    </x:row>
    <x:row r="364" ht="15.75" customHeight="1">
      <x:c r="A364" s="62">
        <x:f t="array" ref="A364"/>
      </x:c>
      <x:c r="B364"/>
      <x:c r="C364">
        <x:f t="shared" ref="C364:C373" si="8">IFERROR(SUM($B$364:B364)/SUM($B$306:$B$315)*100,0)</x:f>
      </x:c>
    </x:row>
    <x:row r="365" ht="15.75" customHeight="1">
      <x:c r="A365" s="62">
        <x:f t="array" ref="A365"/>
      </x:c>
      <x:c r="B365"/>
      <x:c r="C365">
        <x:f t="shared" si="8"/>
      </x:c>
    </x:row>
    <x:row r="366" ht="15.75" customHeight="1">
      <x:c r="A366" s="62">
        <x:f t="array" ref="A366"/>
      </x:c>
      <x:c r="B366"/>
      <x:c r="C366">
        <x:f t="shared" si="8"/>
      </x:c>
    </x:row>
    <x:row r="367" ht="15.75" customHeight="1">
      <x:c r="A367" s="62">
        <x:f t="array" ref="A367"/>
      </x:c>
      <x:c r="B367"/>
      <x:c r="C367">
        <x:f t="shared" si="8"/>
      </x:c>
    </x:row>
    <x:row r="368" ht="15.75" customHeight="1">
      <x:c r="A368" s="62">
        <x:f t="array" ref="A368"/>
      </x:c>
      <x:c r="B368"/>
      <x:c r="C368">
        <x:f t="shared" si="8"/>
      </x:c>
    </x:row>
    <x:row r="369" ht="15.75" customHeight="1">
      <x:c r="A369" s="62">
        <x:f t="array" ref="A369"/>
      </x:c>
      <x:c r="B369"/>
      <x:c r="C369">
        <x:f t="shared" si="8"/>
      </x:c>
    </x:row>
    <x:row r="370" ht="15.75" customHeight="1">
      <x:c r="A370" s="62">
        <x:f t="array" ref="A370"/>
      </x:c>
      <x:c r="B370"/>
      <x:c r="C370">
        <x:f t="shared" si="8"/>
      </x:c>
    </x:row>
    <x:row r="371" ht="15.75" customHeight="1">
      <x:c r="A371" s="62">
        <x:f t="array" ref="A371"/>
      </x:c>
      <x:c r="B371"/>
      <x:c r="C371">
        <x:f t="shared" si="8"/>
      </x:c>
    </x:row>
    <x:row r="372" ht="15.75" customHeight="1">
      <x:c r="A372" s="62">
        <x:f t="array" ref="A372"/>
      </x:c>
      <x:c r="B372"/>
      <x:c r="C372">
        <x:f t="shared" si="8"/>
      </x:c>
    </x:row>
    <x:row r="373" ht="15.75" customHeight="1">
      <x:c r="A373" s="62">
        <x:f t="array" ref="A373"/>
      </x:c>
      <x:c r="B373"/>
      <x:c r="C373">
        <x:f t="shared" si="8"/>
      </x:c>
    </x:row>
    <x:row r="374" ht="15.75" customHeight="1">
      <x:c r="A374" s="62"/>
    </x:row>
    <x:row r="375" ht="15.75" customHeight="1">
      <x:c r="A375" s="62"/>
    </x:row>
    <x:row r="376" ht="15.75" customHeight="1">
      <x:c r="A376" s="62"/>
    </x:row>
    <x:row r="377" ht="15.75" customHeight="1">
      <x:c r="A377" s="62"/>
    </x:row>
    <x:row r="378" ht="15.75" customHeight="1">
      <x:c r="A378" s="62"/>
      <x:c r="B378"/>
      <x:c r="C378"/>
    </x:row>
    <x:row r="379" ht="15.75" customHeight="1">
      <x:c r="A379" s="62">
        <x:f t="array" ref="A379"/>
      </x:c>
      <x:c r="B379"/>
      <x:c r="C379">
        <x:f t="shared" ref="C379:C386" si="9">IFERROR(SUM($B$379:B379)/SUM($B$319:$B$326)*100,0)</x:f>
      </x:c>
    </x:row>
    <x:row r="380" ht="15.75" customHeight="1">
      <x:c r="A380" s="62">
        <x:f t="array" ref="A380"/>
      </x:c>
      <x:c r="B380"/>
      <x:c r="C380">
        <x:f t="shared" si="9"/>
      </x:c>
    </x:row>
    <x:row r="381" ht="15.75" customHeight="1">
      <x:c r="A381" s="62">
        <x:f t="array" ref="A381"/>
      </x:c>
      <x:c r="B381"/>
      <x:c r="C381">
        <x:f t="shared" si="9"/>
      </x:c>
    </x:row>
    <x:row r="382" ht="15.75" customHeight="1">
      <x:c r="A382" s="62">
        <x:f t="array" ref="A382"/>
      </x:c>
      <x:c r="B382"/>
      <x:c r="C382">
        <x:f t="shared" si="9"/>
      </x:c>
    </x:row>
    <x:row r="383" ht="15.75" customHeight="1">
      <x:c r="A383" s="62">
        <x:f t="array" ref="A383"/>
      </x:c>
      <x:c r="B383"/>
      <x:c r="C383">
        <x:f t="shared" si="9"/>
      </x:c>
    </x:row>
    <x:row r="384" ht="15.75" customHeight="1">
      <x:c r="A384" s="62">
        <x:f t="array" ref="A384"/>
      </x:c>
      <x:c r="B384"/>
      <x:c r="C384">
        <x:f t="shared" si="9"/>
      </x:c>
    </x:row>
    <x:row r="385" ht="15.75" customHeight="1">
      <x:c r="A385" s="62">
        <x:f t="array" ref="A385"/>
      </x:c>
      <x:c r="B385"/>
      <x:c r="C385">
        <x:f t="shared" si="9"/>
      </x:c>
    </x:row>
    <x:row r="386" ht="15.75" customHeight="1">
      <x:c r="A386" s="62">
        <x:f t="array" ref="A386"/>
      </x:c>
      <x:c r="B386"/>
      <x:c r="C386">
        <x:f t="shared" si="9"/>
      </x:c>
    </x:row>
    <x:row r="387" ht="15.75" customHeight="1">
      <x:c r="A387" s="62"/>
    </x:row>
    <x:row r="388" ht="15.75" customHeight="1">
      <x:c r="A388" s="62"/>
    </x:row>
    <x:row r="389" ht="15.75" customHeight="1">
      <x:c r="A389" s="62"/>
    </x:row>
    <x:row r="390" ht="15.75" customHeight="1">
      <x:c r="A390" s="62"/>
    </x:row>
    <x:row r="391" ht="15.75" customHeight="1">
      <x:c r="A391" s="62"/>
    </x:row>
    <x:row r="392" ht="15.75" customHeight="1">
      <x:c r="A392" s="62"/>
    </x:row>
    <x:row r="393" ht="15.75" customHeight="1">
      <x:c r="A393" s="62"/>
    </x:row>
    <x:row r="394" ht="15.75" customHeight="1">
      <x:c r="A394" s="62"/>
    </x:row>
    <x:row r="395" ht="15.75" customHeight="1">
      <x:c r="A395" s="62"/>
    </x:row>
    <x:row r="396" ht="15.75" customHeight="1">
      <x:c r="A396" s="62"/>
    </x:row>
    <x:row r="397" ht="15.75" customHeight="1">
      <x:c r="A397" s="62"/>
    </x:row>
    <x:row r="398" ht="15.75" customHeight="1">
      <x:c r="A398" s="62"/>
    </x:row>
    <x:row r="399" ht="15.75" customHeight="1">
      <x:c r="A399" s="62"/>
    </x:row>
    <x:row r="400" ht="15.75" customHeight="1">
      <x:c r="A400" s="62"/>
    </x:row>
    <x:row r="401" ht="15.75" customHeight="1">
      <x:c r="A401" s="62"/>
    </x:row>
    <x:row r="402" ht="15.75" customHeight="1">
      <x:c r="A402" s="62"/>
    </x:row>
    <x:row r="403" ht="15.75" customHeight="1">
      <x:c r="A403" s="62"/>
    </x:row>
    <x:row r="404" ht="15.75" customHeight="1">
      <x:c r="A404" s="62"/>
    </x:row>
    <x:row r="405" ht="15.75" customHeight="1">
      <x:c r="A405" s="62"/>
    </x:row>
    <x:row r="406" ht="15.75" customHeight="1">
      <x:c r="A406" s="62"/>
    </x:row>
    <x:row r="407" ht="15.75" customHeight="1">
      <x:c r="A407" s="62"/>
    </x:row>
    <x:row r="408" ht="15.75" customHeight="1">
      <x:c r="A408" s="62"/>
    </x:row>
    <x:row r="409" ht="15.75" customHeight="1">
      <x:c r="A409" s="62"/>
    </x:row>
    <x:row r="410" ht="15.75" customHeight="1">
      <x:c r="A410" s="62"/>
    </x:row>
    <x:row r="411" ht="15.75" customHeight="1">
      <x:c r="A411" s="62"/>
    </x:row>
    <x:row r="412" ht="15.75" customHeight="1">
      <x:c r="A412" s="62"/>
    </x:row>
    <x:row r="413" ht="15.75" customHeight="1">
      <x:c r="A413" s="62"/>
    </x:row>
    <x:row r="414" ht="15.75" customHeight="1">
      <x:c r="A414" s="62"/>
    </x:row>
    <x:row r="415" ht="15.75" customHeight="1">
      <x:c r="A415" s="62"/>
    </x:row>
    <x:row r="416" ht="15.75" customHeight="1">
      <x:c r="A416" s="62"/>
    </x:row>
    <x:row r="417" ht="15.75" customHeight="1">
      <x:c r="A417" s="62"/>
    </x:row>
    <x:row r="418" ht="15.75" customHeight="1">
      <x:c r="A418" s="62"/>
    </x:row>
    <x:row r="419" ht="15.75" customHeight="1">
      <x:c r="A419" s="62"/>
    </x:row>
    <x:row r="420" ht="15.75" customHeight="1">
      <x:c r="A420" s="62"/>
    </x:row>
    <x:row r="421" ht="15.75" customHeight="1">
      <x:c r="A421" s="62"/>
    </x:row>
    <x:row r="422" ht="15.75" customHeight="1">
      <x:c r="A422" s="62"/>
    </x:row>
    <x:row r="423" ht="15.75" customHeight="1">
      <x:c r="A423" s="62"/>
    </x:row>
    <x:row r="424" ht="15.75" customHeight="1">
      <x:c r="A424" s="62"/>
    </x:row>
    <x:row r="425" ht="15.75" customHeight="1">
      <x:c r="A425" s="62"/>
    </x:row>
    <x:row r="426" ht="15.75" customHeight="1">
      <x:c r="A426" s="62"/>
    </x:row>
    <x:row r="427" ht="15.75" customHeight="1">
      <x:c r="A427" s="62"/>
    </x:row>
    <x:row r="428" ht="15.75" customHeight="1">
      <x:c r="A428" s="62"/>
    </x:row>
    <x:row r="429" ht="15.75" customHeight="1">
      <x:c r="A429" s="62"/>
    </x:row>
    <x:row r="430" ht="15.75" customHeight="1">
      <x:c r="A430" s="62"/>
    </x:row>
    <x:row r="431" ht="15.75" customHeight="1">
      <x:c r="A431" s="62"/>
    </x:row>
    <x:row r="432" ht="15.75" customHeight="1">
      <x:c r="A432" s="62"/>
    </x:row>
    <x:row r="433" ht="15.75" customHeight="1">
      <x:c r="A433" s="62"/>
    </x:row>
    <x:row r="434" ht="15.75" customHeight="1">
      <x:c r="A434" s="62"/>
    </x:row>
    <x:row r="435" ht="15.75" customHeight="1">
      <x:c r="A435" s="62"/>
    </x:row>
    <x:row r="436" ht="15.75" customHeight="1">
      <x:c r="A436" s="62"/>
    </x:row>
    <x:row r="437" ht="15.75" customHeight="1">
      <x:c r="A437" s="62"/>
    </x:row>
    <x:row r="438" ht="15.75" customHeight="1">
      <x:c r="A438" s="62"/>
    </x:row>
    <x:row r="439" ht="15.75" customHeight="1">
      <x:c r="A439" s="62"/>
    </x:row>
    <x:row r="440" ht="15.75" customHeight="1">
      <x:c r="A440" s="62"/>
    </x:row>
    <x:row r="441" ht="15.75" customHeight="1">
      <x:c r="A441" s="62"/>
    </x:row>
    <x:row r="442" ht="15.75" customHeight="1">
      <x:c r="A442" s="62"/>
    </x:row>
    <x:row r="443" ht="15.75" customHeight="1">
      <x:c r="A443" s="62"/>
    </x:row>
    <x:row r="444" ht="15.75" customHeight="1">
      <x:c r="A444" s="62"/>
    </x:row>
    <x:row r="445" ht="15.75" customHeight="1">
      <x:c r="A445" s="62"/>
    </x:row>
    <x:row r="446" ht="15.75" customHeight="1">
      <x:c r="A446" s="62"/>
    </x:row>
    <x:row r="447" ht="15.75" customHeight="1">
      <x:c r="A447" s="62"/>
    </x:row>
    <x:row r="448" ht="15.75" customHeight="1">
      <x:c r="A448" s="62"/>
    </x:row>
    <x:row r="449" ht="15.75" customHeight="1">
      <x:c r="A449" s="62"/>
    </x:row>
    <x:row r="450" ht="15.75" customHeight="1">
      <x:c r="A450" s="62"/>
    </x:row>
    <x:row r="451" ht="15.75" customHeight="1">
      <x:c r="A451" s="62"/>
    </x:row>
    <x:row r="452" ht="15.75" customHeight="1">
      <x:c r="A452" s="62"/>
    </x:row>
    <x:row r="453" ht="15.75" customHeight="1">
      <x:c r="A453" s="62"/>
    </x:row>
    <x:row r="454" ht="15.75" customHeight="1">
      <x:c r="A454" s="62"/>
    </x:row>
    <x:row r="455" ht="15.75" customHeight="1">
      <x:c r="A455" s="62"/>
    </x:row>
    <x:row r="456" ht="15.75" customHeight="1">
      <x:c r="A456" s="62"/>
    </x:row>
    <x:row r="457" ht="15.75" customHeight="1">
      <x:c r="A457" s="62"/>
    </x:row>
    <x:row r="458" ht="15.75" customHeight="1">
      <x:c r="A458" s="62"/>
    </x:row>
    <x:row r="459" ht="15.75" customHeight="1">
      <x:c r="A459" s="62"/>
    </x:row>
    <x:row r="460" ht="15.75" customHeight="1">
      <x:c r="A460" s="62"/>
    </x:row>
    <x:row r="461" ht="15.75" customHeight="1">
      <x:c r="A461" s="62"/>
    </x:row>
    <x:row r="462" ht="15.75" customHeight="1">
      <x:c r="A462" s="62"/>
    </x:row>
    <x:row r="463" ht="15.75" customHeight="1">
      <x:c r="A463" s="62"/>
    </x:row>
    <x:row r="464" ht="15.75" customHeight="1">
      <x:c r="A464" s="62"/>
    </x:row>
    <x:row r="465" ht="15.75" customHeight="1">
      <x:c r="A465" s="62"/>
    </x:row>
    <x:row r="466" ht="15.75" customHeight="1">
      <x:c r="A466" s="62"/>
    </x:row>
    <x:row r="467" ht="15.75" customHeight="1">
      <x:c r="A467" s="62"/>
    </x:row>
    <x:row r="468" ht="15.75" customHeight="1">
      <x:c r="A468" s="62"/>
    </x:row>
    <x:row r="469" ht="15.75" customHeight="1">
      <x:c r="A469" s="62"/>
    </x:row>
    <x:row r="470" ht="15.75" customHeight="1">
      <x:c r="A470" s="62"/>
    </x:row>
    <x:row r="471" ht="15.75" customHeight="1">
      <x:c r="A471" s="62"/>
    </x:row>
    <x:row r="472" ht="15.75" customHeight="1">
      <x:c r="A472" s="62"/>
    </x:row>
    <x:row r="473" ht="15.75" customHeight="1">
      <x:c r="A473" s="62"/>
    </x:row>
    <x:row r="474" ht="15.75" customHeight="1">
      <x:c r="A474" s="62"/>
    </x:row>
    <x:row r="475" ht="15.75" customHeight="1">
      <x:c r="A475" s="62"/>
    </x:row>
    <x:row r="476" ht="15.75" customHeight="1">
      <x:c r="A476" s="62"/>
    </x:row>
    <x:row r="477" ht="15.75" customHeight="1">
      <x:c r="A477" s="62"/>
    </x:row>
    <x:row r="478" ht="15.75" customHeight="1">
      <x:c r="A478" s="62"/>
    </x:row>
    <x:row r="479" ht="15.75" customHeight="1">
      <x:c r="A479" s="62"/>
    </x:row>
    <x:row r="480" ht="15.75" customHeight="1">
      <x:c r="A480" s="62"/>
    </x:row>
    <x:row r="481" ht="15.75" customHeight="1">
      <x:c r="A481" s="62"/>
    </x:row>
    <x:row r="482" ht="15.75" customHeight="1">
      <x:c r="A482" s="62"/>
    </x:row>
    <x:row r="483" ht="15.75" customHeight="1">
      <x:c r="A483" s="62"/>
    </x:row>
    <x:row r="484" ht="15.75" customHeight="1">
      <x:c r="A484" s="62"/>
    </x:row>
    <x:row r="485" ht="15.75" customHeight="1">
      <x:c r="A485" s="62"/>
    </x:row>
    <x:row r="486" ht="15.75" customHeight="1">
      <x:c r="A486" s="62"/>
    </x:row>
    <x:row r="487" ht="15.75" customHeight="1">
      <x:c r="A487" s="62"/>
    </x:row>
    <x:row r="488" ht="15.75" customHeight="1">
      <x:c r="A488" s="62"/>
    </x:row>
    <x:row r="489" ht="15.75" customHeight="1">
      <x:c r="A489" s="62"/>
    </x:row>
    <x:row r="490" ht="15.75" customHeight="1">
      <x:c r="A490" s="62"/>
    </x:row>
    <x:row r="491" ht="15.75" customHeight="1">
      <x:c r="A491" s="62"/>
    </x:row>
    <x:row r="492" ht="15.75" customHeight="1">
      <x:c r="A492" s="62"/>
    </x:row>
    <x:row r="493" ht="15.75" customHeight="1">
      <x:c r="A493" s="62"/>
    </x:row>
    <x:row r="494" ht="15.75" customHeight="1">
      <x:c r="A494" s="62"/>
    </x:row>
    <x:row r="495" ht="15.75" customHeight="1">
      <x:c r="A495" s="62"/>
    </x:row>
    <x:row r="496" ht="15.75" customHeight="1">
      <x:c r="A496" s="62"/>
    </x:row>
    <x:row r="497" ht="15.75" customHeight="1">
      <x:c r="A497" s="62"/>
    </x:row>
    <x:row r="498" ht="15.75" customHeight="1">
      <x:c r="A498" s="62"/>
    </x:row>
    <x:row r="499" ht="15.75" customHeight="1">
      <x:c r="A499" s="62"/>
    </x:row>
    <x:row r="500" ht="15.75" customHeight="1">
      <x:c r="A500" s="62"/>
    </x:row>
    <x:row r="501" ht="15.75" customHeight="1">
      <x:c r="A501" s="62"/>
    </x:row>
    <x:row r="502" ht="15.75" customHeight="1">
      <x:c r="A502" s="62"/>
    </x:row>
    <x:row r="503" ht="15.75" customHeight="1">
      <x:c r="A503" s="62"/>
    </x:row>
    <x:row r="504" ht="15.75" customHeight="1">
      <x:c r="A504" s="62"/>
    </x:row>
    <x:row r="505" ht="15.75" customHeight="1">
      <x:c r="A505" s="62"/>
    </x:row>
    <x:row r="506" ht="15.75" customHeight="1">
      <x:c r="A506" s="62"/>
    </x:row>
    <x:row r="507" ht="15.75" customHeight="1">
      <x:c r="A507" s="62"/>
    </x:row>
    <x:row r="508" ht="15.75" customHeight="1">
      <x:c r="A508" s="62"/>
    </x:row>
    <x:row r="509" ht="15.75" customHeight="1">
      <x:c r="A509" s="62"/>
    </x:row>
    <x:row r="510" ht="15.75" customHeight="1">
      <x:c r="A510" s="62"/>
    </x:row>
    <x:row r="511" ht="15.75" customHeight="1">
      <x:c r="A511" s="62"/>
    </x:row>
    <x:row r="512" ht="15.75" customHeight="1">
      <x:c r="A512" s="62"/>
    </x:row>
    <x:row r="513" ht="15.75" customHeight="1">
      <x:c r="A513" s="62"/>
    </x:row>
    <x:row r="514" ht="15.75" customHeight="1">
      <x:c r="A514" s="62"/>
    </x:row>
    <x:row r="515" ht="15.75" customHeight="1">
      <x:c r="A515" s="62"/>
    </x:row>
    <x:row r="516" ht="15.75" customHeight="1">
      <x:c r="A516" s="62"/>
    </x:row>
    <x:row r="517" ht="15.75" customHeight="1">
      <x:c r="A517" s="62"/>
    </x:row>
    <x:row r="518" ht="15.75" customHeight="1">
      <x:c r="A518" s="62"/>
    </x:row>
    <x:row r="519" ht="15.75" customHeight="1">
      <x:c r="A519" s="62"/>
    </x:row>
    <x:row r="520" ht="15.75" customHeight="1">
      <x:c r="A520" s="62"/>
    </x:row>
    <x:row r="521" ht="15.75" customHeight="1">
      <x:c r="A521" s="62"/>
    </x:row>
    <x:row r="522" ht="15.75" customHeight="1">
      <x:c r="A522" s="62"/>
    </x:row>
    <x:row r="523" ht="15.75" customHeight="1">
      <x:c r="A523" s="62"/>
    </x:row>
    <x:row r="524" ht="15.75" customHeight="1">
      <x:c r="A524" s="62"/>
    </x:row>
    <x:row r="525" ht="15.75" customHeight="1">
      <x:c r="A525" s="62"/>
    </x:row>
    <x:row r="526" ht="15.75" customHeight="1">
      <x:c r="A526" s="62"/>
    </x:row>
    <x:row r="527" ht="15.75" customHeight="1">
      <x:c r="A527" s="62"/>
    </x:row>
    <x:row r="528" ht="15.75" customHeight="1">
      <x:c r="A528" s="62"/>
    </x:row>
    <x:row r="529" ht="15.75" customHeight="1">
      <x:c r="A529" s="62"/>
    </x:row>
    <x:row r="530" ht="15.75" customHeight="1">
      <x:c r="A530" s="62"/>
    </x:row>
    <x:row r="531" ht="15.75" customHeight="1">
      <x:c r="A531" s="62"/>
    </x:row>
    <x:row r="532" ht="15.75" customHeight="1">
      <x:c r="A532" s="62"/>
    </x:row>
    <x:row r="533" ht="15.75" customHeight="1">
      <x:c r="A533" s="62"/>
    </x:row>
    <x:row r="534" ht="15.75" customHeight="1">
      <x:c r="A534" s="62"/>
    </x:row>
    <x:row r="535" ht="15.75" customHeight="1">
      <x:c r="A535" s="62"/>
    </x:row>
    <x:row r="536" ht="15.75" customHeight="1">
      <x:c r="A536" s="62"/>
    </x:row>
    <x:row r="537" ht="15.75" customHeight="1">
      <x:c r="A537" s="62"/>
    </x:row>
    <x:row r="538" ht="15.75" customHeight="1">
      <x:c r="A538" s="62"/>
    </x:row>
    <x:row r="539" ht="15.75" customHeight="1">
      <x:c r="A539" s="62"/>
    </x:row>
    <x:row r="540" ht="15.75" customHeight="1">
      <x:c r="A540" s="62"/>
    </x:row>
    <x:row r="541" ht="15.75" customHeight="1">
      <x:c r="A541" s="62"/>
    </x:row>
    <x:row r="542" ht="15.75" customHeight="1">
      <x:c r="A542" s="62"/>
    </x:row>
    <x:row r="543" ht="15.75" customHeight="1">
      <x:c r="A543" s="62"/>
    </x:row>
    <x:row r="544" ht="15.75" customHeight="1">
      <x:c r="A544" s="62"/>
    </x:row>
    <x:row r="545" ht="15.75" customHeight="1">
      <x:c r="A545" s="62"/>
    </x:row>
    <x:row r="546" ht="15.75" customHeight="1">
      <x:c r="A546" s="62"/>
    </x:row>
    <x:row r="547" ht="15.75" customHeight="1">
      <x:c r="A547" s="62"/>
    </x:row>
    <x:row r="548" ht="15.75" customHeight="1">
      <x:c r="A548" s="62"/>
    </x:row>
    <x:row r="549" ht="15.75" customHeight="1">
      <x:c r="A549" s="62"/>
    </x:row>
    <x:row r="550" ht="15.75" customHeight="1">
      <x:c r="A550" s="62"/>
    </x:row>
    <x:row r="551" ht="15.75" customHeight="1">
      <x:c r="A551" s="62"/>
    </x:row>
    <x:row r="552" ht="15.75" customHeight="1">
      <x:c r="A552" s="62"/>
    </x:row>
    <x:row r="553" ht="15.75" customHeight="1">
      <x:c r="A553" s="62"/>
    </x:row>
    <x:row r="554" ht="15.75" customHeight="1">
      <x:c r="A554" s="62"/>
    </x:row>
    <x:row r="555" ht="15.75" customHeight="1">
      <x:c r="A555" s="62"/>
    </x:row>
    <x:row r="556" ht="15.75" customHeight="1">
      <x:c r="A556" s="62"/>
    </x:row>
    <x:row r="557" ht="15.75" customHeight="1">
      <x:c r="A557" s="62"/>
    </x:row>
    <x:row r="558" ht="15.75" customHeight="1">
      <x:c r="A558" s="62"/>
    </x:row>
    <x:row r="559" ht="15.75" customHeight="1">
      <x:c r="A559" s="62"/>
    </x:row>
    <x:row r="560" ht="15.75" customHeight="1">
      <x:c r="A560" s="62"/>
    </x:row>
    <x:row r="561" ht="15.75" customHeight="1">
      <x:c r="A561" s="62"/>
    </x:row>
    <x:row r="562" ht="15.75" customHeight="1">
      <x:c r="A562" s="62"/>
    </x:row>
    <x:row r="563" ht="15.75" customHeight="1">
      <x:c r="A563" s="62"/>
    </x:row>
    <x:row r="564" ht="15.75" customHeight="1">
      <x:c r="A564" s="62"/>
    </x:row>
    <x:row r="565" ht="15.75" customHeight="1">
      <x:c r="A565" s="62"/>
    </x:row>
    <x:row r="566" ht="15.75" customHeight="1">
      <x:c r="A566" s="62"/>
    </x:row>
    <x:row r="567" ht="15.75" customHeight="1">
      <x:c r="A567" s="62"/>
    </x:row>
    <x:row r="568" ht="15.75" customHeight="1">
      <x:c r="A568" s="62"/>
    </x:row>
    <x:row r="569" ht="15.75" customHeight="1">
      <x:c r="A569" s="62"/>
    </x:row>
    <x:row r="570" ht="15.75" customHeight="1">
      <x:c r="A570" s="62"/>
    </x:row>
    <x:row r="571" ht="15.75" customHeight="1">
      <x:c r="A571" s="62"/>
    </x:row>
    <x:row r="572" ht="15.75" customHeight="1">
      <x:c r="A572" s="62"/>
    </x:row>
    <x:row r="573" ht="15.75" customHeight="1">
      <x:c r="A573" s="62"/>
    </x:row>
    <x:row r="574" ht="15.75" customHeight="1">
      <x:c r="A574" s="62"/>
    </x:row>
    <x:row r="575" ht="15.75" customHeight="1">
      <x:c r="A575" s="62"/>
    </x:row>
    <x:row r="576" ht="15.75" customHeight="1">
      <x:c r="A576" s="62"/>
    </x:row>
    <x:row r="577" ht="15.75" customHeight="1">
      <x:c r="A577" s="62"/>
    </x:row>
    <x:row r="578" ht="15.75" customHeight="1">
      <x:c r="A578" s="62"/>
    </x:row>
    <x:row r="579" ht="15.75" customHeight="1">
      <x:c r="A579" s="62"/>
    </x:row>
    <x:row r="580" ht="15.75" customHeight="1">
      <x:c r="A580" s="62"/>
    </x:row>
    <x:row r="581" ht="15.75" customHeight="1">
      <x:c r="A581" s="62"/>
    </x:row>
    <x:row r="582" ht="15.75" customHeight="1">
      <x:c r="A582" s="62"/>
    </x:row>
    <x:row r="583" ht="15.75" customHeight="1">
      <x:c r="A583" s="62"/>
    </x:row>
    <x:row r="584" ht="15.75" customHeight="1">
      <x:c r="A584" s="62"/>
    </x:row>
    <x:row r="585" ht="15.75" customHeight="1">
      <x:c r="A585" s="62"/>
    </x:row>
    <x:row r="586" ht="15.75" customHeight="1">
      <x:c r="A586" s="62"/>
    </x:row>
    <x:row r="587" ht="15.75" customHeight="1">
      <x:c r="A587" s="62"/>
    </x:row>
    <x:row r="588" ht="15.75" customHeight="1">
      <x:c r="A588" s="62"/>
    </x:row>
    <x:row r="589" ht="15.75" customHeight="1">
      <x:c r="A589" s="62"/>
    </x:row>
    <x:row r="590" ht="15.75" customHeight="1">
      <x:c r="A590" s="62"/>
    </x:row>
    <x:row r="591" ht="15.75" customHeight="1">
      <x:c r="A591" s="62"/>
    </x:row>
    <x:row r="592" ht="15.75" customHeight="1">
      <x:c r="A592" s="62"/>
    </x:row>
    <x:row r="593" ht="15.75" customHeight="1">
      <x:c r="A593" s="62"/>
    </x:row>
    <x:row r="594" ht="15.75" customHeight="1">
      <x:c r="A594" s="62"/>
    </x:row>
    <x:row r="595" ht="15.75" customHeight="1">
      <x:c r="A595" s="62"/>
    </x:row>
    <x:row r="596" ht="15.75" customHeight="1">
      <x:c r="A596" s="62"/>
    </x:row>
    <x:row r="597" ht="15.75" customHeight="1">
      <x:c r="A597" s="62"/>
    </x:row>
    <x:row r="598" ht="15.75" customHeight="1">
      <x:c r="A598" s="62"/>
    </x:row>
    <x:row r="599" ht="15.75" customHeight="1">
      <x:c r="A599" s="62"/>
    </x:row>
    <x:row r="600" ht="15.75" customHeight="1">
      <x:c r="A600" s="62"/>
    </x:row>
    <x:row r="601" ht="15.75" customHeight="1">
      <x:c r="A601" s="62"/>
    </x:row>
    <x:row r="602" ht="15.75" customHeight="1">
      <x:c r="A602" s="62"/>
    </x:row>
    <x:row r="603" ht="15.75" customHeight="1">
      <x:c r="A603" s="62"/>
    </x:row>
    <x:row r="604" ht="15.75" customHeight="1">
      <x:c r="A604" s="62"/>
    </x:row>
    <x:row r="605" ht="15.75" customHeight="1">
      <x:c r="A605" s="62"/>
    </x:row>
    <x:row r="606" ht="15.75" customHeight="1">
      <x:c r="A606" s="62"/>
    </x:row>
    <x:row r="607" ht="15.75" customHeight="1">
      <x:c r="A607" s="62"/>
    </x:row>
    <x:row r="608" ht="15.75" customHeight="1">
      <x:c r="A608" s="62"/>
    </x:row>
    <x:row r="609" ht="15.75" customHeight="1">
      <x:c r="A609" s="62"/>
    </x:row>
    <x:row r="610" ht="15.75" customHeight="1">
      <x:c r="A610" s="62"/>
    </x:row>
    <x:row r="611" ht="15.75" customHeight="1">
      <x:c r="A611" s="62"/>
    </x:row>
    <x:row r="612" ht="15.75" customHeight="1">
      <x:c r="A612" s="62"/>
    </x:row>
    <x:row r="613" ht="15.75" customHeight="1">
      <x:c r="A613" s="62"/>
    </x:row>
    <x:row r="614" ht="15.75" customHeight="1">
      <x:c r="A614" s="62"/>
    </x:row>
    <x:row r="615" ht="15.75" customHeight="1">
      <x:c r="A615" s="62"/>
    </x:row>
    <x:row r="616" ht="15.75" customHeight="1">
      <x:c r="A616" s="62"/>
    </x:row>
    <x:row r="617" ht="15.75" customHeight="1">
      <x:c r="A617" s="62"/>
    </x:row>
    <x:row r="618" ht="15.75" customHeight="1">
      <x:c r="A618" s="62"/>
    </x:row>
    <x:row r="619" ht="15.75" customHeight="1">
      <x:c r="A619" s="62"/>
    </x:row>
    <x:row r="620" ht="15.75" customHeight="1">
      <x:c r="A620" s="62"/>
    </x:row>
    <x:row r="621" ht="15.75" customHeight="1">
      <x:c r="A621" s="62"/>
    </x:row>
    <x:row r="622" ht="15.75" customHeight="1">
      <x:c r="A622" s="62"/>
    </x:row>
    <x:row r="623" ht="15.75" customHeight="1">
      <x:c r="A623" s="62"/>
    </x:row>
    <x:row r="624" ht="15.75" customHeight="1">
      <x:c r="A624" s="62"/>
    </x:row>
    <x:row r="625" ht="15.75" customHeight="1">
      <x:c r="A625" s="62"/>
    </x:row>
    <x:row r="626" ht="15.75" customHeight="1">
      <x:c r="A626" s="62"/>
    </x:row>
    <x:row r="627" ht="15.75" customHeight="1">
      <x:c r="A627" s="62"/>
    </x:row>
    <x:row r="628" ht="15.75" customHeight="1">
      <x:c r="A628" s="62"/>
    </x:row>
    <x:row r="629" ht="15.75" customHeight="1">
      <x:c r="A629" s="62"/>
    </x:row>
    <x:row r="630" ht="15.75" customHeight="1">
      <x:c r="A630" s="62"/>
    </x:row>
    <x:row r="631" ht="15.75" customHeight="1">
      <x:c r="A631" s="62"/>
    </x:row>
    <x:row r="632" ht="15.75" customHeight="1">
      <x:c r="A632" s="62"/>
    </x:row>
    <x:row r="633" ht="15.75" customHeight="1">
      <x:c r="A633" s="62"/>
    </x:row>
    <x:row r="634" ht="15.75" customHeight="1">
      <x:c r="A634" s="62"/>
    </x:row>
    <x:row r="635" ht="15.75" customHeight="1">
      <x:c r="A635" s="62"/>
    </x:row>
    <x:row r="636" ht="15.75" customHeight="1">
      <x:c r="A636" s="62"/>
    </x:row>
    <x:row r="637" ht="15.75" customHeight="1">
      <x:c r="A637" s="62"/>
    </x:row>
    <x:row r="638" ht="15.75" customHeight="1">
      <x:c r="A638" s="62"/>
    </x:row>
    <x:row r="639" ht="15.75" customHeight="1">
      <x:c r="A639" s="62"/>
    </x:row>
    <x:row r="640" ht="15.75" customHeight="1">
      <x:c r="A640" s="62"/>
    </x:row>
    <x:row r="641" ht="15.75" customHeight="1">
      <x:c r="A641" s="62"/>
    </x:row>
    <x:row r="642" ht="15.75" customHeight="1">
      <x:c r="A642" s="62"/>
    </x:row>
    <x:row r="643" ht="15.75" customHeight="1">
      <x:c r="A643" s="62"/>
    </x:row>
    <x:row r="644" ht="15.75" customHeight="1">
      <x:c r="A644" s="62"/>
    </x:row>
    <x:row r="645" ht="15.75" customHeight="1">
      <x:c r="A645" s="62"/>
    </x:row>
    <x:row r="646" ht="15.75" customHeight="1">
      <x:c r="A646" s="62"/>
    </x:row>
    <x:row r="647" ht="15.75" customHeight="1">
      <x:c r="A647" s="62"/>
    </x:row>
    <x:row r="648" ht="15.75" customHeight="1">
      <x:c r="A648" s="62"/>
    </x:row>
    <x:row r="649" ht="15.75" customHeight="1">
      <x:c r="A649" s="62"/>
    </x:row>
    <x:row r="650" ht="15.75" customHeight="1">
      <x:c r="A650" s="62"/>
    </x:row>
    <x:row r="651" ht="15.75" customHeight="1">
      <x:c r="A651" s="62"/>
    </x:row>
    <x:row r="652" ht="15.75" customHeight="1">
      <x:c r="A652" s="62"/>
    </x:row>
    <x:row r="653" ht="15.75" customHeight="1">
      <x:c r="A653" s="62"/>
    </x:row>
    <x:row r="654" ht="15.75" customHeight="1">
      <x:c r="A654" s="62"/>
    </x:row>
    <x:row r="655" ht="15.75" customHeight="1">
      <x:c r="A655" s="62"/>
    </x:row>
    <x:row r="656" ht="15.75" customHeight="1">
      <x:c r="A656" s="62"/>
    </x:row>
    <x:row r="657" ht="15.75" customHeight="1">
      <x:c r="A657" s="62"/>
    </x:row>
    <x:row r="658" ht="15.75" customHeight="1">
      <x:c r="A658" s="62"/>
    </x:row>
    <x:row r="659" ht="15.75" customHeight="1">
      <x:c r="A659" s="62"/>
    </x:row>
    <x:row r="660" ht="15.75" customHeight="1">
      <x:c r="A660" s="62"/>
    </x:row>
    <x:row r="661" ht="15.75" customHeight="1">
      <x:c r="A661" s="62"/>
    </x:row>
    <x:row r="662" ht="15.75" customHeight="1">
      <x:c r="A662" s="62"/>
    </x:row>
    <x:row r="663" ht="15.75" customHeight="1">
      <x:c r="A663" s="62"/>
    </x:row>
    <x:row r="664" ht="15.75" customHeight="1">
      <x:c r="A664" s="62"/>
    </x:row>
    <x:row r="665" ht="15.75" customHeight="1">
      <x:c r="A665" s="62"/>
    </x:row>
    <x:row r="666" ht="15.75" customHeight="1">
      <x:c r="A666" s="62"/>
    </x:row>
    <x:row r="667" ht="15.75" customHeight="1">
      <x:c r="A667" s="62"/>
    </x:row>
    <x:row r="668" ht="15.75" customHeight="1">
      <x:c r="A668" s="62"/>
    </x:row>
    <x:row r="669" ht="15.75" customHeight="1">
      <x:c r="A669" s="62"/>
    </x:row>
    <x:row r="670" ht="15.75" customHeight="1">
      <x:c r="A670" s="62"/>
    </x:row>
    <x:row r="671" ht="15.75" customHeight="1">
      <x:c r="A671" s="62"/>
    </x:row>
    <x:row r="672" ht="15.75" customHeight="1">
      <x:c r="A672" s="62"/>
    </x:row>
    <x:row r="673" ht="15.75" customHeight="1">
      <x:c r="A673" s="62"/>
    </x:row>
    <x:row r="674" ht="15.75" customHeight="1">
      <x:c r="A674" s="62"/>
    </x:row>
    <x:row r="675" ht="15.75" customHeight="1">
      <x:c r="A675" s="62"/>
    </x:row>
    <x:row r="676" ht="15.75" customHeight="1">
      <x:c r="A676" s="62"/>
    </x:row>
    <x:row r="677" ht="15.75" customHeight="1">
      <x:c r="A677" s="62"/>
    </x:row>
    <x:row r="678" ht="15.75" customHeight="1">
      <x:c r="A678" s="62"/>
    </x:row>
    <x:row r="679" ht="15.75" customHeight="1">
      <x:c r="A679" s="62"/>
    </x:row>
    <x:row r="680" ht="15.75" customHeight="1">
      <x:c r="A680" s="62"/>
    </x:row>
    <x:row r="681" ht="15.75" customHeight="1">
      <x:c r="A681" s="62"/>
    </x:row>
    <x:row r="682" ht="15.75" customHeight="1">
      <x:c r="A682" s="62"/>
    </x:row>
    <x:row r="683" ht="15.75" customHeight="1">
      <x:c r="A683" s="62"/>
    </x:row>
    <x:row r="684" ht="15.75" customHeight="1">
      <x:c r="A684" s="62"/>
    </x:row>
    <x:row r="685" ht="15.75" customHeight="1">
      <x:c r="A685" s="62"/>
    </x:row>
    <x:row r="686" ht="15.75" customHeight="1">
      <x:c r="A686" s="62"/>
    </x:row>
    <x:row r="687" ht="15.75" customHeight="1">
      <x:c r="A687" s="62"/>
    </x:row>
    <x:row r="688" ht="15.75" customHeight="1">
      <x:c r="A688" s="62"/>
    </x:row>
    <x:row r="689" ht="15.75" customHeight="1">
      <x:c r="A689" s="62"/>
    </x:row>
    <x:row r="690" ht="15.75" customHeight="1">
      <x:c r="A690" s="62"/>
    </x:row>
    <x:row r="691" ht="15.75" customHeight="1">
      <x:c r="A691" s="62"/>
    </x:row>
    <x:row r="692" ht="15.75" customHeight="1">
      <x:c r="A692" s="62"/>
    </x:row>
    <x:row r="693" ht="15.75" customHeight="1">
      <x:c r="A693" s="62"/>
    </x:row>
    <x:row r="694" ht="15.75" customHeight="1">
      <x:c r="A694" s="62"/>
    </x:row>
    <x:row r="695" ht="15.75" customHeight="1">
      <x:c r="A695" s="62"/>
    </x:row>
    <x:row r="696" ht="15.75" customHeight="1">
      <x:c r="A696" s="62"/>
    </x:row>
    <x:row r="697" ht="15.75" customHeight="1">
      <x:c r="A697" s="62"/>
    </x:row>
    <x:row r="698" ht="15.75" customHeight="1">
      <x:c r="A698" s="62"/>
    </x:row>
    <x:row r="699" ht="15.75" customHeight="1">
      <x:c r="A699" s="62"/>
    </x:row>
    <x:row r="700" ht="15.75" customHeight="1">
      <x:c r="A700" s="62"/>
    </x:row>
    <x:row r="701" ht="15.75" customHeight="1">
      <x:c r="A701" s="62"/>
    </x:row>
    <x:row r="702" ht="15.75" customHeight="1">
      <x:c r="A702" s="62"/>
    </x:row>
    <x:row r="703" ht="15.75" customHeight="1">
      <x:c r="A703" s="62"/>
    </x:row>
    <x:row r="704" ht="15.75" customHeight="1">
      <x:c r="A704" s="62"/>
    </x:row>
    <x:row r="705" ht="15.75" customHeight="1">
      <x:c r="A705" s="62"/>
    </x:row>
    <x:row r="706" ht="15.75" customHeight="1">
      <x:c r="A706" s="62"/>
    </x:row>
    <x:row r="707" ht="15.75" customHeight="1">
      <x:c r="A707" s="62"/>
    </x:row>
    <x:row r="708" ht="15.75" customHeight="1">
      <x:c r="A708" s="62"/>
    </x:row>
    <x:row r="709" ht="15.75" customHeight="1">
      <x:c r="A709" s="62"/>
    </x:row>
    <x:row r="710" ht="15.75" customHeight="1">
      <x:c r="A710" s="62"/>
    </x:row>
    <x:row r="711" ht="15.75" customHeight="1">
      <x:c r="A711" s="62"/>
    </x:row>
    <x:row r="712" ht="15.75" customHeight="1">
      <x:c r="A712" s="62"/>
    </x:row>
    <x:row r="713" ht="15.75" customHeight="1">
      <x:c r="A713" s="62"/>
    </x:row>
    <x:row r="714" ht="15.75" customHeight="1">
      <x:c r="A714" s="62"/>
    </x:row>
    <x:row r="715" ht="15.75" customHeight="1">
      <x:c r="A715" s="62"/>
    </x:row>
    <x:row r="716" ht="15.75" customHeight="1">
      <x:c r="A716" s="62"/>
    </x:row>
    <x:row r="717" ht="15.75" customHeight="1">
      <x:c r="A717" s="62"/>
    </x:row>
    <x:row r="718" ht="15.75" customHeight="1">
      <x:c r="A718" s="62"/>
    </x:row>
    <x:row r="719" ht="15.75" customHeight="1">
      <x:c r="A719" s="62"/>
    </x:row>
    <x:row r="720" ht="15.75" customHeight="1">
      <x:c r="A720" s="62"/>
    </x:row>
    <x:row r="721" ht="15.75" customHeight="1">
      <x:c r="A721" s="62"/>
    </x:row>
    <x:row r="722" ht="15.75" customHeight="1">
      <x:c r="A722" s="62"/>
    </x:row>
    <x:row r="723" ht="15.75" customHeight="1">
      <x:c r="A723" s="62"/>
    </x:row>
    <x:row r="724" ht="15.75" customHeight="1">
      <x:c r="A724" s="62"/>
    </x:row>
    <x:row r="725" ht="15.75" customHeight="1">
      <x:c r="A725" s="62"/>
    </x:row>
    <x:row r="726" ht="15.75" customHeight="1">
      <x:c r="A726" s="62"/>
    </x:row>
    <x:row r="727" ht="15.75" customHeight="1">
      <x:c r="A727" s="62"/>
    </x:row>
    <x:row r="728" ht="15.75" customHeight="1">
      <x:c r="A728" s="62"/>
    </x:row>
    <x:row r="729" ht="15.75" customHeight="1">
      <x:c r="A729" s="62"/>
    </x:row>
    <x:row r="730" ht="15.75" customHeight="1">
      <x:c r="A730" s="62"/>
    </x:row>
    <x:row r="731" ht="15.75" customHeight="1">
      <x:c r="A731" s="62"/>
    </x:row>
    <x:row r="732" ht="15.75" customHeight="1">
      <x:c r="A732" s="62"/>
    </x:row>
    <x:row r="733" ht="15.75" customHeight="1">
      <x:c r="A733" s="62"/>
    </x:row>
    <x:row r="734" ht="15.75" customHeight="1">
      <x:c r="A734" s="62"/>
    </x:row>
    <x:row r="735" ht="15.75" customHeight="1">
      <x:c r="A735" s="62"/>
    </x:row>
    <x:row r="736" ht="15.75" customHeight="1">
      <x:c r="A736" s="62"/>
    </x:row>
    <x:row r="737" ht="15.75" customHeight="1">
      <x:c r="A737" s="62"/>
    </x:row>
    <x:row r="738" ht="15.75" customHeight="1">
      <x:c r="A738" s="62"/>
    </x:row>
    <x:row r="739" ht="15.75" customHeight="1">
      <x:c r="A739" s="62"/>
    </x:row>
    <x:row r="740" ht="15.75" customHeight="1">
      <x:c r="A740" s="62"/>
    </x:row>
    <x:row r="741" ht="15.75" customHeight="1">
      <x:c r="A741" s="62"/>
    </x:row>
    <x:row r="742" ht="15.75" customHeight="1">
      <x:c r="A742" s="62"/>
    </x:row>
    <x:row r="743" ht="15.75" customHeight="1">
      <x:c r="A743" s="62"/>
    </x:row>
    <x:row r="744" ht="15.75" customHeight="1">
      <x:c r="A744" s="62"/>
    </x:row>
    <x:row r="745" ht="15.75" customHeight="1">
      <x:c r="A745" s="62"/>
    </x:row>
    <x:row r="746" ht="15.75" customHeight="1">
      <x:c r="A746" s="62"/>
    </x:row>
    <x:row r="747" ht="15.75" customHeight="1">
      <x:c r="A747" s="62"/>
    </x:row>
    <x:row r="748" ht="15.75" customHeight="1">
      <x:c r="A748" s="62"/>
    </x:row>
    <x:row r="749" ht="15.75" customHeight="1">
      <x:c r="A749" s="62"/>
    </x:row>
    <x:row r="750" ht="15.75" customHeight="1">
      <x:c r="A750" s="62"/>
    </x:row>
    <x:row r="751" ht="15.75" customHeight="1">
      <x:c r="A751" s="62"/>
    </x:row>
    <x:row r="752" ht="15.75" customHeight="1">
      <x:c r="A752" s="62"/>
    </x:row>
    <x:row r="753" ht="15.75" customHeight="1">
      <x:c r="A753" s="62"/>
    </x:row>
    <x:row r="754" ht="15.75" customHeight="1">
      <x:c r="A754" s="62"/>
    </x:row>
    <x:row r="755" ht="15.75" customHeight="1">
      <x:c r="A755" s="62"/>
    </x:row>
    <x:row r="756" ht="15.75" customHeight="1">
      <x:c r="A756" s="62"/>
    </x:row>
    <x:row r="757" ht="15.75" customHeight="1">
      <x:c r="A757" s="62"/>
    </x:row>
    <x:row r="758" ht="15.75" customHeight="1">
      <x:c r="A758" s="62"/>
    </x:row>
    <x:row r="759" ht="15.75" customHeight="1">
      <x:c r="A759" s="62"/>
    </x:row>
    <x:row r="760" ht="15.75" customHeight="1">
      <x:c r="A760" s="62"/>
    </x:row>
    <x:row r="761" ht="15.75" customHeight="1">
      <x:c r="A761" s="62"/>
    </x:row>
    <x:row r="762" ht="15.75" customHeight="1">
      <x:c r="A762" s="62"/>
    </x:row>
    <x:row r="763" ht="15.75" customHeight="1">
      <x:c r="A763" s="62"/>
    </x:row>
    <x:row r="764" ht="15.75" customHeight="1">
      <x:c r="A764" s="62"/>
    </x:row>
    <x:row r="765" ht="15.75" customHeight="1">
      <x:c r="A765" s="62"/>
    </x:row>
    <x:row r="766" ht="15.75" customHeight="1">
      <x:c r="A766" s="62"/>
    </x:row>
    <x:row r="767" ht="15.75" customHeight="1">
      <x:c r="A767" s="62"/>
    </x:row>
    <x:row r="768" ht="15.75" customHeight="1">
      <x:c r="A768" s="62"/>
    </x:row>
    <x:row r="769" ht="15.75" customHeight="1">
      <x:c r="A769" s="62"/>
    </x:row>
    <x:row r="770" ht="15.75" customHeight="1">
      <x:c r="A770" s="62"/>
    </x:row>
    <x:row r="771" ht="15.75" customHeight="1">
      <x:c r="A771" s="62"/>
    </x:row>
    <x:row r="772" ht="15.75" customHeight="1">
      <x:c r="A772" s="62"/>
    </x:row>
    <x:row r="773" ht="15.75" customHeight="1">
      <x:c r="A773" s="62"/>
    </x:row>
    <x:row r="774" ht="15.75" customHeight="1">
      <x:c r="A774" s="62"/>
    </x:row>
    <x:row r="775" ht="15.75" customHeight="1">
      <x:c r="A775" s="62"/>
    </x:row>
    <x:row r="776" ht="15.75" customHeight="1">
      <x:c r="A776" s="62"/>
    </x:row>
    <x:row r="777" ht="15.75" customHeight="1">
      <x:c r="A777" s="62"/>
    </x:row>
    <x:row r="778" ht="15.75" customHeight="1">
      <x:c r="A778" s="62"/>
    </x:row>
    <x:row r="779" ht="15.75" customHeight="1">
      <x:c r="A779" s="62"/>
    </x:row>
    <x:row r="780" ht="15.75" customHeight="1">
      <x:c r="A780" s="62"/>
    </x:row>
    <x:row r="781" ht="15.75" customHeight="1">
      <x:c r="A781" s="62"/>
    </x:row>
    <x:row r="782" ht="15.75" customHeight="1">
      <x:c r="A782" s="62"/>
    </x:row>
    <x:row r="783" ht="15.75" customHeight="1">
      <x:c r="A783" s="62"/>
    </x:row>
    <x:row r="784" ht="15.75" customHeight="1">
      <x:c r="A784" s="62"/>
    </x:row>
    <x:row r="785" ht="15.75" customHeight="1">
      <x:c r="A785" s="62"/>
    </x:row>
    <x:row r="786" ht="15.75" customHeight="1">
      <x:c r="A786" s="62"/>
    </x:row>
    <x:row r="787" ht="15.75" customHeight="1">
      <x:c r="A787" s="62"/>
    </x:row>
    <x:row r="788" ht="15.75" customHeight="1">
      <x:c r="A788" s="62"/>
    </x:row>
    <x:row r="789" ht="15.75" customHeight="1">
      <x:c r="A789" s="62"/>
    </x:row>
    <x:row r="790" ht="15.75" customHeight="1">
      <x:c r="A790" s="62"/>
    </x:row>
    <x:row r="791" ht="15.75" customHeight="1">
      <x:c r="A791" s="62"/>
    </x:row>
    <x:row r="792" ht="15.75" customHeight="1">
      <x:c r="A792" s="62"/>
    </x:row>
    <x:row r="793" ht="15.75" customHeight="1">
      <x:c r="A793" s="62"/>
    </x:row>
    <x:row r="794" ht="15.75" customHeight="1">
      <x:c r="A794" s="62"/>
    </x:row>
    <x:row r="795" ht="15.75" customHeight="1">
      <x:c r="A795" s="62"/>
    </x:row>
    <x:row r="796" ht="15.75" customHeight="1">
      <x:c r="A796" s="62"/>
    </x:row>
    <x:row r="797" ht="15.75" customHeight="1">
      <x:c r="A797" s="62"/>
    </x:row>
    <x:row r="798" ht="15.75" customHeight="1">
      <x:c r="A798" s="62"/>
    </x:row>
    <x:row r="799" ht="15.75" customHeight="1">
      <x:c r="A799" s="62"/>
    </x:row>
    <x:row r="800" ht="15.75" customHeight="1">
      <x:c r="A800" s="62"/>
    </x:row>
    <x:row r="801" ht="15.75" customHeight="1">
      <x:c r="A801" s="62"/>
    </x:row>
    <x:row r="802" ht="15.75" customHeight="1">
      <x:c r="A802" s="62"/>
    </x:row>
    <x:row r="803" ht="15.75" customHeight="1">
      <x:c r="A803" s="62"/>
    </x:row>
    <x:row r="804" ht="15.75" customHeight="1">
      <x:c r="A804" s="62"/>
    </x:row>
    <x:row r="805" ht="15.75" customHeight="1">
      <x:c r="A805" s="62"/>
    </x:row>
    <x:row r="806" ht="15.75" customHeight="1">
      <x:c r="A806" s="62"/>
    </x:row>
    <x:row r="807" ht="15.75" customHeight="1">
      <x:c r="A807" s="62"/>
    </x:row>
    <x:row r="808" ht="15.75" customHeight="1">
      <x:c r="A808" s="62"/>
    </x:row>
    <x:row r="809" ht="15.75" customHeight="1">
      <x:c r="A809" s="62"/>
    </x:row>
    <x:row r="810" ht="15.75" customHeight="1">
      <x:c r="A810" s="62"/>
    </x:row>
    <x:row r="811" ht="15.75" customHeight="1">
      <x:c r="A811" s="62"/>
    </x:row>
    <x:row r="812" ht="15.75" customHeight="1">
      <x:c r="A812" s="62"/>
    </x:row>
    <x:row r="813" ht="15.75" customHeight="1">
      <x:c r="A813" s="62"/>
    </x:row>
    <x:row r="814" ht="15.75" customHeight="1">
      <x:c r="A814" s="62"/>
    </x:row>
    <x:row r="815" ht="15.75" customHeight="1">
      <x:c r="A815" s="62"/>
    </x:row>
    <x:row r="816" ht="15.75" customHeight="1">
      <x:c r="A816" s="62"/>
    </x:row>
    <x:row r="817" ht="15.75" customHeight="1">
      <x:c r="A817" s="62"/>
    </x:row>
    <x:row r="818" ht="15.75" customHeight="1">
      <x:c r="A818" s="62"/>
    </x:row>
    <x:row r="819" ht="15.75" customHeight="1">
      <x:c r="A819" s="62"/>
    </x:row>
    <x:row r="820" ht="15.75" customHeight="1">
      <x:c r="A820" s="62"/>
    </x:row>
    <x:row r="821" ht="15.75" customHeight="1">
      <x:c r="A821" s="62"/>
    </x:row>
    <x:row r="822" ht="15.75" customHeight="1">
      <x:c r="A822" s="62"/>
    </x:row>
    <x:row r="823" ht="15.75" customHeight="1">
      <x:c r="A823" s="62"/>
    </x:row>
    <x:row r="824" ht="15.75" customHeight="1">
      <x:c r="A824" s="62"/>
    </x:row>
    <x:row r="825" ht="15.75" customHeight="1">
      <x:c r="A825" s="62"/>
    </x:row>
    <x:row r="826" ht="15.75" customHeight="1">
      <x:c r="A826" s="62"/>
    </x:row>
    <x:row r="827" ht="15.75" customHeight="1">
      <x:c r="A827" s="62"/>
    </x:row>
    <x:row r="828" ht="15.75" customHeight="1">
      <x:c r="A828" s="62"/>
    </x:row>
    <x:row r="829" ht="15.75" customHeight="1">
      <x:c r="A829" s="62"/>
    </x:row>
    <x:row r="830" ht="15.75" customHeight="1">
      <x:c r="A830" s="62"/>
    </x:row>
    <x:row r="831" ht="15.75" customHeight="1">
      <x:c r="A831" s="62"/>
    </x:row>
    <x:row r="832" ht="15.75" customHeight="1">
      <x:c r="A832" s="62"/>
    </x:row>
    <x:row r="833" ht="15.75" customHeight="1">
      <x:c r="A833" s="62"/>
    </x:row>
    <x:row r="834" ht="15.75" customHeight="1">
      <x:c r="A834" s="62"/>
    </x:row>
    <x:row r="835" ht="15.75" customHeight="1">
      <x:c r="A835" s="62"/>
    </x:row>
    <x:row r="836" ht="15.75" customHeight="1">
      <x:c r="A836" s="62"/>
    </x:row>
    <x:row r="837" ht="15.75" customHeight="1">
      <x:c r="A837" s="62"/>
    </x:row>
    <x:row r="838" ht="15.75" customHeight="1">
      <x:c r="A838" s="62"/>
    </x:row>
    <x:row r="839" ht="15.75" customHeight="1">
      <x:c r="A839" s="62"/>
    </x:row>
    <x:row r="840" ht="15.75" customHeight="1">
      <x:c r="A840" s="62"/>
    </x:row>
    <x:row r="841" ht="15.75" customHeight="1">
      <x:c r="A841" s="62"/>
    </x:row>
    <x:row r="842" ht="15.75" customHeight="1">
      <x:c r="A842" s="62"/>
    </x:row>
    <x:row r="843" ht="15.75" customHeight="1">
      <x:c r="A843" s="62"/>
    </x:row>
    <x:row r="844" ht="15.75" customHeight="1">
      <x:c r="A844" s="62"/>
    </x:row>
    <x:row r="845" ht="15.75" customHeight="1">
      <x:c r="A845" s="62"/>
    </x:row>
    <x:row r="846" ht="15.75" customHeight="1">
      <x:c r="A846" s="62"/>
    </x:row>
    <x:row r="847" ht="15.75" customHeight="1">
      <x:c r="A847" s="62"/>
    </x:row>
    <x:row r="848" ht="15.75" customHeight="1">
      <x:c r="A848" s="62"/>
    </x:row>
    <x:row r="849" ht="15.75" customHeight="1">
      <x:c r="A849" s="62"/>
    </x:row>
    <x:row r="850" ht="15.75" customHeight="1">
      <x:c r="A850" s="62"/>
    </x:row>
    <x:row r="851" ht="15.75" customHeight="1">
      <x:c r="A851" s="62"/>
    </x:row>
    <x:row r="852" ht="15.75" customHeight="1">
      <x:c r="A852" s="62"/>
    </x:row>
    <x:row r="853" ht="15.75" customHeight="1">
      <x:c r="A853" s="62"/>
    </x:row>
    <x:row r="854" ht="15.75" customHeight="1">
      <x:c r="A854" s="62"/>
    </x:row>
    <x:row r="855" ht="15.75" customHeight="1">
      <x:c r="A855" s="62"/>
    </x:row>
    <x:row r="856" ht="15.75" customHeight="1">
      <x:c r="A856" s="62"/>
    </x:row>
    <x:row r="857" ht="15.75" customHeight="1">
      <x:c r="A857" s="62"/>
    </x:row>
    <x:row r="858" ht="15.75" customHeight="1">
      <x:c r="A858" s="62"/>
    </x:row>
    <x:row r="859" ht="15.75" customHeight="1">
      <x:c r="A859" s="62"/>
    </x:row>
    <x:row r="860" ht="15.75" customHeight="1">
      <x:c r="A860" s="62"/>
    </x:row>
    <x:row r="861" ht="15.75" customHeight="1">
      <x:c r="A861" s="62"/>
    </x:row>
    <x:row r="862" ht="15.75" customHeight="1">
      <x:c r="A862" s="62"/>
    </x:row>
    <x:row r="863" ht="15.75" customHeight="1">
      <x:c r="A863" s="62"/>
    </x:row>
    <x:row r="864" ht="15.75" customHeight="1">
      <x:c r="A864" s="62"/>
    </x:row>
    <x:row r="865" ht="15.75" customHeight="1">
      <x:c r="A865" s="62"/>
    </x:row>
    <x:row r="866" ht="15.75" customHeight="1">
      <x:c r="A866" s="62"/>
    </x:row>
    <x:row r="867" ht="15.75" customHeight="1">
      <x:c r="A867" s="62"/>
    </x:row>
    <x:row r="868" ht="15.75" customHeight="1">
      <x:c r="A868" s="62"/>
    </x:row>
    <x:row r="869" ht="15.75" customHeight="1">
      <x:c r="A869" s="62"/>
    </x:row>
    <x:row r="870" ht="15.75" customHeight="1">
      <x:c r="A870" s="62"/>
    </x:row>
    <x:row r="871" ht="15.75" customHeight="1">
      <x:c r="A871" s="62"/>
    </x:row>
    <x:row r="872" ht="15.75" customHeight="1">
      <x:c r="A872" s="62"/>
    </x:row>
    <x:row r="873" ht="15.75" customHeight="1">
      <x:c r="A873" s="62"/>
    </x:row>
    <x:row r="874" ht="15.75" customHeight="1">
      <x:c r="A874" s="62"/>
    </x:row>
    <x:row r="875" ht="15.75" customHeight="1">
      <x:c r="A875" s="62"/>
    </x:row>
    <x:row r="876" ht="15.75" customHeight="1">
      <x:c r="A876" s="62"/>
    </x:row>
    <x:row r="877" ht="15.75" customHeight="1">
      <x:c r="A877" s="62"/>
    </x:row>
    <x:row r="878" ht="15.75" customHeight="1">
      <x:c r="A878" s="62"/>
    </x:row>
    <x:row r="879" ht="15.75" customHeight="1">
      <x:c r="A879" s="62"/>
    </x:row>
    <x:row r="880" ht="15.75" customHeight="1">
      <x:c r="A880" s="62"/>
    </x:row>
    <x:row r="881" ht="15.75" customHeight="1">
      <x:c r="A881" s="62"/>
    </x:row>
    <x:row r="882" ht="15.75" customHeight="1">
      <x:c r="A882" s="62"/>
    </x:row>
    <x:row r="883" ht="15.75" customHeight="1">
      <x:c r="A883" s="62"/>
    </x:row>
    <x:row r="884" ht="15.75" customHeight="1">
      <x:c r="A884" s="62"/>
    </x:row>
    <x:row r="885" ht="15.75" customHeight="1">
      <x:c r="A885" s="62"/>
    </x:row>
    <x:row r="886" ht="15.75" customHeight="1">
      <x:c r="A886" s="62"/>
    </x:row>
    <x:row r="887" ht="15.75" customHeight="1">
      <x:c r="A887" s="62"/>
    </x:row>
    <x:row r="888" ht="15.75" customHeight="1">
      <x:c r="A888" s="62"/>
    </x:row>
    <x:row r="889" ht="15.75" customHeight="1">
      <x:c r="A889" s="62"/>
    </x:row>
    <x:row r="890" ht="15.75" customHeight="1">
      <x:c r="A890" s="62"/>
    </x:row>
    <x:row r="891" ht="15.75" customHeight="1">
      <x:c r="A891" s="62"/>
    </x:row>
    <x:row r="892" ht="15.75" customHeight="1">
      <x:c r="A892" s="62"/>
    </x:row>
    <x:row r="893" ht="15.75" customHeight="1">
      <x:c r="A893" s="62"/>
    </x:row>
    <x:row r="894" ht="15.75" customHeight="1">
      <x:c r="A894" s="62"/>
    </x:row>
    <x:row r="895" ht="15.75" customHeight="1">
      <x:c r="A895" s="62"/>
    </x:row>
    <x:row r="896" ht="15.75" customHeight="1">
      <x:c r="A896" s="62"/>
    </x:row>
    <x:row r="897" ht="15.75" customHeight="1">
      <x:c r="A897" s="62"/>
    </x:row>
    <x:row r="898" ht="15.75" customHeight="1">
      <x:c r="A898" s="62"/>
    </x:row>
    <x:row r="899" ht="15.75" customHeight="1">
      <x:c r="A899" s="62"/>
    </x:row>
    <x:row r="900" ht="15.75" customHeight="1">
      <x:c r="A900" s="62"/>
    </x:row>
    <x:row r="901" ht="15.75" customHeight="1">
      <x:c r="A901" s="62"/>
    </x:row>
    <x:row r="902" ht="15.75" customHeight="1">
      <x:c r="A902" s="62"/>
    </x:row>
    <x:row r="903" ht="15.75" customHeight="1">
      <x:c r="A903" s="62"/>
    </x:row>
    <x:row r="904" ht="15.75" customHeight="1">
      <x:c r="A904" s="62"/>
    </x:row>
    <x:row r="905" ht="15.75" customHeight="1">
      <x:c r="A905" s="62"/>
    </x:row>
    <x:row r="906" ht="15.75" customHeight="1">
      <x:c r="A906" s="62"/>
    </x:row>
    <x:row r="907" ht="15.75" customHeight="1">
      <x:c r="A907" s="62"/>
    </x:row>
    <x:row r="908" ht="15.75" customHeight="1">
      <x:c r="A908" s="62"/>
    </x:row>
    <x:row r="909" ht="15.75" customHeight="1">
      <x:c r="A909" s="62"/>
    </x:row>
    <x:row r="910" ht="15.75" customHeight="1">
      <x:c r="A910" s="62"/>
    </x:row>
    <x:row r="911" ht="15.75" customHeight="1">
      <x:c r="A911" s="62"/>
    </x:row>
    <x:row r="912" ht="15.75" customHeight="1">
      <x:c r="A912" s="62"/>
    </x:row>
    <x:row r="913" ht="15.75" customHeight="1">
      <x:c r="A913" s="62"/>
    </x:row>
    <x:row r="914" ht="15.75" customHeight="1">
      <x:c r="A914" s="62"/>
    </x:row>
    <x:row r="915" ht="15.75" customHeight="1">
      <x:c r="A915" s="62"/>
    </x:row>
    <x:row r="916" ht="15.75" customHeight="1">
      <x:c r="A916" s="62"/>
    </x:row>
    <x:row r="917" ht="15.75" customHeight="1">
      <x:c r="A917" s="62"/>
    </x:row>
    <x:row r="918" ht="15.75" customHeight="1">
      <x:c r="A918" s="62"/>
    </x:row>
    <x:row r="919" ht="15.75" customHeight="1">
      <x:c r="A919" s="62"/>
    </x:row>
    <x:row r="920" ht="15.75" customHeight="1">
      <x:c r="A920" s="62"/>
    </x:row>
    <x:row r="921" ht="15.75" customHeight="1">
      <x:c r="A921" s="62"/>
    </x:row>
    <x:row r="922" ht="15.75" customHeight="1">
      <x:c r="A922" s="62"/>
    </x:row>
    <x:row r="923" ht="15.75" customHeight="1">
      <x:c r="A923" s="62"/>
    </x:row>
    <x:row r="924" ht="15.75" customHeight="1">
      <x:c r="A924" s="62"/>
    </x:row>
    <x:row r="925" ht="15.75" customHeight="1">
      <x:c r="A925" s="62"/>
    </x:row>
    <x:row r="926" ht="15.75" customHeight="1">
      <x:c r="A926" s="62"/>
    </x:row>
    <x:row r="927" ht="15.75" customHeight="1">
      <x:c r="A927" s="62"/>
    </x:row>
    <x:row r="928" ht="15.75" customHeight="1">
      <x:c r="A928" s="62"/>
    </x:row>
    <x:row r="929" ht="15.75" customHeight="1">
      <x:c r="A929" s="62"/>
    </x:row>
    <x:row r="930" ht="15.75" customHeight="1">
      <x:c r="A930" s="62"/>
    </x:row>
    <x:row r="931" ht="15.75" customHeight="1">
      <x:c r="A931" s="62"/>
    </x:row>
    <x:row r="932" ht="15.75" customHeight="1">
      <x:c r="A932" s="62"/>
    </x:row>
    <x:row r="933" ht="15.75" customHeight="1">
      <x:c r="A933" s="62"/>
    </x:row>
    <x:row r="934" ht="15.75" customHeight="1">
      <x:c r="A934" s="62"/>
    </x:row>
    <x:row r="935" ht="15.75" customHeight="1">
      <x:c r="A935" s="62"/>
    </x:row>
    <x:row r="936" ht="15.75" customHeight="1">
      <x:c r="A936" s="62"/>
    </x:row>
    <x:row r="937" ht="15.75" customHeight="1">
      <x:c r="A937" s="62"/>
    </x:row>
    <x:row r="938" ht="15.75" customHeight="1">
      <x:c r="A938" s="62"/>
    </x:row>
    <x:row r="939" ht="15.75" customHeight="1">
      <x:c r="A939" s="62"/>
    </x:row>
    <x:row r="940" ht="15.75" customHeight="1">
      <x:c r="A940" s="62"/>
    </x:row>
    <x:row r="941" ht="15.75" customHeight="1">
      <x:c r="A941" s="62"/>
    </x:row>
    <x:row r="942" ht="15.75" customHeight="1">
      <x:c r="A942" s="62"/>
    </x:row>
    <x:row r="943" ht="15.75" customHeight="1">
      <x:c r="A943" s="62"/>
    </x:row>
    <x:row r="944" ht="15.75" customHeight="1">
      <x:c r="A944" s="62"/>
    </x:row>
    <x:row r="945" ht="15.75" customHeight="1">
      <x:c r="A945" s="62"/>
    </x:row>
    <x:row r="946" ht="15.75" customHeight="1">
      <x:c r="A946" s="62"/>
    </x:row>
    <x:row r="947" ht="15.75" customHeight="1">
      <x:c r="A947" s="62"/>
    </x:row>
    <x:row r="948" ht="15.75" customHeight="1">
      <x:c r="A948" s="62"/>
    </x:row>
    <x:row r="949" ht="15.75" customHeight="1">
      <x:c r="A949" s="62"/>
    </x:row>
    <x:row r="950" ht="15.75" customHeight="1">
      <x:c r="A950" s="62"/>
    </x:row>
    <x:row r="951" ht="15.75" customHeight="1">
      <x:c r="A951" s="62"/>
    </x:row>
    <x:row r="952" ht="15.75" customHeight="1">
      <x:c r="A952" s="62"/>
    </x:row>
    <x:row r="953" ht="15.75" customHeight="1">
      <x:c r="A953" s="62"/>
    </x:row>
    <x:row r="954" ht="15.75" customHeight="1">
      <x:c r="A954" s="62"/>
    </x:row>
    <x:row r="955" ht="15.75" customHeight="1">
      <x:c r="A955" s="62"/>
    </x:row>
    <x:row r="956" ht="15.75" customHeight="1">
      <x:c r="A956" s="62"/>
    </x:row>
    <x:row r="957" ht="15.75" customHeight="1">
      <x:c r="A957" s="62"/>
    </x:row>
    <x:row r="958" ht="15.75" customHeight="1">
      <x:c r="A958" s="62"/>
    </x:row>
    <x:row r="959" ht="15.75" customHeight="1">
      <x:c r="A959" s="62"/>
    </x:row>
    <x:row r="960" ht="15.75" customHeight="1">
      <x:c r="A960" s="62"/>
    </x:row>
    <x:row r="961" ht="15.75" customHeight="1">
      <x:c r="A961" s="62"/>
    </x:row>
    <x:row r="962" ht="15.75" customHeight="1">
      <x:c r="A962" s="62"/>
    </x:row>
    <x:row r="963" ht="15.75" customHeight="1">
      <x:c r="A963" s="62"/>
    </x:row>
    <x:row r="964" ht="15.75" customHeight="1">
      <x:c r="A964" s="62"/>
    </x:row>
    <x:row r="965" ht="15.75" customHeight="1">
      <x:c r="A965" s="62"/>
    </x:row>
    <x:row r="966" ht="15.75" customHeight="1">
      <x:c r="A966" s="62"/>
    </x:row>
    <x:row r="967" ht="15.75" customHeight="1">
      <x:c r="A967" s="62"/>
    </x:row>
    <x:row r="968" ht="15.75" customHeight="1">
      <x:c r="A968" s="62"/>
    </x:row>
    <x:row r="969" ht="15.75" customHeight="1">
      <x:c r="A969" s="62"/>
    </x:row>
    <x:row r="970" ht="15.75" customHeight="1">
      <x:c r="A970" s="62"/>
    </x:row>
    <x:row r="971" ht="15.75" customHeight="1">
      <x:c r="A971" s="62"/>
    </x:row>
    <x:row r="972" ht="15.75" customHeight="1">
      <x:c r="A972" s="62"/>
    </x:row>
    <x:row r="973" ht="15.75" customHeight="1">
      <x:c r="A973" s="62"/>
    </x:row>
    <x:row r="974" ht="15.75" customHeight="1">
      <x:c r="A974" s="62"/>
    </x:row>
    <x:row r="975" ht="15.75" customHeight="1">
      <x:c r="A975" s="62"/>
    </x:row>
    <x:row r="976" ht="15.75" customHeight="1">
      <x:c r="A976" s="62"/>
    </x:row>
    <x:row r="977" ht="15.75" customHeight="1">
      <x:c r="A977" s="62"/>
    </x:row>
    <x:row r="978" ht="15.75" customHeight="1">
      <x:c r="A978" s="62"/>
    </x:row>
    <x:row r="979" ht="15.75" customHeight="1">
      <x:c r="A979" s="62"/>
    </x:row>
    <x:row r="980" ht="15.75" customHeight="1">
      <x:c r="A980" s="62"/>
    </x:row>
    <x:row r="981" ht="15.75" customHeight="1">
      <x:c r="A981" s="62"/>
    </x:row>
    <x:row r="982" ht="15.75" customHeight="1">
      <x:c r="A982" s="62"/>
    </x:row>
    <x:row r="983" ht="15.75" customHeight="1">
      <x:c r="A983" s="62"/>
    </x:row>
    <x:row r="984" ht="15.75" customHeight="1">
      <x:c r="A984" s="62"/>
    </x:row>
    <x:row r="985" ht="15.75" customHeight="1">
      <x:c r="A985" s="62"/>
    </x:row>
    <x:row r="986" ht="15.75" customHeight="1">
      <x:c r="A986" s="62"/>
    </x:row>
    <x:row r="987" ht="15.75" customHeight="1">
      <x:c r="A987" s="62"/>
    </x:row>
    <x:row r="988" ht="15.75" customHeight="1">
      <x:c r="A988" s="62"/>
    </x:row>
    <x:row r="989" ht="15.75" customHeight="1">
      <x:c r="A989" s="62"/>
    </x:row>
    <x:row r="990" ht="15.75" customHeight="1">
      <x:c r="A990" s="62"/>
    </x:row>
    <x:row r="991" ht="15.75" customHeight="1">
      <x:c r="A991" s="62"/>
    </x:row>
    <x:row r="992" ht="15.75" customHeight="1">
      <x:c r="A992" s="62"/>
    </x:row>
    <x:row r="993" ht="15.75" customHeight="1">
      <x:c r="A993" s="62"/>
    </x:row>
    <x:row r="994" ht="15.75" customHeight="1">
      <x:c r="A994" s="62"/>
    </x:row>
    <x:row r="995" ht="15.75" customHeight="1">
      <x:c r="A995" s="62"/>
    </x:row>
    <x:row r="996" ht="15.75" customHeight="1">
      <x:c r="A996" s="62"/>
    </x:row>
    <x:row r="997" ht="15.75" customHeight="1">
      <x:c r="A997" s="62"/>
    </x:row>
    <x:row r="998" ht="15.75" customHeight="1">
      <x:c r="A998" s="62"/>
    </x:row>
    <x:row r="999" ht="15.75" customHeight="1">
      <x:c r="A999" s="62"/>
    </x:row>
    <x:row r="1000" ht="15.75" customHeight="1">
      <x:c r="A1000" s="62"/>
    </x:row>
  </x:sheetData>
  <x:mergeCells>
    <x:mergeCell ref="A362:C362"/>
    <x:mergeCell ref="A377:C377"/>
    <x:mergeCell ref="A388:F388"/>
    <x:mergeCell ref="A1:F1"/>
    <x:mergeCell ref="A304:C304"/>
    <x:mergeCell ref="A317:B317"/>
    <x:mergeCell ref="A328:B328"/>
    <x:mergeCell ref="A338:B338"/>
    <x:mergeCell ref="A348:B348"/>
    <x:mergeCell ref="A353:B353"/>
    <x:mergeCell ref="A1:M1"/>
    <x:mergeCell ref="N1:O1"/>
  </x:mergeCells>
  <x:conditionalFormatting sqref="M4:M302">
    <x:cfRule type="cellIs" dxfId="0" priority="1" operator="equal">
      <x:formula>"Resolvido"</x:formula>
    </x:cfRule>
  </x:conditionalFormatting>
  <x:conditionalFormatting sqref="M4:M302">
    <x:cfRule type="cellIs" dxfId="2" priority="2" operator="equal">
      <x:formula>"Aberto"</x:formula>
    </x:cfRule>
  </x:conditionalFormatting>
  <x:conditionalFormatting sqref="M4:M302">
    <x:cfRule type="expression" dxfId="1" priority="3">
      <x:formula>OR(M4="Em andamento",M4="Aguardando cliente")</x:formula>
    </x:cfRule>
  </x:conditionalFormatting>
  <x:conditionalFormatting sqref="L4:L302">
    <x:cfRule type="cellIs" dxfId="2" priority="4" operator="equal">
      <x:formula>"Sim"</x:formula>
    </x:cfRule>
  </x:conditionalFormatting>
  <x:conditionalFormatting sqref="I4:I1000">
    <x:cfRule type="dataBar" priority="5">
      <x:dataBar>
        <x:cfvo type="min"/>
        <x:cfvo type="max"/>
        <x:color rgb="FF4F81BD"/>
      </x:dataBar>
      <x:extLst>
        <x:ext xmlns:x14="http://schemas.microsoft.com/office/spreadsheetml/2009/9/main" uri="{B025F937-C7B1-47D3-B67F-A62EFF666E3E}">
          <x14:id>{EFD09CCC-1D46-B8EE-5E07-4D524777AB71}</x14:id>
        </x:ext>
      </x:extLst>
    </x:cfRule>
  </x:conditionalFormatting>
  <x:dataValidations count="10">
    <x:dataValidation type="list" allowBlank="1" sqref="M4:M302">
      <x:formula1>"Aberto,Em andamento,Aguardando cliente,Resolvido,Cancelado"</x:formula1>
    </x:dataValidation>
    <x:dataValidation type="list" allowBlank="1" sqref="C4:C302">
      <x:formula1>"Cadeira de cabelo,Lavatorio/Shampoo,Carrinho auxiliar,Espelho/Estacao,Recepcao/Sofa,Maca,Outro"</x:formula1>
    </x:dataValidation>
    <x:dataValidation type="list" allowBlank="1" sqref="H4:H302">
      <x:formula1>"Producao,Qualidade,Logistica/Expedicao,Compras/Fornecedor,Comercial/Atendimento,Design/Engenharia,Outro"</x:formula1>
    </x:dataValidation>
    <x:dataValidation type="list" allowBlank="1" sqref="E4:E302">
      <x:formula1>"Acabamento,Embalagem,Material,Hidraulica,Costura,Montagem,Peca faltante,Peca quebrada,Dificuldade de montagem,Outros"</x:formula1>
    </x:dataValidation>
    <x:dataValidation type="list" allowBlank="1" sqref="L4:L302">
      <x:formula1>"Sim,Nao"</x:formula1>
    </x:dataValidation>
    <x:dataValidation type="list" allowBlank="1" sqref="F4:F302">
      <x:formula1>"Sem protecao/calco interno,Caixa amassada ou papelao fino,Falta fita de reforco,Sem plastico bolha/espuma,Caixa subdimensionada para o produto,Etiqueta de fragil ausente,Fixacao/paletizacao inadequada,Outros"</x:formula1>
    </x:dataValidation>
    <x:dataValidation type="list" allowBlank="1" sqref="G4:G302">
      <x:formula1>"Fornecedor,Producao interna,Transporte/Transportadora,Projeto/Design,Uso inadequado pelo cliente,Erro operacional,Outro"</x:formula1>
    </x:dataValidation>
    <x:dataValidation type="list" sqref="E4:E1000">
      <x:formula1>"Acabamento,Material,Hidraulica,Costura,Montagem,Peca faltante,Peca quebrada,Dificuldade de montagem,Outros"</x:formula1>
    </x:dataValidation>
    <x:dataValidation type="list" sqref="K4:K1000">
      <x:formula1>"Sim,Não"</x:formula1>
    </x:dataValidation>
    <x:dataValidation type="list" sqref="L4:L1000">
      <x:formula1>"Aberto,Em andamento,Aguardando cliente,Resolvido,Cancelado"</x:formula1>
    </x:dataValidation>
  </x:dataValidations>
  <x:pageMargins left="0.7" right="0.7" top="0.75" bottom="0.75" header="0.3" footer="0.3"/>
  <x:drawing xmlns:r="http://schemas.openxmlformats.org/officeDocument/2006/relationships" r:id="R638d033322784096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EFD09CCC-1D46-B8EE-5E07-4D524777AB71}">
            <x14:dataBar gradient="1">
              <x14:cfvo type="min"/>
              <x14:cfvo type="max"/>
              <x14:fillColor rgb="FF4F81BD"/>
            </x14:dataBar>
          </x14:cfRule>
          <xm:sqref>I4:I1000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8" hidden="0" customWidth="1"/>
    <x:col min="2" max="2" width="18" hidden="0" customWidth="1"/>
    <x:col min="3" max="3" width="17" hidden="0" customWidth="1"/>
    <x:col min="4" max="4" width="26" hidden="0" customWidth="1"/>
    <x:col min="5" max="5" width="20" hidden="0" customWidth="1"/>
    <x:col min="6" max="7" width="16" customWidth="1"/>
    <x:col min="8" max="8" width="15" customWidth="1"/>
    <x:col min="9" max="9" width="30" customWidth="1"/>
    <x:col min="10" max="10" width="14" customWidth="1"/>
    <x:col min="11" max="11" width="10" customWidth="1"/>
    <x:col min="12" max="12" width="16" customWidth="1"/>
    <x:col min="13" max="13" width="14" customWidth="1"/>
    <x:col min="14" max="14" width="13" customWidth="1"/>
    <x:col min="15" max="17" width="12" customWidth="1"/>
    <x:col min="18" max="18" width="10" customWidth="1"/>
    <x:col min="19" max="19" width="24" customWidth="1"/>
    <x:col min="20" max="20" width="8.75" customWidth="1"/>
    <x:col min="21" max="21" width="26.5" customWidth="1"/>
    <x:col min="22" max="23" width="8.75" customWidth="1"/>
    <x:col min="24" max="24" width="36.25" customWidth="1"/>
    <x:col min="25" max="30" width="8.75" customWidth="1"/>
    <x:col min="31" max="34" width="14.380000114440918" customWidth="1"/>
    <x:col min="6" max="6" width="18" hidden="0" customWidth="1"/>
    <x:col min="7" max="7" width="18" hidden="0" customWidth="1"/>
  </x:cols>
  <x:sheetData>
    <x:row r="1" ht="28" customHeight="1">
      <x:c r="A1" s="166" t="str">
        <x:v>ID</x:v>
      </x:c>
      <x:c r="B1" s="166" t="str">
        <x:v>Pedido</x:v>
      </x:c>
      <x:c r="C1" s="166" t="str">
        <x:v>Data de abertura</x:v>
      </x:c>
      <x:c r="D1" s="166" t="str">
        <x:v>Cliente</x:v>
      </x:c>
      <x:c r="E1" s="166" t="str">
        <x:v>Contato</x:v>
      </x:c>
      <x:c r="F1" s="166" t="str">
        <x:v>Canal</x:v>
      </x:c>
      <x:c r="G1" s="166" t="str">
        <x:v>Satisfação (1-5)</x:v>
      </x:c>
      <x:c r="H1"/>
      <x:c r="I1"/>
      <x:c r="J1"/>
      <x:c r="K1"/>
      <x:c r="L1"/>
      <x:c r="M1"/>
      <x:c r="N1"/>
      <x:c r="O1"/>
      <x:c r="P1"/>
      <x:c r="Q1"/>
      <x:c r="R1"/>
      <x:c r="S1"/>
      <x:c r="U1"/>
      <x:c r="X1"/>
    </x:row>
    <x:row r="2" ht="28" customHeight="1">
      <x:c r="A2" s="140" t="n">
        <x:v>1</x:v>
      </x:c>
      <x:c r="B2" s="140" t="str">
        <x:v>Pedido 4521</x:v>
      </x:c>
      <x:c r="C2" s="164" t="n">
        <x:v>46266</x:v>
      </x:c>
      <x:c r="D2" s="140" t="str">
        <x:v>Salão Bela Vida</x:v>
      </x:c>
      <x:c r="E2" s="140" t="str">
        <x:v>(11) 90000-0000</x:v>
      </x:c>
      <x:c r="F2" s="140" t="str">
        <x:v>WhatsApp</x:v>
      </x:c>
      <x:c r="G2" s="143"/>
      <x:c r="H2"/>
      <x:c r="I2"/>
      <x:c r="J2"/>
      <x:c r="K2"/>
      <x:c r="L2"/>
      <x:c r="M2"/>
      <x:c r="N2"/>
      <x:c r="O2"/>
      <x:c r="P2"/>
      <x:c r="Q2"/>
      <x:c r="R2"/>
      <x:c r="S2"/>
      <x:c r="U2"/>
      <x:c r="V2"/>
      <x:c r="X2"/>
      <x:c r="Y2"/>
    </x:row>
    <x:row r="3">
      <x:c r="A3"/>
      <x:c r="B3"/>
      <x:c r="C3" s="62"/>
      <x:c r="D3"/>
      <x:c r="E3"/>
      <x:c r="F3"/>
      <x:c r="G3" s="84"/>
      <x:c r="H3"/>
      <x:c r="I3"/>
      <x:c r="J3"/>
      <x:c r="K3"/>
      <x:c r="L3"/>
      <x:c r="M3"/>
      <x:c r="N3"/>
      <x:c r="O3" t="str">
        <x:f t="shared" ref="O3:O400" si="1">IF(OR(B3="",N3=""),"",N3-B3)</x:f>
      </x:c>
      <x:c r="P3" t="str">
        <x:f t="shared" ref="P3:P400" si="2">IF(OR(B3="",N3=""),"",N3-B3)</x:f>
      </x:c>
      <x:c r="Q3"/>
      <x:c r="R3"/>
      <x:c r="S3"/>
      <x:c r="U3"/>
      <x:c r="V3"/>
      <x:c r="X3"/>
      <x:c r="Y3"/>
      <x:c r="AD3"/>
    </x:row>
    <x:row r="4">
      <x:c r="A4">
        <x:f t="shared" ref="A4:A400" si="3">IF(B4="","",A3+1)</x:f>
      </x:c>
      <x:c r="B4"/>
      <x:c r="C4" s="62"/>
      <x:c r="D4"/>
      <x:c r="E4"/>
      <x:c r="F4"/>
      <x:c r="G4" s="84"/>
      <x:c r="H4"/>
      <x:c r="I4"/>
      <x:c r="J4"/>
      <x:c r="K4"/>
      <x:c r="L4"/>
      <x:c r="M4"/>
      <x:c r="N4"/>
      <x:c r="O4">
        <x:f t="shared" si="1"/>
      </x:c>
      <x:c r="P4">
        <x:f t="shared" si="2"/>
      </x:c>
      <x:c r="Q4"/>
      <x:c r="R4"/>
      <x:c r="S4"/>
      <x:c r="U4"/>
      <x:c r="V4"/>
      <x:c r="X4"/>
      <x:c r="Y4"/>
      <x:c r="AD4"/>
    </x:row>
    <x:row r="5">
      <x:c r="A5">
        <x:f t="shared" si="3"/>
      </x:c>
      <x:c r="B5"/>
      <x:c r="C5" s="62"/>
      <x:c r="D5"/>
      <x:c r="E5"/>
      <x:c r="F5"/>
      <x:c r="G5" s="84"/>
      <x:c r="H5"/>
      <x:c r="I5"/>
      <x:c r="J5"/>
      <x:c r="K5"/>
      <x:c r="L5"/>
      <x:c r="M5"/>
      <x:c r="N5"/>
      <x:c r="O5">
        <x:f t="shared" si="1"/>
      </x:c>
      <x:c r="P5">
        <x:f t="shared" si="2"/>
      </x:c>
      <x:c r="Q5"/>
      <x:c r="R5"/>
      <x:c r="S5"/>
      <x:c r="U5"/>
      <x:c r="V5"/>
      <x:c r="X5"/>
      <x:c r="Y5"/>
      <x:c r="AD5"/>
    </x:row>
    <x:row r="6">
      <x:c r="A6">
        <x:f t="shared" si="3"/>
      </x:c>
      <x:c r="B6"/>
      <x:c r="C6" s="62"/>
      <x:c r="D6"/>
      <x:c r="E6"/>
      <x:c r="F6"/>
      <x:c r="G6" s="84"/>
      <x:c r="H6"/>
      <x:c r="I6"/>
      <x:c r="J6"/>
      <x:c r="K6"/>
      <x:c r="L6"/>
      <x:c r="M6"/>
      <x:c r="N6"/>
      <x:c r="O6">
        <x:f t="shared" si="1"/>
      </x:c>
      <x:c r="P6">
        <x:f t="shared" si="2"/>
      </x:c>
      <x:c r="Q6"/>
      <x:c r="R6"/>
      <x:c r="S6"/>
      <x:c r="U6"/>
      <x:c r="V6"/>
      <x:c r="X6"/>
      <x:c r="Y6"/>
      <x:c r="AD6"/>
    </x:row>
    <x:row r="7">
      <x:c r="A7">
        <x:f t="shared" si="3"/>
      </x:c>
      <x:c r="B7"/>
      <x:c r="C7" s="62"/>
      <x:c r="D7"/>
      <x:c r="E7"/>
      <x:c r="F7"/>
      <x:c r="G7" s="84"/>
      <x:c r="H7"/>
      <x:c r="I7"/>
      <x:c r="J7"/>
      <x:c r="K7"/>
      <x:c r="L7"/>
      <x:c r="M7"/>
      <x:c r="N7"/>
      <x:c r="O7">
        <x:f t="shared" si="1"/>
      </x:c>
      <x:c r="P7">
        <x:f t="shared" si="2"/>
      </x:c>
      <x:c r="Q7"/>
      <x:c r="R7"/>
      <x:c r="S7"/>
      <x:c r="U7"/>
      <x:c r="V7"/>
      <x:c r="X7"/>
      <x:c r="Y7"/>
      <x:c r="AD7"/>
    </x:row>
    <x:row r="8">
      <x:c r="A8">
        <x:f t="shared" si="3"/>
      </x:c>
      <x:c r="B8"/>
      <x:c r="C8" s="62"/>
      <x:c r="D8"/>
      <x:c r="E8"/>
      <x:c r="F8"/>
      <x:c r="G8" s="84"/>
      <x:c r="H8"/>
      <x:c r="I8"/>
      <x:c r="J8"/>
      <x:c r="K8"/>
      <x:c r="L8"/>
      <x:c r="M8"/>
      <x:c r="N8"/>
      <x:c r="O8">
        <x:f t="shared" si="1"/>
      </x:c>
      <x:c r="P8">
        <x:f t="shared" si="2"/>
      </x:c>
      <x:c r="Q8"/>
      <x:c r="R8"/>
      <x:c r="S8"/>
      <x:c r="X8"/>
      <x:c r="Y8"/>
      <x:c r="AD8"/>
    </x:row>
    <x:row r="9">
      <x:c r="A9">
        <x:f t="shared" si="3"/>
      </x:c>
      <x:c r="B9"/>
      <x:c r="C9" s="62"/>
      <x:c r="D9"/>
      <x:c r="E9"/>
      <x:c r="F9"/>
      <x:c r="G9" s="84"/>
      <x:c r="H9"/>
      <x:c r="I9"/>
      <x:c r="J9"/>
      <x:c r="K9"/>
      <x:c r="L9"/>
      <x:c r="M9"/>
      <x:c r="N9"/>
      <x:c r="O9">
        <x:f t="shared" si="1"/>
      </x:c>
      <x:c r="P9">
        <x:f t="shared" si="2"/>
      </x:c>
      <x:c r="Q9"/>
      <x:c r="R9"/>
      <x:c r="S9"/>
      <x:c r="X9"/>
      <x:c r="Y9"/>
      <x:c r="AD9"/>
    </x:row>
    <x:row r="10">
      <x:c r="A10">
        <x:f t="shared" si="3"/>
      </x:c>
      <x:c r="B10"/>
      <x:c r="C10" s="62"/>
      <x:c r="D10"/>
      <x:c r="E10"/>
      <x:c r="F10"/>
      <x:c r="G10" s="84"/>
      <x:c r="H10"/>
      <x:c r="I10"/>
      <x:c r="J10"/>
      <x:c r="K10"/>
      <x:c r="L10"/>
      <x:c r="M10"/>
      <x:c r="N10"/>
      <x:c r="O10">
        <x:f t="shared" si="1"/>
      </x:c>
      <x:c r="P10">
        <x:f t="shared" si="2"/>
      </x:c>
      <x:c r="Q10"/>
      <x:c r="R10"/>
      <x:c r="S10"/>
      <x:c r="X10"/>
      <x:c r="Y10"/>
      <x:c r="AD10"/>
    </x:row>
    <x:row r="11">
      <x:c r="A11">
        <x:f t="shared" si="3"/>
      </x:c>
      <x:c r="B11"/>
      <x:c r="C11" s="62"/>
      <x:c r="D11"/>
      <x:c r="E11"/>
      <x:c r="F11"/>
      <x:c r="G11" s="84"/>
      <x:c r="H11"/>
      <x:c r="I11"/>
      <x:c r="J11"/>
      <x:c r="K11"/>
      <x:c r="L11"/>
      <x:c r="M11"/>
      <x:c r="N11"/>
      <x:c r="O11">
        <x:f t="shared" si="1"/>
      </x:c>
      <x:c r="P11">
        <x:f t="shared" si="2"/>
      </x:c>
      <x:c r="Q11"/>
      <x:c r="R11"/>
      <x:c r="S11"/>
      <x:c r="X11"/>
      <x:c r="Y11"/>
      <x:c r="AD11"/>
    </x:row>
    <x:row r="12">
      <x:c r="A12">
        <x:f t="shared" si="3"/>
      </x:c>
      <x:c r="B12"/>
      <x:c r="C12" s="62"/>
      <x:c r="D12"/>
      <x:c r="E12"/>
      <x:c r="F12"/>
      <x:c r="G12" s="84"/>
      <x:c r="H12"/>
      <x:c r="I12"/>
      <x:c r="J12"/>
      <x:c r="K12"/>
      <x:c r="L12"/>
      <x:c r="M12"/>
      <x:c r="N12"/>
      <x:c r="O12">
        <x:f t="shared" si="1"/>
      </x:c>
      <x:c r="P12">
        <x:f t="shared" si="2"/>
      </x:c>
      <x:c r="Q12"/>
      <x:c r="R12"/>
      <x:c r="S12"/>
      <x:c r="X12"/>
      <x:c r="Y12"/>
      <x:c r="AD12"/>
    </x:row>
    <x:row r="13">
      <x:c r="A13">
        <x:f t="shared" si="3"/>
      </x:c>
      <x:c r="B13"/>
      <x:c r="C13" s="62"/>
      <x:c r="D13"/>
      <x:c r="E13"/>
      <x:c r="F13"/>
      <x:c r="G13" s="84"/>
      <x:c r="H13"/>
      <x:c r="I13"/>
      <x:c r="J13"/>
      <x:c r="K13"/>
      <x:c r="L13"/>
      <x:c r="M13"/>
      <x:c r="N13"/>
      <x:c r="O13">
        <x:f t="shared" si="1"/>
      </x:c>
      <x:c r="P13">
        <x:f t="shared" si="2"/>
      </x:c>
      <x:c r="Q13"/>
      <x:c r="R13"/>
      <x:c r="S13"/>
    </x:row>
    <x:row r="14">
      <x:c r="A14">
        <x:f t="shared" si="3"/>
      </x:c>
      <x:c r="B14"/>
      <x:c r="C14" s="62"/>
      <x:c r="D14"/>
      <x:c r="E14"/>
      <x:c r="F14"/>
      <x:c r="G14" s="84"/>
      <x:c r="H14"/>
      <x:c r="I14"/>
      <x:c r="J14"/>
      <x:c r="K14"/>
      <x:c r="L14"/>
      <x:c r="M14"/>
      <x:c r="N14"/>
      <x:c r="O14">
        <x:f t="shared" si="1"/>
      </x:c>
      <x:c r="P14">
        <x:f t="shared" si="2"/>
      </x:c>
      <x:c r="Q14"/>
      <x:c r="R14"/>
      <x:c r="S14"/>
    </x:row>
    <x:row r="15">
      <x:c r="A15">
        <x:f t="shared" si="3"/>
      </x:c>
      <x:c r="B15"/>
      <x:c r="C15" s="62"/>
      <x:c r="D15"/>
      <x:c r="E15"/>
      <x:c r="F15"/>
      <x:c r="G15" s="84"/>
      <x:c r="H15"/>
      <x:c r="I15"/>
      <x:c r="J15"/>
      <x:c r="K15"/>
      <x:c r="L15"/>
      <x:c r="M15"/>
      <x:c r="N15"/>
      <x:c r="O15">
        <x:f t="shared" si="1"/>
      </x:c>
      <x:c r="P15">
        <x:f t="shared" si="2"/>
      </x:c>
      <x:c r="Q15"/>
      <x:c r="R15"/>
      <x:c r="S15"/>
      <x:c r="X15"/>
    </x:row>
    <x:row r="16">
      <x:c r="A16">
        <x:f t="shared" si="3"/>
      </x:c>
      <x:c r="B16"/>
      <x:c r="C16" s="62"/>
      <x:c r="D16"/>
      <x:c r="E16"/>
      <x:c r="F16"/>
      <x:c r="G16" s="84"/>
      <x:c r="H16"/>
      <x:c r="I16"/>
      <x:c r="J16"/>
      <x:c r="K16"/>
      <x:c r="L16"/>
      <x:c r="M16"/>
      <x:c r="N16"/>
      <x:c r="O16">
        <x:f t="shared" si="1"/>
      </x:c>
      <x:c r="P16">
        <x:f t="shared" si="2"/>
      </x:c>
      <x:c r="Q16"/>
      <x:c r="R16"/>
      <x:c r="S16"/>
      <x:c r="X16"/>
      <x:c r="Y16"/>
      <x:c r="Z16"/>
    </x:row>
    <x:row r="17">
      <x:c r="A17">
        <x:f t="shared" si="3"/>
      </x:c>
      <x:c r="B17"/>
      <x:c r="C17" s="62"/>
      <x:c r="D17"/>
      <x:c r="E17"/>
      <x:c r="F17"/>
      <x:c r="G17" s="84"/>
      <x:c r="H17"/>
      <x:c r="I17"/>
      <x:c r="J17"/>
      <x:c r="K17"/>
      <x:c r="L17"/>
      <x:c r="M17"/>
      <x:c r="N17"/>
      <x:c r="O17">
        <x:f t="shared" si="1"/>
      </x:c>
      <x:c r="P17">
        <x:f t="shared" si="2"/>
      </x:c>
      <x:c r="Q17"/>
      <x:c r="R17"/>
      <x:c r="S17"/>
      <x:c r="X17">
        <x:f t="array" ref="X17"/>
      </x:c>
      <x:c r="Y17"/>
      <x:c r="Z17" t="n">
        <x:f t="shared" ref="Z17:Z26" si="4">IFERROR(SUM($Y$17:Y17)/SUM($Y$3:$Y$12)*100,0)</x:f>
        <x:v>0</x:v>
      </x:c>
    </x:row>
    <x:row r="18">
      <x:c r="A18">
        <x:f t="shared" si="3"/>
      </x:c>
      <x:c r="B18"/>
      <x:c r="C18" s="62"/>
      <x:c r="D18"/>
      <x:c r="E18"/>
      <x:c r="F18"/>
      <x:c r="G18" s="84"/>
      <x:c r="H18"/>
      <x:c r="I18"/>
      <x:c r="J18"/>
      <x:c r="K18"/>
      <x:c r="L18"/>
      <x:c r="M18"/>
      <x:c r="N18"/>
      <x:c r="O18">
        <x:f t="shared" si="1"/>
      </x:c>
      <x:c r="P18">
        <x:f t="shared" si="2"/>
      </x:c>
      <x:c r="Q18"/>
      <x:c r="R18"/>
      <x:c r="S18"/>
      <x:c r="X18">
        <x:f t="array" ref="X18"/>
      </x:c>
      <x:c r="Y18"/>
      <x:c r="Z18">
        <x:f t="shared" si="4"/>
      </x:c>
    </x:row>
    <x:row r="19">
      <x:c r="A19">
        <x:f t="shared" si="3"/>
      </x:c>
      <x:c r="B19"/>
      <x:c r="C19" s="62"/>
      <x:c r="D19"/>
      <x:c r="E19"/>
      <x:c r="F19"/>
      <x:c r="G19" s="84"/>
      <x:c r="H19"/>
      <x:c r="I19"/>
      <x:c r="J19"/>
      <x:c r="K19"/>
      <x:c r="L19"/>
      <x:c r="M19"/>
      <x:c r="N19"/>
      <x:c r="O19">
        <x:f t="shared" si="1"/>
      </x:c>
      <x:c r="P19">
        <x:f t="shared" si="2"/>
      </x:c>
      <x:c r="Q19"/>
      <x:c r="R19"/>
      <x:c r="S19"/>
      <x:c r="X19">
        <x:f t="array" ref="X19"/>
      </x:c>
      <x:c r="Y19"/>
      <x:c r="Z19">
        <x:f t="shared" si="4"/>
      </x:c>
    </x:row>
    <x:row r="20">
      <x:c r="A20">
        <x:f t="shared" si="3"/>
      </x:c>
      <x:c r="B20"/>
      <x:c r="C20" s="62"/>
      <x:c r="D20"/>
      <x:c r="E20"/>
      <x:c r="F20"/>
      <x:c r="G20" s="84"/>
      <x:c r="H20"/>
      <x:c r="I20"/>
      <x:c r="J20"/>
      <x:c r="K20"/>
      <x:c r="L20"/>
      <x:c r="M20"/>
      <x:c r="N20"/>
      <x:c r="O20">
        <x:f t="shared" si="1"/>
      </x:c>
      <x:c r="P20">
        <x:f t="shared" si="2"/>
      </x:c>
      <x:c r="Q20"/>
      <x:c r="R20"/>
      <x:c r="S20"/>
      <x:c r="X20">
        <x:f t="array" ref="X20"/>
      </x:c>
      <x:c r="Y20"/>
      <x:c r="Z20">
        <x:f t="shared" si="4"/>
      </x:c>
    </x:row>
    <x:row r="21" ht="15.75" customHeight="1">
      <x:c r="A21">
        <x:f t="shared" si="3"/>
      </x:c>
      <x:c r="B21"/>
      <x:c r="C21" s="62"/>
      <x:c r="D21"/>
      <x:c r="E21"/>
      <x:c r="F21"/>
      <x:c r="G21" s="84"/>
      <x:c r="H21"/>
      <x:c r="I21"/>
      <x:c r="J21"/>
      <x:c r="K21"/>
      <x:c r="L21"/>
      <x:c r="M21"/>
      <x:c r="N21"/>
      <x:c r="O21">
        <x:f t="shared" si="1"/>
      </x:c>
      <x:c r="P21">
        <x:f t="shared" si="2"/>
      </x:c>
      <x:c r="Q21"/>
      <x:c r="R21"/>
      <x:c r="S21"/>
      <x:c r="X21">
        <x:f t="array" ref="X21"/>
      </x:c>
      <x:c r="Y21"/>
      <x:c r="Z21">
        <x:f t="shared" si="4"/>
      </x:c>
    </x:row>
    <x:row r="22" ht="15.75" customHeight="1">
      <x:c r="A22">
        <x:f t="shared" si="3"/>
      </x:c>
      <x:c r="B22"/>
      <x:c r="C22" s="62"/>
      <x:c r="D22"/>
      <x:c r="E22"/>
      <x:c r="F22"/>
      <x:c r="G22" s="84"/>
      <x:c r="H22"/>
      <x:c r="I22"/>
      <x:c r="J22"/>
      <x:c r="K22"/>
      <x:c r="L22"/>
      <x:c r="M22"/>
      <x:c r="N22"/>
      <x:c r="O22">
        <x:f t="shared" si="1"/>
      </x:c>
      <x:c r="P22">
        <x:f t="shared" si="2"/>
      </x:c>
      <x:c r="Q22"/>
      <x:c r="R22"/>
      <x:c r="S22"/>
      <x:c r="X22">
        <x:f t="array" ref="X22"/>
      </x:c>
      <x:c r="Y22"/>
      <x:c r="Z22">
        <x:f t="shared" si="4"/>
      </x:c>
    </x:row>
    <x:row r="23" ht="15.75" customHeight="1">
      <x:c r="A23">
        <x:f t="shared" si="3"/>
      </x:c>
      <x:c r="B23"/>
      <x:c r="C23" s="62"/>
      <x:c r="D23"/>
      <x:c r="E23"/>
      <x:c r="F23"/>
      <x:c r="G23" s="84"/>
      <x:c r="H23"/>
      <x:c r="I23"/>
      <x:c r="J23"/>
      <x:c r="K23"/>
      <x:c r="L23"/>
      <x:c r="M23"/>
      <x:c r="N23"/>
      <x:c r="O23">
        <x:f t="shared" si="1"/>
      </x:c>
      <x:c r="P23">
        <x:f t="shared" si="2"/>
      </x:c>
      <x:c r="Q23"/>
      <x:c r="R23"/>
      <x:c r="S23"/>
      <x:c r="X23">
        <x:f t="array" ref="X23"/>
      </x:c>
      <x:c r="Y23"/>
      <x:c r="Z23">
        <x:f t="shared" si="4"/>
      </x:c>
    </x:row>
    <x:row r="24" ht="15.75" customHeight="1">
      <x:c r="A24">
        <x:f t="shared" si="3"/>
      </x:c>
      <x:c r="B24"/>
      <x:c r="C24" s="62"/>
      <x:c r="D24"/>
      <x:c r="E24"/>
      <x:c r="F24"/>
      <x:c r="G24" s="84"/>
      <x:c r="H24"/>
      <x:c r="I24"/>
      <x:c r="J24"/>
      <x:c r="K24"/>
      <x:c r="L24"/>
      <x:c r="M24"/>
      <x:c r="N24"/>
      <x:c r="O24">
        <x:f t="shared" si="1"/>
      </x:c>
      <x:c r="P24">
        <x:f t="shared" si="2"/>
      </x:c>
      <x:c r="Q24"/>
      <x:c r="R24"/>
      <x:c r="S24"/>
      <x:c r="X24">
        <x:f t="array" ref="X24"/>
      </x:c>
      <x:c r="Y24"/>
      <x:c r="Z24">
        <x:f t="shared" si="4"/>
      </x:c>
    </x:row>
    <x:row r="25" ht="15.75" customHeight="1">
      <x:c r="A25">
        <x:f t="shared" si="3"/>
      </x:c>
      <x:c r="B25"/>
      <x:c r="C25" s="62"/>
      <x:c r="D25"/>
      <x:c r="E25"/>
      <x:c r="F25"/>
      <x:c r="G25" s="84"/>
      <x:c r="H25"/>
      <x:c r="I25"/>
      <x:c r="J25"/>
      <x:c r="K25"/>
      <x:c r="L25"/>
      <x:c r="M25"/>
      <x:c r="N25"/>
      <x:c r="O25">
        <x:f t="shared" si="1"/>
      </x:c>
      <x:c r="P25">
        <x:f t="shared" si="2"/>
      </x:c>
      <x:c r="Q25"/>
      <x:c r="R25"/>
      <x:c r="S25"/>
      <x:c r="X25">
        <x:f t="array" ref="X25"/>
      </x:c>
      <x:c r="Y25"/>
      <x:c r="Z25">
        <x:f t="shared" si="4"/>
      </x:c>
    </x:row>
    <x:row r="26" ht="15.75" customHeight="1">
      <x:c r="A26">
        <x:f t="shared" si="3"/>
      </x:c>
      <x:c r="B26"/>
      <x:c r="C26" s="62"/>
      <x:c r="D26"/>
      <x:c r="E26"/>
      <x:c r="F26"/>
      <x:c r="G26" s="84"/>
      <x:c r="H26"/>
      <x:c r="I26"/>
      <x:c r="J26"/>
      <x:c r="K26"/>
      <x:c r="L26"/>
      <x:c r="M26"/>
      <x:c r="N26"/>
      <x:c r="O26">
        <x:f t="shared" si="1"/>
      </x:c>
      <x:c r="P26">
        <x:f t="shared" si="2"/>
      </x:c>
      <x:c r="Q26"/>
      <x:c r="R26"/>
      <x:c r="S26"/>
      <x:c r="X26">
        <x:f t="array" ref="X26"/>
      </x:c>
      <x:c r="Y26"/>
      <x:c r="Z26">
        <x:f t="shared" si="4"/>
      </x:c>
    </x:row>
    <x:row r="27" ht="15.75" customHeight="1">
      <x:c r="A27">
        <x:f t="shared" si="3"/>
      </x:c>
      <x:c r="B27"/>
      <x:c r="C27" s="62"/>
      <x:c r="D27"/>
      <x:c r="E27"/>
      <x:c r="F27"/>
      <x:c r="G27" s="84"/>
      <x:c r="H27"/>
      <x:c r="I27"/>
      <x:c r="J27"/>
      <x:c r="K27"/>
      <x:c r="L27"/>
      <x:c r="M27"/>
      <x:c r="N27"/>
      <x:c r="O27">
        <x:f t="shared" si="1"/>
      </x:c>
      <x:c r="P27">
        <x:f t="shared" si="2"/>
      </x:c>
      <x:c r="Q27"/>
      <x:c r="R27"/>
      <x:c r="S27"/>
    </x:row>
    <x:row r="28" ht="15.75" customHeight="1">
      <x:c r="A28">
        <x:f t="shared" si="3"/>
      </x:c>
      <x:c r="B28"/>
      <x:c r="C28" s="62"/>
      <x:c r="D28"/>
      <x:c r="E28"/>
      <x:c r="F28"/>
      <x:c r="G28" s="84"/>
      <x:c r="H28"/>
      <x:c r="I28"/>
      <x:c r="J28"/>
      <x:c r="K28"/>
      <x:c r="L28"/>
      <x:c r="M28"/>
      <x:c r="N28"/>
      <x:c r="O28">
        <x:f t="shared" si="1"/>
      </x:c>
      <x:c r="P28">
        <x:f t="shared" si="2"/>
      </x:c>
      <x:c r="Q28"/>
      <x:c r="R28"/>
      <x:c r="S28"/>
    </x:row>
    <x:row r="29" ht="15.75" customHeight="1">
      <x:c r="A29">
        <x:f t="shared" si="3"/>
      </x:c>
      <x:c r="B29"/>
      <x:c r="C29" s="62"/>
      <x:c r="D29"/>
      <x:c r="E29"/>
      <x:c r="F29"/>
      <x:c r="G29" s="84"/>
      <x:c r="H29"/>
      <x:c r="I29"/>
      <x:c r="J29"/>
      <x:c r="K29"/>
      <x:c r="L29"/>
      <x:c r="M29"/>
      <x:c r="N29"/>
      <x:c r="O29">
        <x:f t="shared" si="1"/>
      </x:c>
      <x:c r="P29">
        <x:f t="shared" si="2"/>
      </x:c>
      <x:c r="Q29"/>
      <x:c r="R29"/>
      <x:c r="S29"/>
    </x:row>
    <x:row r="30" ht="15.75" customHeight="1">
      <x:c r="A30">
        <x:f t="shared" si="3"/>
      </x:c>
      <x:c r="B30"/>
      <x:c r="C30" s="62"/>
      <x:c r="D30"/>
      <x:c r="E30"/>
      <x:c r="F30"/>
      <x:c r="G30" s="84"/>
      <x:c r="H30"/>
      <x:c r="I30"/>
      <x:c r="J30"/>
      <x:c r="K30"/>
      <x:c r="L30"/>
      <x:c r="M30"/>
      <x:c r="N30"/>
      <x:c r="O30">
        <x:f t="shared" si="1"/>
      </x:c>
      <x:c r="P30">
        <x:f t="shared" si="2"/>
      </x:c>
      <x:c r="Q30"/>
      <x:c r="R30"/>
      <x:c r="S30"/>
    </x:row>
    <x:row r="31" ht="15.75" customHeight="1">
      <x:c r="A31">
        <x:f t="shared" si="3"/>
      </x:c>
      <x:c r="B31"/>
      <x:c r="C31" s="62"/>
      <x:c r="D31"/>
      <x:c r="E31"/>
      <x:c r="F31"/>
      <x:c r="G31" s="84"/>
      <x:c r="H31"/>
      <x:c r="I31"/>
      <x:c r="J31"/>
      <x:c r="K31"/>
      <x:c r="L31"/>
      <x:c r="M31"/>
      <x:c r="N31"/>
      <x:c r="O31">
        <x:f t="shared" si="1"/>
      </x:c>
      <x:c r="P31">
        <x:f t="shared" si="2"/>
      </x:c>
      <x:c r="Q31"/>
      <x:c r="R31"/>
      <x:c r="S31"/>
    </x:row>
    <x:row r="32" ht="15.75" customHeight="1">
      <x:c r="A32">
        <x:f t="shared" si="3"/>
      </x:c>
      <x:c r="B32"/>
      <x:c r="C32" s="62"/>
      <x:c r="D32"/>
      <x:c r="E32"/>
      <x:c r="F32"/>
      <x:c r="G32" s="84"/>
      <x:c r="H32"/>
      <x:c r="I32"/>
      <x:c r="J32"/>
      <x:c r="K32"/>
      <x:c r="L32"/>
      <x:c r="M32"/>
      <x:c r="N32"/>
      <x:c r="O32">
        <x:f t="shared" si="1"/>
      </x:c>
      <x:c r="P32">
        <x:f t="shared" si="2"/>
      </x:c>
      <x:c r="Q32"/>
      <x:c r="R32"/>
      <x:c r="S32"/>
    </x:row>
    <x:row r="33" ht="15.75" customHeight="1">
      <x:c r="A33">
        <x:f t="shared" si="3"/>
      </x:c>
      <x:c r="B33"/>
      <x:c r="C33" s="62"/>
      <x:c r="D33"/>
      <x:c r="E33"/>
      <x:c r="F33"/>
      <x:c r="G33" s="84"/>
      <x:c r="H33"/>
      <x:c r="I33"/>
      <x:c r="J33"/>
      <x:c r="K33"/>
      <x:c r="L33"/>
      <x:c r="M33"/>
      <x:c r="N33"/>
      <x:c r="O33">
        <x:f t="shared" si="1"/>
      </x:c>
      <x:c r="P33">
        <x:f t="shared" si="2"/>
      </x:c>
      <x:c r="Q33"/>
      <x:c r="R33"/>
      <x:c r="S33"/>
    </x:row>
    <x:row r="34" ht="15.75" customHeight="1">
      <x:c r="A34">
        <x:f t="shared" si="3"/>
      </x:c>
      <x:c r="B34"/>
      <x:c r="C34" s="62"/>
      <x:c r="D34"/>
      <x:c r="E34"/>
      <x:c r="F34"/>
      <x:c r="G34" s="84"/>
      <x:c r="H34"/>
      <x:c r="I34"/>
      <x:c r="J34"/>
      <x:c r="K34"/>
      <x:c r="L34"/>
      <x:c r="M34"/>
      <x:c r="N34"/>
      <x:c r="O34">
        <x:f t="shared" si="1"/>
      </x:c>
      <x:c r="P34">
        <x:f t="shared" si="2"/>
      </x:c>
      <x:c r="Q34"/>
      <x:c r="R34"/>
      <x:c r="S34"/>
    </x:row>
    <x:row r="35" ht="15.75" customHeight="1">
      <x:c r="A35">
        <x:f t="shared" si="3"/>
      </x:c>
      <x:c r="B35"/>
      <x:c r="C35" s="62"/>
      <x:c r="D35"/>
      <x:c r="E35"/>
      <x:c r="F35"/>
      <x:c r="G35" s="84"/>
      <x:c r="H35"/>
      <x:c r="I35"/>
      <x:c r="J35"/>
      <x:c r="K35"/>
      <x:c r="L35"/>
      <x:c r="M35"/>
      <x:c r="N35"/>
      <x:c r="O35">
        <x:f t="shared" si="1"/>
      </x:c>
      <x:c r="P35">
        <x:f t="shared" si="2"/>
      </x:c>
      <x:c r="Q35"/>
      <x:c r="R35"/>
      <x:c r="S35"/>
    </x:row>
    <x:row r="36" ht="15.75" customHeight="1">
      <x:c r="A36">
        <x:f t="shared" si="3"/>
      </x:c>
      <x:c r="B36"/>
      <x:c r="C36" s="62"/>
      <x:c r="D36"/>
      <x:c r="E36"/>
      <x:c r="F36"/>
      <x:c r="G36" s="84"/>
      <x:c r="H36"/>
      <x:c r="I36"/>
      <x:c r="J36"/>
      <x:c r="K36"/>
      <x:c r="L36"/>
      <x:c r="M36"/>
      <x:c r="N36"/>
      <x:c r="O36">
        <x:f t="shared" si="1"/>
      </x:c>
      <x:c r="P36">
        <x:f t="shared" si="2"/>
      </x:c>
      <x:c r="Q36"/>
      <x:c r="R36"/>
      <x:c r="S36"/>
    </x:row>
    <x:row r="37" ht="15.75" customHeight="1">
      <x:c r="A37">
        <x:f t="shared" si="3"/>
      </x:c>
      <x:c r="B37"/>
      <x:c r="C37" s="62"/>
      <x:c r="D37"/>
      <x:c r="E37"/>
      <x:c r="F37"/>
      <x:c r="G37" s="84"/>
      <x:c r="H37"/>
      <x:c r="I37"/>
      <x:c r="J37"/>
      <x:c r="K37"/>
      <x:c r="L37"/>
      <x:c r="M37"/>
      <x:c r="N37"/>
      <x:c r="O37">
        <x:f t="shared" si="1"/>
      </x:c>
      <x:c r="P37">
        <x:f t="shared" si="2"/>
      </x:c>
      <x:c r="Q37"/>
      <x:c r="R37"/>
      <x:c r="S37"/>
    </x:row>
    <x:row r="38" ht="15.75" customHeight="1">
      <x:c r="A38">
        <x:f t="shared" si="3"/>
      </x:c>
      <x:c r="B38"/>
      <x:c r="C38" s="62"/>
      <x:c r="D38"/>
      <x:c r="E38"/>
      <x:c r="F38"/>
      <x:c r="G38" s="84"/>
      <x:c r="H38"/>
      <x:c r="I38"/>
      <x:c r="J38"/>
      <x:c r="K38"/>
      <x:c r="L38"/>
      <x:c r="M38"/>
      <x:c r="N38"/>
      <x:c r="O38">
        <x:f t="shared" si="1"/>
      </x:c>
      <x:c r="P38">
        <x:f t="shared" si="2"/>
      </x:c>
      <x:c r="Q38"/>
      <x:c r="R38"/>
      <x:c r="S38"/>
    </x:row>
    <x:row r="39" ht="15.75" customHeight="1">
      <x:c r="A39">
        <x:f t="shared" si="3"/>
      </x:c>
      <x:c r="B39"/>
      <x:c r="C39" s="62"/>
      <x:c r="D39"/>
      <x:c r="E39"/>
      <x:c r="F39"/>
      <x:c r="G39" s="84"/>
      <x:c r="H39"/>
      <x:c r="I39"/>
      <x:c r="J39"/>
      <x:c r="K39"/>
      <x:c r="L39"/>
      <x:c r="M39"/>
      <x:c r="N39"/>
      <x:c r="O39">
        <x:f t="shared" si="1"/>
      </x:c>
      <x:c r="P39">
        <x:f t="shared" si="2"/>
      </x:c>
      <x:c r="Q39"/>
      <x:c r="R39"/>
      <x:c r="S39"/>
    </x:row>
    <x:row r="40" ht="15.75" customHeight="1">
      <x:c r="A40">
        <x:f t="shared" si="3"/>
      </x:c>
      <x:c r="B40"/>
      <x:c r="C40" s="62"/>
      <x:c r="D40"/>
      <x:c r="E40"/>
      <x:c r="F40"/>
      <x:c r="G40" s="84"/>
      <x:c r="H40"/>
      <x:c r="I40"/>
      <x:c r="J40"/>
      <x:c r="K40"/>
      <x:c r="L40"/>
      <x:c r="M40"/>
      <x:c r="N40"/>
      <x:c r="O40">
        <x:f t="shared" si="1"/>
      </x:c>
      <x:c r="P40">
        <x:f t="shared" si="2"/>
      </x:c>
      <x:c r="Q40"/>
      <x:c r="R40"/>
      <x:c r="S40"/>
    </x:row>
    <x:row r="41" ht="15.75" customHeight="1">
      <x:c r="A41">
        <x:f t="shared" si="3"/>
      </x:c>
      <x:c r="B41"/>
      <x:c r="C41" s="62"/>
      <x:c r="D41"/>
      <x:c r="E41"/>
      <x:c r="F41"/>
      <x:c r="G41" s="84"/>
      <x:c r="H41"/>
      <x:c r="I41"/>
      <x:c r="J41"/>
      <x:c r="K41"/>
      <x:c r="L41"/>
      <x:c r="M41"/>
      <x:c r="N41"/>
      <x:c r="O41">
        <x:f t="shared" si="1"/>
      </x:c>
      <x:c r="P41">
        <x:f t="shared" si="2"/>
      </x:c>
      <x:c r="Q41"/>
      <x:c r="R41"/>
      <x:c r="S41"/>
    </x:row>
    <x:row r="42" ht="15.75" customHeight="1">
      <x:c r="A42">
        <x:f t="shared" si="3"/>
      </x:c>
      <x:c r="B42"/>
      <x:c r="C42" s="62"/>
      <x:c r="D42"/>
      <x:c r="E42"/>
      <x:c r="F42"/>
      <x:c r="G42" s="84"/>
      <x:c r="H42"/>
      <x:c r="I42"/>
      <x:c r="J42"/>
      <x:c r="K42"/>
      <x:c r="L42"/>
      <x:c r="M42"/>
      <x:c r="N42"/>
      <x:c r="O42">
        <x:f t="shared" si="1"/>
      </x:c>
      <x:c r="P42">
        <x:f t="shared" si="2"/>
      </x:c>
      <x:c r="Q42"/>
      <x:c r="R42"/>
      <x:c r="S42"/>
    </x:row>
    <x:row r="43" ht="15.75" customHeight="1">
      <x:c r="A43">
        <x:f t="shared" si="3"/>
      </x:c>
      <x:c r="B43"/>
      <x:c r="C43" s="62"/>
      <x:c r="D43"/>
      <x:c r="E43"/>
      <x:c r="F43"/>
      <x:c r="G43" s="84"/>
      <x:c r="H43"/>
      <x:c r="I43"/>
      <x:c r="J43"/>
      <x:c r="K43"/>
      <x:c r="L43"/>
      <x:c r="M43"/>
      <x:c r="N43"/>
      <x:c r="O43">
        <x:f t="shared" si="1"/>
      </x:c>
      <x:c r="P43">
        <x:f t="shared" si="2"/>
      </x:c>
      <x:c r="Q43"/>
      <x:c r="R43"/>
      <x:c r="S43"/>
    </x:row>
    <x:row r="44" ht="15.75" customHeight="1">
      <x:c r="A44">
        <x:f t="shared" si="3"/>
      </x:c>
      <x:c r="B44"/>
      <x:c r="C44" s="62"/>
      <x:c r="D44"/>
      <x:c r="E44"/>
      <x:c r="F44"/>
      <x:c r="G44" s="84"/>
      <x:c r="H44"/>
      <x:c r="I44"/>
      <x:c r="J44"/>
      <x:c r="K44"/>
      <x:c r="L44"/>
      <x:c r="M44"/>
      <x:c r="N44"/>
      <x:c r="O44">
        <x:f t="shared" si="1"/>
      </x:c>
      <x:c r="P44">
        <x:f t="shared" si="2"/>
      </x:c>
      <x:c r="Q44"/>
      <x:c r="R44"/>
      <x:c r="S44"/>
    </x:row>
    <x:row r="45" ht="15.75" customHeight="1">
      <x:c r="A45">
        <x:f t="shared" si="3"/>
      </x:c>
      <x:c r="B45"/>
      <x:c r="C45" s="62"/>
      <x:c r="D45"/>
      <x:c r="E45"/>
      <x:c r="F45"/>
      <x:c r="G45" s="84"/>
      <x:c r="H45"/>
      <x:c r="I45"/>
      <x:c r="J45"/>
      <x:c r="K45"/>
      <x:c r="L45"/>
      <x:c r="M45"/>
      <x:c r="N45"/>
      <x:c r="O45">
        <x:f t="shared" si="1"/>
      </x:c>
      <x:c r="P45">
        <x:f t="shared" si="2"/>
      </x:c>
      <x:c r="Q45"/>
      <x:c r="R45"/>
      <x:c r="S45"/>
    </x:row>
    <x:row r="46" ht="15.75" customHeight="1">
      <x:c r="A46">
        <x:f t="shared" si="3"/>
      </x:c>
      <x:c r="B46"/>
      <x:c r="C46" s="62"/>
      <x:c r="D46"/>
      <x:c r="E46"/>
      <x:c r="F46"/>
      <x:c r="G46" s="84"/>
      <x:c r="H46"/>
      <x:c r="I46"/>
      <x:c r="J46"/>
      <x:c r="K46"/>
      <x:c r="L46"/>
      <x:c r="M46"/>
      <x:c r="N46"/>
      <x:c r="O46">
        <x:f t="shared" si="1"/>
      </x:c>
      <x:c r="P46">
        <x:f t="shared" si="2"/>
      </x:c>
      <x:c r="Q46"/>
      <x:c r="R46"/>
      <x:c r="S46"/>
    </x:row>
    <x:row r="47" ht="15.75" customHeight="1">
      <x:c r="A47">
        <x:f t="shared" si="3"/>
      </x:c>
      <x:c r="B47"/>
      <x:c r="C47" s="62"/>
      <x:c r="D47"/>
      <x:c r="E47"/>
      <x:c r="F47"/>
      <x:c r="G47" s="84"/>
      <x:c r="H47"/>
      <x:c r="I47"/>
      <x:c r="J47"/>
      <x:c r="K47"/>
      <x:c r="L47"/>
      <x:c r="M47"/>
      <x:c r="N47"/>
      <x:c r="O47">
        <x:f t="shared" si="1"/>
      </x:c>
      <x:c r="P47">
        <x:f t="shared" si="2"/>
      </x:c>
      <x:c r="Q47"/>
      <x:c r="R47"/>
      <x:c r="S47"/>
    </x:row>
    <x:row r="48" ht="15.75" customHeight="1">
      <x:c r="A48">
        <x:f t="shared" si="3"/>
      </x:c>
      <x:c r="B48"/>
      <x:c r="C48" s="62"/>
      <x:c r="D48"/>
      <x:c r="E48"/>
      <x:c r="F48"/>
      <x:c r="G48" s="84"/>
      <x:c r="H48"/>
      <x:c r="I48"/>
      <x:c r="J48"/>
      <x:c r="K48"/>
      <x:c r="L48"/>
      <x:c r="M48"/>
      <x:c r="N48"/>
      <x:c r="O48">
        <x:f t="shared" si="1"/>
      </x:c>
      <x:c r="P48">
        <x:f t="shared" si="2"/>
      </x:c>
      <x:c r="Q48"/>
      <x:c r="R48"/>
      <x:c r="S48"/>
    </x:row>
    <x:row r="49" ht="15.75" customHeight="1">
      <x:c r="A49">
        <x:f t="shared" si="3"/>
      </x:c>
      <x:c r="B49"/>
      <x:c r="C49" s="62"/>
      <x:c r="D49"/>
      <x:c r="E49"/>
      <x:c r="F49"/>
      <x:c r="G49" s="84"/>
      <x:c r="H49"/>
      <x:c r="I49"/>
      <x:c r="J49"/>
      <x:c r="K49"/>
      <x:c r="L49"/>
      <x:c r="M49"/>
      <x:c r="N49"/>
      <x:c r="O49">
        <x:f t="shared" si="1"/>
      </x:c>
      <x:c r="P49">
        <x:f t="shared" si="2"/>
      </x:c>
      <x:c r="Q49"/>
      <x:c r="R49"/>
      <x:c r="S49"/>
    </x:row>
    <x:row r="50" ht="15.75" customHeight="1">
      <x:c r="A50">
        <x:f t="shared" si="3"/>
      </x:c>
      <x:c r="B50"/>
      <x:c r="C50" s="62"/>
      <x:c r="D50"/>
      <x:c r="E50"/>
      <x:c r="F50"/>
      <x:c r="G50" s="84"/>
      <x:c r="H50"/>
      <x:c r="I50"/>
      <x:c r="J50"/>
      <x:c r="K50"/>
      <x:c r="L50"/>
      <x:c r="M50"/>
      <x:c r="N50"/>
      <x:c r="O50">
        <x:f t="shared" si="1"/>
      </x:c>
      <x:c r="P50">
        <x:f t="shared" si="2"/>
      </x:c>
      <x:c r="Q50"/>
      <x:c r="R50"/>
      <x:c r="S50"/>
    </x:row>
    <x:row r="51" ht="15.75" customHeight="1">
      <x:c r="A51">
        <x:f t="shared" si="3"/>
      </x:c>
      <x:c r="B51"/>
      <x:c r="C51" s="62"/>
      <x:c r="D51"/>
      <x:c r="E51"/>
      <x:c r="F51"/>
      <x:c r="G51" s="84"/>
      <x:c r="H51"/>
      <x:c r="I51"/>
      <x:c r="J51"/>
      <x:c r="K51"/>
      <x:c r="L51"/>
      <x:c r="M51"/>
      <x:c r="N51"/>
      <x:c r="O51">
        <x:f t="shared" si="1"/>
      </x:c>
      <x:c r="P51">
        <x:f t="shared" si="2"/>
      </x:c>
      <x:c r="Q51"/>
      <x:c r="R51"/>
      <x:c r="S51"/>
    </x:row>
    <x:row r="52" ht="15.75" customHeight="1">
      <x:c r="A52">
        <x:f t="shared" si="3"/>
      </x:c>
      <x:c r="B52"/>
      <x:c r="C52" s="62"/>
      <x:c r="D52"/>
      <x:c r="E52"/>
      <x:c r="F52"/>
      <x:c r="G52" s="84"/>
      <x:c r="H52"/>
      <x:c r="I52"/>
      <x:c r="J52"/>
      <x:c r="K52"/>
      <x:c r="L52"/>
      <x:c r="M52"/>
      <x:c r="N52"/>
      <x:c r="O52">
        <x:f t="shared" si="1"/>
      </x:c>
      <x:c r="P52">
        <x:f t="shared" si="2"/>
      </x:c>
      <x:c r="Q52"/>
      <x:c r="R52"/>
      <x:c r="S52"/>
    </x:row>
    <x:row r="53" ht="15.75" customHeight="1">
      <x:c r="A53">
        <x:f t="shared" si="3"/>
      </x:c>
      <x:c r="B53"/>
      <x:c r="C53" s="62"/>
      <x:c r="D53"/>
      <x:c r="E53"/>
      <x:c r="F53"/>
      <x:c r="G53" s="84"/>
      <x:c r="H53"/>
      <x:c r="I53"/>
      <x:c r="J53"/>
      <x:c r="K53"/>
      <x:c r="L53"/>
      <x:c r="M53"/>
      <x:c r="N53"/>
      <x:c r="O53">
        <x:f t="shared" si="1"/>
      </x:c>
      <x:c r="P53">
        <x:f t="shared" si="2"/>
      </x:c>
      <x:c r="Q53"/>
      <x:c r="R53"/>
      <x:c r="S53"/>
    </x:row>
    <x:row r="54" ht="15.75" customHeight="1">
      <x:c r="A54">
        <x:f t="shared" si="3"/>
      </x:c>
      <x:c r="B54"/>
      <x:c r="C54" s="62"/>
      <x:c r="D54"/>
      <x:c r="E54"/>
      <x:c r="F54"/>
      <x:c r="G54" s="84"/>
      <x:c r="H54"/>
      <x:c r="I54"/>
      <x:c r="J54"/>
      <x:c r="K54"/>
      <x:c r="L54"/>
      <x:c r="M54"/>
      <x:c r="N54"/>
      <x:c r="O54">
        <x:f t="shared" si="1"/>
      </x:c>
      <x:c r="P54">
        <x:f t="shared" si="2"/>
      </x:c>
      <x:c r="Q54"/>
      <x:c r="R54"/>
      <x:c r="S54"/>
    </x:row>
    <x:row r="55" ht="15.75" customHeight="1">
      <x:c r="A55">
        <x:f t="shared" si="3"/>
      </x:c>
      <x:c r="B55"/>
      <x:c r="C55" s="62"/>
      <x:c r="D55"/>
      <x:c r="E55"/>
      <x:c r="F55"/>
      <x:c r="G55" s="84"/>
      <x:c r="H55"/>
      <x:c r="I55"/>
      <x:c r="J55"/>
      <x:c r="K55"/>
      <x:c r="L55"/>
      <x:c r="M55"/>
      <x:c r="N55"/>
      <x:c r="O55">
        <x:f t="shared" si="1"/>
      </x:c>
      <x:c r="P55">
        <x:f t="shared" si="2"/>
      </x:c>
      <x:c r="Q55"/>
      <x:c r="R55"/>
      <x:c r="S55"/>
    </x:row>
    <x:row r="56" ht="15.75" customHeight="1">
      <x:c r="A56">
        <x:f t="shared" si="3"/>
      </x:c>
      <x:c r="B56"/>
      <x:c r="C56" s="62"/>
      <x:c r="D56"/>
      <x:c r="E56"/>
      <x:c r="F56"/>
      <x:c r="G56" s="84"/>
      <x:c r="H56"/>
      <x:c r="I56"/>
      <x:c r="J56"/>
      <x:c r="K56"/>
      <x:c r="L56"/>
      <x:c r="M56"/>
      <x:c r="N56"/>
      <x:c r="O56">
        <x:f t="shared" si="1"/>
      </x:c>
      <x:c r="P56">
        <x:f t="shared" si="2"/>
      </x:c>
      <x:c r="Q56"/>
      <x:c r="R56"/>
      <x:c r="S56"/>
    </x:row>
    <x:row r="57" ht="15.75" customHeight="1">
      <x:c r="A57">
        <x:f t="shared" si="3"/>
      </x:c>
      <x:c r="B57"/>
      <x:c r="C57" s="62"/>
      <x:c r="D57"/>
      <x:c r="E57"/>
      <x:c r="F57"/>
      <x:c r="G57" s="84"/>
      <x:c r="H57"/>
      <x:c r="I57"/>
      <x:c r="J57"/>
      <x:c r="K57"/>
      <x:c r="L57"/>
      <x:c r="M57"/>
      <x:c r="N57"/>
      <x:c r="O57">
        <x:f t="shared" si="1"/>
      </x:c>
      <x:c r="P57">
        <x:f t="shared" si="2"/>
      </x:c>
      <x:c r="Q57"/>
      <x:c r="R57"/>
      <x:c r="S57"/>
    </x:row>
    <x:row r="58" ht="15.75" customHeight="1">
      <x:c r="A58">
        <x:f t="shared" si="3"/>
      </x:c>
      <x:c r="B58"/>
      <x:c r="C58" s="62"/>
      <x:c r="D58"/>
      <x:c r="E58"/>
      <x:c r="F58"/>
      <x:c r="G58" s="84"/>
      <x:c r="H58"/>
      <x:c r="I58"/>
      <x:c r="J58"/>
      <x:c r="K58"/>
      <x:c r="L58"/>
      <x:c r="M58"/>
      <x:c r="N58"/>
      <x:c r="O58">
        <x:f t="shared" si="1"/>
      </x:c>
      <x:c r="P58">
        <x:f t="shared" si="2"/>
      </x:c>
      <x:c r="Q58"/>
      <x:c r="R58"/>
      <x:c r="S58"/>
    </x:row>
    <x:row r="59" ht="15.75" customHeight="1">
      <x:c r="A59">
        <x:f t="shared" si="3"/>
      </x:c>
      <x:c r="B59"/>
      <x:c r="C59" s="62"/>
      <x:c r="D59"/>
      <x:c r="E59"/>
      <x:c r="F59"/>
      <x:c r="G59" s="84"/>
      <x:c r="H59"/>
      <x:c r="I59"/>
      <x:c r="J59"/>
      <x:c r="K59"/>
      <x:c r="L59"/>
      <x:c r="M59"/>
      <x:c r="N59"/>
      <x:c r="O59">
        <x:f t="shared" si="1"/>
      </x:c>
      <x:c r="P59">
        <x:f t="shared" si="2"/>
      </x:c>
      <x:c r="Q59"/>
      <x:c r="R59"/>
      <x:c r="S59"/>
    </x:row>
    <x:row r="60" ht="15.75" customHeight="1">
      <x:c r="A60">
        <x:f t="shared" si="3"/>
      </x:c>
      <x:c r="B60"/>
      <x:c r="C60" s="62"/>
      <x:c r="D60"/>
      <x:c r="E60"/>
      <x:c r="F60"/>
      <x:c r="G60" s="84"/>
      <x:c r="H60"/>
      <x:c r="I60"/>
      <x:c r="J60"/>
      <x:c r="K60"/>
      <x:c r="L60"/>
      <x:c r="M60"/>
      <x:c r="N60"/>
      <x:c r="O60">
        <x:f t="shared" si="1"/>
      </x:c>
      <x:c r="P60">
        <x:f t="shared" si="2"/>
      </x:c>
      <x:c r="Q60"/>
      <x:c r="R60"/>
      <x:c r="S60"/>
    </x:row>
    <x:row r="61" ht="15.75" customHeight="1">
      <x:c r="A61">
        <x:f t="shared" si="3"/>
      </x:c>
      <x:c r="B61"/>
      <x:c r="C61" s="62"/>
      <x:c r="D61"/>
      <x:c r="E61"/>
      <x:c r="F61"/>
      <x:c r="G61" s="84"/>
      <x:c r="H61"/>
      <x:c r="I61"/>
      <x:c r="J61"/>
      <x:c r="K61"/>
      <x:c r="L61"/>
      <x:c r="M61"/>
      <x:c r="N61"/>
      <x:c r="O61">
        <x:f t="shared" si="1"/>
      </x:c>
      <x:c r="P61">
        <x:f t="shared" si="2"/>
      </x:c>
      <x:c r="Q61"/>
      <x:c r="R61"/>
      <x:c r="S61"/>
    </x:row>
    <x:row r="62" ht="15.75" customHeight="1">
      <x:c r="A62">
        <x:f t="shared" si="3"/>
      </x:c>
      <x:c r="B62"/>
      <x:c r="C62" s="62"/>
      <x:c r="D62"/>
      <x:c r="E62"/>
      <x:c r="F62"/>
      <x:c r="G62" s="84"/>
      <x:c r="H62"/>
      <x:c r="I62"/>
      <x:c r="J62"/>
      <x:c r="K62"/>
      <x:c r="L62"/>
      <x:c r="M62"/>
      <x:c r="N62"/>
      <x:c r="O62">
        <x:f t="shared" si="1"/>
      </x:c>
      <x:c r="P62">
        <x:f t="shared" si="2"/>
      </x:c>
      <x:c r="Q62"/>
      <x:c r="R62"/>
      <x:c r="S62"/>
    </x:row>
    <x:row r="63" ht="15.75" customHeight="1">
      <x:c r="A63">
        <x:f t="shared" si="3"/>
      </x:c>
      <x:c r="B63"/>
      <x:c r="C63" s="62"/>
      <x:c r="D63"/>
      <x:c r="E63"/>
      <x:c r="F63"/>
      <x:c r="G63" s="84"/>
      <x:c r="H63"/>
      <x:c r="I63"/>
      <x:c r="J63"/>
      <x:c r="K63"/>
      <x:c r="L63"/>
      <x:c r="M63"/>
      <x:c r="N63"/>
      <x:c r="O63">
        <x:f t="shared" si="1"/>
      </x:c>
      <x:c r="P63">
        <x:f t="shared" si="2"/>
      </x:c>
      <x:c r="Q63"/>
      <x:c r="R63"/>
      <x:c r="S63"/>
    </x:row>
    <x:row r="64" ht="15.75" customHeight="1">
      <x:c r="A64">
        <x:f t="shared" si="3"/>
      </x:c>
      <x:c r="B64"/>
      <x:c r="C64" s="62"/>
      <x:c r="D64"/>
      <x:c r="E64"/>
      <x:c r="F64"/>
      <x:c r="G64" s="84"/>
      <x:c r="H64"/>
      <x:c r="I64"/>
      <x:c r="J64"/>
      <x:c r="K64"/>
      <x:c r="L64"/>
      <x:c r="M64"/>
      <x:c r="N64"/>
      <x:c r="O64">
        <x:f t="shared" si="1"/>
      </x:c>
      <x:c r="P64">
        <x:f t="shared" si="2"/>
      </x:c>
      <x:c r="Q64"/>
      <x:c r="R64"/>
      <x:c r="S64"/>
    </x:row>
    <x:row r="65" ht="15.75" customHeight="1">
      <x:c r="A65">
        <x:f t="shared" si="3"/>
      </x:c>
      <x:c r="B65"/>
      <x:c r="C65" s="62"/>
      <x:c r="D65"/>
      <x:c r="E65"/>
      <x:c r="F65"/>
      <x:c r="G65" s="84"/>
      <x:c r="H65"/>
      <x:c r="I65"/>
      <x:c r="J65"/>
      <x:c r="K65"/>
      <x:c r="L65"/>
      <x:c r="M65"/>
      <x:c r="N65"/>
      <x:c r="O65">
        <x:f t="shared" si="1"/>
      </x:c>
      <x:c r="P65">
        <x:f t="shared" si="2"/>
      </x:c>
      <x:c r="Q65"/>
      <x:c r="R65"/>
      <x:c r="S65"/>
    </x:row>
    <x:row r="66" ht="15.75" customHeight="1">
      <x:c r="A66">
        <x:f t="shared" si="3"/>
      </x:c>
      <x:c r="B66"/>
      <x:c r="C66" s="62"/>
      <x:c r="D66"/>
      <x:c r="E66"/>
      <x:c r="F66"/>
      <x:c r="G66" s="84"/>
      <x:c r="H66"/>
      <x:c r="I66"/>
      <x:c r="J66"/>
      <x:c r="K66"/>
      <x:c r="L66"/>
      <x:c r="M66"/>
      <x:c r="N66"/>
      <x:c r="O66">
        <x:f t="shared" si="1"/>
      </x:c>
      <x:c r="P66">
        <x:f t="shared" si="2"/>
      </x:c>
      <x:c r="Q66"/>
      <x:c r="R66"/>
      <x:c r="S66"/>
    </x:row>
    <x:row r="67" ht="15.75" customHeight="1">
      <x:c r="A67">
        <x:f t="shared" si="3"/>
      </x:c>
      <x:c r="B67"/>
      <x:c r="C67" s="62"/>
      <x:c r="D67"/>
      <x:c r="E67"/>
      <x:c r="F67"/>
      <x:c r="G67" s="84"/>
      <x:c r="H67"/>
      <x:c r="I67"/>
      <x:c r="J67"/>
      <x:c r="K67"/>
      <x:c r="L67"/>
      <x:c r="M67"/>
      <x:c r="N67"/>
      <x:c r="O67">
        <x:f t="shared" si="1"/>
      </x:c>
      <x:c r="P67">
        <x:f t="shared" si="2"/>
      </x:c>
      <x:c r="Q67"/>
      <x:c r="R67"/>
      <x:c r="S67"/>
    </x:row>
    <x:row r="68" ht="15.75" customHeight="1">
      <x:c r="A68">
        <x:f t="shared" si="3"/>
      </x:c>
      <x:c r="B68"/>
      <x:c r="C68" s="62"/>
      <x:c r="D68"/>
      <x:c r="E68"/>
      <x:c r="F68"/>
      <x:c r="G68" s="84"/>
      <x:c r="H68"/>
      <x:c r="I68"/>
      <x:c r="J68"/>
      <x:c r="K68"/>
      <x:c r="L68"/>
      <x:c r="M68"/>
      <x:c r="N68"/>
      <x:c r="O68">
        <x:f t="shared" si="1"/>
      </x:c>
      <x:c r="P68">
        <x:f t="shared" si="2"/>
      </x:c>
      <x:c r="Q68"/>
      <x:c r="R68"/>
      <x:c r="S68"/>
    </x:row>
    <x:row r="69" ht="15.75" customHeight="1">
      <x:c r="A69">
        <x:f t="shared" si="3"/>
      </x:c>
      <x:c r="B69"/>
      <x:c r="C69" s="62"/>
      <x:c r="D69"/>
      <x:c r="E69"/>
      <x:c r="F69"/>
      <x:c r="G69" s="84"/>
      <x:c r="H69"/>
      <x:c r="I69"/>
      <x:c r="J69"/>
      <x:c r="K69"/>
      <x:c r="L69"/>
      <x:c r="M69"/>
      <x:c r="N69"/>
      <x:c r="O69">
        <x:f t="shared" si="1"/>
      </x:c>
      <x:c r="P69">
        <x:f t="shared" si="2"/>
      </x:c>
      <x:c r="Q69"/>
      <x:c r="R69"/>
      <x:c r="S69"/>
    </x:row>
    <x:row r="70" ht="15.75" customHeight="1">
      <x:c r="A70">
        <x:f t="shared" si="3"/>
      </x:c>
      <x:c r="B70"/>
      <x:c r="C70" s="62"/>
      <x:c r="D70"/>
      <x:c r="E70"/>
      <x:c r="F70"/>
      <x:c r="G70" s="84"/>
      <x:c r="H70"/>
      <x:c r="I70"/>
      <x:c r="J70"/>
      <x:c r="K70"/>
      <x:c r="L70"/>
      <x:c r="M70"/>
      <x:c r="N70"/>
      <x:c r="O70">
        <x:f t="shared" si="1"/>
      </x:c>
      <x:c r="P70">
        <x:f t="shared" si="2"/>
      </x:c>
      <x:c r="Q70"/>
      <x:c r="R70"/>
      <x:c r="S70"/>
    </x:row>
    <x:row r="71" ht="15.75" customHeight="1">
      <x:c r="A71">
        <x:f t="shared" si="3"/>
      </x:c>
      <x:c r="B71"/>
      <x:c r="C71" s="62"/>
      <x:c r="D71"/>
      <x:c r="E71"/>
      <x:c r="F71"/>
      <x:c r="G71" s="84"/>
      <x:c r="H71"/>
      <x:c r="I71"/>
      <x:c r="J71"/>
      <x:c r="K71"/>
      <x:c r="L71"/>
      <x:c r="M71"/>
      <x:c r="N71"/>
      <x:c r="O71">
        <x:f t="shared" si="1"/>
      </x:c>
      <x:c r="P71">
        <x:f t="shared" si="2"/>
      </x:c>
      <x:c r="Q71"/>
      <x:c r="R71"/>
      <x:c r="S71"/>
    </x:row>
    <x:row r="72" ht="15.75" customHeight="1">
      <x:c r="A72">
        <x:f t="shared" si="3"/>
      </x:c>
      <x:c r="B72"/>
      <x:c r="C72" s="62"/>
      <x:c r="D72"/>
      <x:c r="E72"/>
      <x:c r="F72"/>
      <x:c r="G72" s="84"/>
      <x:c r="H72"/>
      <x:c r="I72"/>
      <x:c r="J72"/>
      <x:c r="K72"/>
      <x:c r="L72"/>
      <x:c r="M72"/>
      <x:c r="N72"/>
      <x:c r="O72">
        <x:f t="shared" si="1"/>
      </x:c>
      <x:c r="P72">
        <x:f t="shared" si="2"/>
      </x:c>
      <x:c r="Q72"/>
      <x:c r="R72"/>
      <x:c r="S72"/>
    </x:row>
    <x:row r="73" ht="15.75" customHeight="1">
      <x:c r="A73">
        <x:f t="shared" si="3"/>
      </x:c>
      <x:c r="B73"/>
      <x:c r="C73" s="62"/>
      <x:c r="D73"/>
      <x:c r="E73"/>
      <x:c r="F73"/>
      <x:c r="G73" s="84"/>
      <x:c r="H73"/>
      <x:c r="I73"/>
      <x:c r="J73"/>
      <x:c r="K73"/>
      <x:c r="L73"/>
      <x:c r="M73"/>
      <x:c r="N73"/>
      <x:c r="O73">
        <x:f t="shared" si="1"/>
      </x:c>
      <x:c r="P73">
        <x:f t="shared" si="2"/>
      </x:c>
      <x:c r="Q73"/>
      <x:c r="R73"/>
      <x:c r="S73"/>
    </x:row>
    <x:row r="74" ht="15.75" customHeight="1">
      <x:c r="A74">
        <x:f t="shared" si="3"/>
      </x:c>
      <x:c r="B74"/>
      <x:c r="C74" s="62"/>
      <x:c r="D74"/>
      <x:c r="E74"/>
      <x:c r="F74"/>
      <x:c r="G74" s="84"/>
      <x:c r="H74"/>
      <x:c r="I74"/>
      <x:c r="J74"/>
      <x:c r="K74"/>
      <x:c r="L74"/>
      <x:c r="M74"/>
      <x:c r="N74"/>
      <x:c r="O74">
        <x:f t="shared" si="1"/>
      </x:c>
      <x:c r="P74">
        <x:f t="shared" si="2"/>
      </x:c>
      <x:c r="Q74"/>
      <x:c r="R74"/>
      <x:c r="S74"/>
    </x:row>
    <x:row r="75" ht="15.75" customHeight="1">
      <x:c r="A75">
        <x:f t="shared" si="3"/>
      </x:c>
      <x:c r="B75"/>
      <x:c r="C75" s="62"/>
      <x:c r="D75"/>
      <x:c r="E75"/>
      <x:c r="F75"/>
      <x:c r="G75" s="84"/>
      <x:c r="H75"/>
      <x:c r="I75"/>
      <x:c r="J75"/>
      <x:c r="K75"/>
      <x:c r="L75"/>
      <x:c r="M75"/>
      <x:c r="N75"/>
      <x:c r="O75">
        <x:f t="shared" si="1"/>
      </x:c>
      <x:c r="P75">
        <x:f t="shared" si="2"/>
      </x:c>
      <x:c r="Q75"/>
      <x:c r="R75"/>
      <x:c r="S75"/>
    </x:row>
    <x:row r="76" ht="15.75" customHeight="1">
      <x:c r="A76">
        <x:f t="shared" si="3"/>
      </x:c>
      <x:c r="B76"/>
      <x:c r="C76" s="62"/>
      <x:c r="D76"/>
      <x:c r="E76"/>
      <x:c r="F76"/>
      <x:c r="G76" s="84"/>
      <x:c r="H76"/>
      <x:c r="I76"/>
      <x:c r="J76"/>
      <x:c r="K76"/>
      <x:c r="L76"/>
      <x:c r="M76"/>
      <x:c r="N76"/>
      <x:c r="O76">
        <x:f t="shared" si="1"/>
      </x:c>
      <x:c r="P76">
        <x:f t="shared" si="2"/>
      </x:c>
      <x:c r="Q76"/>
      <x:c r="R76"/>
      <x:c r="S76"/>
    </x:row>
    <x:row r="77" ht="15.75" customHeight="1">
      <x:c r="A77">
        <x:f t="shared" si="3"/>
      </x:c>
      <x:c r="B77"/>
      <x:c r="C77" s="62"/>
      <x:c r="D77"/>
      <x:c r="E77"/>
      <x:c r="F77"/>
      <x:c r="G77" s="84"/>
      <x:c r="H77"/>
      <x:c r="I77"/>
      <x:c r="J77"/>
      <x:c r="K77"/>
      <x:c r="L77"/>
      <x:c r="M77"/>
      <x:c r="N77"/>
      <x:c r="O77">
        <x:f t="shared" si="1"/>
      </x:c>
      <x:c r="P77">
        <x:f t="shared" si="2"/>
      </x:c>
      <x:c r="Q77"/>
      <x:c r="R77"/>
      <x:c r="S77"/>
    </x:row>
    <x:row r="78" ht="15.75" customHeight="1">
      <x:c r="A78">
        <x:f t="shared" si="3"/>
      </x:c>
      <x:c r="B78"/>
      <x:c r="C78" s="62"/>
      <x:c r="D78"/>
      <x:c r="E78"/>
      <x:c r="F78"/>
      <x:c r="G78" s="84"/>
      <x:c r="H78"/>
      <x:c r="I78"/>
      <x:c r="J78"/>
      <x:c r="K78"/>
      <x:c r="L78"/>
      <x:c r="M78"/>
      <x:c r="N78"/>
      <x:c r="O78">
        <x:f t="shared" si="1"/>
      </x:c>
      <x:c r="P78">
        <x:f t="shared" si="2"/>
      </x:c>
      <x:c r="Q78"/>
      <x:c r="R78"/>
      <x:c r="S78"/>
    </x:row>
    <x:row r="79" ht="15.75" customHeight="1">
      <x:c r="A79">
        <x:f t="shared" si="3"/>
      </x:c>
      <x:c r="B79"/>
      <x:c r="C79" s="62"/>
      <x:c r="D79"/>
      <x:c r="E79"/>
      <x:c r="F79"/>
      <x:c r="G79" s="84"/>
      <x:c r="H79"/>
      <x:c r="I79"/>
      <x:c r="J79"/>
      <x:c r="K79"/>
      <x:c r="L79"/>
      <x:c r="M79"/>
      <x:c r="N79"/>
      <x:c r="O79">
        <x:f t="shared" si="1"/>
      </x:c>
      <x:c r="P79">
        <x:f t="shared" si="2"/>
      </x:c>
      <x:c r="Q79"/>
      <x:c r="R79"/>
      <x:c r="S79"/>
    </x:row>
    <x:row r="80" ht="15.75" customHeight="1">
      <x:c r="A80">
        <x:f t="shared" si="3"/>
      </x:c>
      <x:c r="B80"/>
      <x:c r="C80" s="62"/>
      <x:c r="D80"/>
      <x:c r="E80"/>
      <x:c r="F80"/>
      <x:c r="G80" s="84"/>
      <x:c r="H80"/>
      <x:c r="I80"/>
      <x:c r="J80"/>
      <x:c r="K80"/>
      <x:c r="L80"/>
      <x:c r="M80"/>
      <x:c r="N80"/>
      <x:c r="O80">
        <x:f t="shared" si="1"/>
      </x:c>
      <x:c r="P80">
        <x:f t="shared" si="2"/>
      </x:c>
      <x:c r="Q80"/>
      <x:c r="R80"/>
      <x:c r="S80"/>
    </x:row>
    <x:row r="81" ht="15.75" customHeight="1">
      <x:c r="A81">
        <x:f t="shared" si="3"/>
      </x:c>
      <x:c r="B81"/>
      <x:c r="C81" s="62"/>
      <x:c r="D81"/>
      <x:c r="E81"/>
      <x:c r="F81"/>
      <x:c r="G81" s="84"/>
      <x:c r="H81"/>
      <x:c r="I81"/>
      <x:c r="J81"/>
      <x:c r="K81"/>
      <x:c r="L81"/>
      <x:c r="M81"/>
      <x:c r="N81"/>
      <x:c r="O81">
        <x:f t="shared" si="1"/>
      </x:c>
      <x:c r="P81">
        <x:f t="shared" si="2"/>
      </x:c>
      <x:c r="Q81"/>
      <x:c r="R81"/>
      <x:c r="S81"/>
    </x:row>
    <x:row r="82" ht="15.75" customHeight="1">
      <x:c r="A82">
        <x:f t="shared" si="3"/>
      </x:c>
      <x:c r="B82"/>
      <x:c r="C82" s="62"/>
      <x:c r="D82"/>
      <x:c r="E82"/>
      <x:c r="F82"/>
      <x:c r="G82" s="84"/>
      <x:c r="H82"/>
      <x:c r="I82"/>
      <x:c r="J82"/>
      <x:c r="K82"/>
      <x:c r="L82"/>
      <x:c r="M82"/>
      <x:c r="N82"/>
      <x:c r="O82">
        <x:f t="shared" si="1"/>
      </x:c>
      <x:c r="P82">
        <x:f t="shared" si="2"/>
      </x:c>
      <x:c r="Q82"/>
      <x:c r="R82"/>
      <x:c r="S82"/>
    </x:row>
    <x:row r="83" ht="15.75" customHeight="1">
      <x:c r="A83">
        <x:f t="shared" si="3"/>
      </x:c>
      <x:c r="B83"/>
      <x:c r="C83" s="62"/>
      <x:c r="D83"/>
      <x:c r="E83"/>
      <x:c r="F83"/>
      <x:c r="G83" s="84"/>
      <x:c r="H83"/>
      <x:c r="I83"/>
      <x:c r="J83"/>
      <x:c r="K83"/>
      <x:c r="L83"/>
      <x:c r="M83"/>
      <x:c r="N83"/>
      <x:c r="O83">
        <x:f t="shared" si="1"/>
      </x:c>
      <x:c r="P83">
        <x:f t="shared" si="2"/>
      </x:c>
      <x:c r="Q83"/>
      <x:c r="R83"/>
      <x:c r="S83"/>
    </x:row>
    <x:row r="84" ht="15.75" customHeight="1">
      <x:c r="A84">
        <x:f t="shared" si="3"/>
      </x:c>
      <x:c r="B84"/>
      <x:c r="C84" s="62"/>
      <x:c r="D84"/>
      <x:c r="E84"/>
      <x:c r="F84"/>
      <x:c r="G84" s="84"/>
      <x:c r="H84"/>
      <x:c r="I84"/>
      <x:c r="J84"/>
      <x:c r="K84"/>
      <x:c r="L84"/>
      <x:c r="M84"/>
      <x:c r="N84"/>
      <x:c r="O84">
        <x:f t="shared" si="1"/>
      </x:c>
      <x:c r="P84">
        <x:f t="shared" si="2"/>
      </x:c>
      <x:c r="Q84"/>
      <x:c r="R84"/>
      <x:c r="S84"/>
    </x:row>
    <x:row r="85" ht="15.75" customHeight="1">
      <x:c r="A85">
        <x:f t="shared" si="3"/>
      </x:c>
      <x:c r="B85"/>
      <x:c r="C85" s="62"/>
      <x:c r="D85"/>
      <x:c r="E85"/>
      <x:c r="F85"/>
      <x:c r="G85" s="84"/>
      <x:c r="H85"/>
      <x:c r="I85"/>
      <x:c r="J85"/>
      <x:c r="K85"/>
      <x:c r="L85"/>
      <x:c r="M85"/>
      <x:c r="N85"/>
      <x:c r="O85">
        <x:f t="shared" si="1"/>
      </x:c>
      <x:c r="P85">
        <x:f t="shared" si="2"/>
      </x:c>
      <x:c r="Q85"/>
      <x:c r="R85"/>
      <x:c r="S85"/>
    </x:row>
    <x:row r="86" ht="15.75" customHeight="1">
      <x:c r="A86">
        <x:f t="shared" si="3"/>
      </x:c>
      <x:c r="B86"/>
      <x:c r="C86" s="62"/>
      <x:c r="D86"/>
      <x:c r="E86"/>
      <x:c r="F86"/>
      <x:c r="G86" s="84"/>
      <x:c r="H86"/>
      <x:c r="I86"/>
      <x:c r="J86"/>
      <x:c r="K86"/>
      <x:c r="L86"/>
      <x:c r="M86"/>
      <x:c r="N86"/>
      <x:c r="O86">
        <x:f t="shared" si="1"/>
      </x:c>
      <x:c r="P86">
        <x:f t="shared" si="2"/>
      </x:c>
      <x:c r="Q86"/>
      <x:c r="R86"/>
      <x:c r="S86"/>
    </x:row>
    <x:row r="87" ht="15.75" customHeight="1">
      <x:c r="A87">
        <x:f t="shared" si="3"/>
      </x:c>
      <x:c r="B87"/>
      <x:c r="C87" s="62"/>
      <x:c r="D87"/>
      <x:c r="E87"/>
      <x:c r="F87"/>
      <x:c r="G87" s="84"/>
      <x:c r="H87"/>
      <x:c r="I87"/>
      <x:c r="J87"/>
      <x:c r="K87"/>
      <x:c r="L87"/>
      <x:c r="M87"/>
      <x:c r="N87"/>
      <x:c r="O87">
        <x:f t="shared" si="1"/>
      </x:c>
      <x:c r="P87">
        <x:f t="shared" si="2"/>
      </x:c>
      <x:c r="Q87"/>
      <x:c r="R87"/>
      <x:c r="S87"/>
    </x:row>
    <x:row r="88" ht="15.75" customHeight="1">
      <x:c r="A88">
        <x:f t="shared" si="3"/>
      </x:c>
      <x:c r="B88"/>
      <x:c r="C88" s="62"/>
      <x:c r="D88"/>
      <x:c r="E88"/>
      <x:c r="F88"/>
      <x:c r="G88" s="84"/>
      <x:c r="H88"/>
      <x:c r="I88"/>
      <x:c r="J88"/>
      <x:c r="K88"/>
      <x:c r="L88"/>
      <x:c r="M88"/>
      <x:c r="N88"/>
      <x:c r="O88">
        <x:f t="shared" si="1"/>
      </x:c>
      <x:c r="P88">
        <x:f t="shared" si="2"/>
      </x:c>
      <x:c r="Q88"/>
      <x:c r="R88"/>
      <x:c r="S88"/>
    </x:row>
    <x:row r="89" ht="15.75" customHeight="1">
      <x:c r="A89">
        <x:f t="shared" si="3"/>
      </x:c>
      <x:c r="B89"/>
      <x:c r="C89" s="62"/>
      <x:c r="D89"/>
      <x:c r="E89"/>
      <x:c r="F89"/>
      <x:c r="G89" s="84"/>
      <x:c r="H89"/>
      <x:c r="I89"/>
      <x:c r="J89"/>
      <x:c r="K89"/>
      <x:c r="L89"/>
      <x:c r="M89"/>
      <x:c r="N89"/>
      <x:c r="O89">
        <x:f t="shared" si="1"/>
      </x:c>
      <x:c r="P89">
        <x:f t="shared" si="2"/>
      </x:c>
      <x:c r="Q89"/>
      <x:c r="R89"/>
      <x:c r="S89"/>
    </x:row>
    <x:row r="90" ht="15.75" customHeight="1">
      <x:c r="A90">
        <x:f t="shared" si="3"/>
      </x:c>
      <x:c r="B90"/>
      <x:c r="C90" s="62"/>
      <x:c r="D90"/>
      <x:c r="E90"/>
      <x:c r="F90"/>
      <x:c r="G90" s="84"/>
      <x:c r="H90"/>
      <x:c r="I90"/>
      <x:c r="J90"/>
      <x:c r="K90"/>
      <x:c r="L90"/>
      <x:c r="M90"/>
      <x:c r="N90"/>
      <x:c r="O90">
        <x:f t="shared" si="1"/>
      </x:c>
      <x:c r="P90">
        <x:f t="shared" si="2"/>
      </x:c>
      <x:c r="Q90"/>
      <x:c r="R90"/>
      <x:c r="S90"/>
    </x:row>
    <x:row r="91" ht="15.75" customHeight="1">
      <x:c r="A91">
        <x:f t="shared" si="3"/>
      </x:c>
      <x:c r="B91"/>
      <x:c r="C91" s="62"/>
      <x:c r="D91"/>
      <x:c r="E91"/>
      <x:c r="F91"/>
      <x:c r="G91" s="84"/>
      <x:c r="H91"/>
      <x:c r="I91"/>
      <x:c r="J91"/>
      <x:c r="K91"/>
      <x:c r="L91"/>
      <x:c r="M91"/>
      <x:c r="N91"/>
      <x:c r="O91">
        <x:f t="shared" si="1"/>
      </x:c>
      <x:c r="P91">
        <x:f t="shared" si="2"/>
      </x:c>
      <x:c r="Q91"/>
      <x:c r="R91"/>
      <x:c r="S91"/>
    </x:row>
    <x:row r="92" ht="15.75" customHeight="1">
      <x:c r="A92">
        <x:f t="shared" si="3"/>
      </x:c>
      <x:c r="B92"/>
      <x:c r="C92" s="62"/>
      <x:c r="D92"/>
      <x:c r="E92"/>
      <x:c r="F92"/>
      <x:c r="G92" s="84"/>
      <x:c r="H92"/>
      <x:c r="I92"/>
      <x:c r="J92"/>
      <x:c r="K92"/>
      <x:c r="L92"/>
      <x:c r="M92"/>
      <x:c r="N92"/>
      <x:c r="O92">
        <x:f t="shared" si="1"/>
      </x:c>
      <x:c r="P92">
        <x:f t="shared" si="2"/>
      </x:c>
      <x:c r="Q92"/>
      <x:c r="R92"/>
      <x:c r="S92"/>
    </x:row>
    <x:row r="93" ht="15.75" customHeight="1">
      <x:c r="A93">
        <x:f t="shared" si="3"/>
      </x:c>
      <x:c r="B93"/>
      <x:c r="C93" s="62"/>
      <x:c r="D93"/>
      <x:c r="E93"/>
      <x:c r="F93"/>
      <x:c r="G93" s="84"/>
      <x:c r="H93"/>
      <x:c r="I93"/>
      <x:c r="J93"/>
      <x:c r="K93"/>
      <x:c r="L93"/>
      <x:c r="M93"/>
      <x:c r="N93"/>
      <x:c r="O93">
        <x:f t="shared" si="1"/>
      </x:c>
      <x:c r="P93">
        <x:f t="shared" si="2"/>
      </x:c>
      <x:c r="Q93"/>
      <x:c r="R93"/>
      <x:c r="S93"/>
    </x:row>
    <x:row r="94" ht="15.75" customHeight="1">
      <x:c r="A94">
        <x:f t="shared" si="3"/>
      </x:c>
      <x:c r="B94"/>
      <x:c r="C94" s="62"/>
      <x:c r="D94"/>
      <x:c r="E94"/>
      <x:c r="F94"/>
      <x:c r="G94" s="84"/>
      <x:c r="H94"/>
      <x:c r="I94"/>
      <x:c r="J94"/>
      <x:c r="K94"/>
      <x:c r="L94"/>
      <x:c r="M94"/>
      <x:c r="N94"/>
      <x:c r="O94">
        <x:f t="shared" si="1"/>
      </x:c>
      <x:c r="P94">
        <x:f t="shared" si="2"/>
      </x:c>
      <x:c r="Q94"/>
      <x:c r="R94"/>
      <x:c r="S94"/>
    </x:row>
    <x:row r="95" ht="15.75" customHeight="1">
      <x:c r="A95">
        <x:f t="shared" si="3"/>
      </x:c>
      <x:c r="B95"/>
      <x:c r="C95" s="62"/>
      <x:c r="D95"/>
      <x:c r="E95"/>
      <x:c r="F95"/>
      <x:c r="G95" s="84"/>
      <x:c r="H95"/>
      <x:c r="I95"/>
      <x:c r="J95"/>
      <x:c r="K95"/>
      <x:c r="L95"/>
      <x:c r="M95"/>
      <x:c r="N95"/>
      <x:c r="O95">
        <x:f t="shared" si="1"/>
      </x:c>
      <x:c r="P95">
        <x:f t="shared" si="2"/>
      </x:c>
      <x:c r="Q95"/>
      <x:c r="R95"/>
      <x:c r="S95"/>
    </x:row>
    <x:row r="96" ht="15.75" customHeight="1">
      <x:c r="A96">
        <x:f t="shared" si="3"/>
      </x:c>
      <x:c r="B96"/>
      <x:c r="C96" s="62"/>
      <x:c r="D96"/>
      <x:c r="E96"/>
      <x:c r="F96"/>
      <x:c r="G96" s="84"/>
      <x:c r="H96"/>
      <x:c r="I96"/>
      <x:c r="J96"/>
      <x:c r="K96"/>
      <x:c r="L96"/>
      <x:c r="M96"/>
      <x:c r="N96"/>
      <x:c r="O96">
        <x:f t="shared" si="1"/>
      </x:c>
      <x:c r="P96">
        <x:f t="shared" si="2"/>
      </x:c>
      <x:c r="Q96"/>
      <x:c r="R96"/>
      <x:c r="S96"/>
    </x:row>
    <x:row r="97" ht="15.75" customHeight="1">
      <x:c r="A97">
        <x:f t="shared" si="3"/>
      </x:c>
      <x:c r="B97"/>
      <x:c r="C97" s="62"/>
      <x:c r="D97"/>
      <x:c r="E97"/>
      <x:c r="F97"/>
      <x:c r="G97" s="84"/>
      <x:c r="H97"/>
      <x:c r="I97"/>
      <x:c r="J97"/>
      <x:c r="K97"/>
      <x:c r="L97"/>
      <x:c r="M97"/>
      <x:c r="N97"/>
      <x:c r="O97">
        <x:f t="shared" si="1"/>
      </x:c>
      <x:c r="P97">
        <x:f t="shared" si="2"/>
      </x:c>
      <x:c r="Q97"/>
      <x:c r="R97"/>
      <x:c r="S97"/>
    </x:row>
    <x:row r="98" ht="15.75" customHeight="1">
      <x:c r="A98">
        <x:f t="shared" si="3"/>
      </x:c>
      <x:c r="B98"/>
      <x:c r="C98" s="62"/>
      <x:c r="D98"/>
      <x:c r="E98"/>
      <x:c r="F98"/>
      <x:c r="G98" s="84"/>
      <x:c r="H98"/>
      <x:c r="I98"/>
      <x:c r="J98"/>
      <x:c r="K98"/>
      <x:c r="L98"/>
      <x:c r="M98"/>
      <x:c r="N98"/>
      <x:c r="O98">
        <x:f t="shared" si="1"/>
      </x:c>
      <x:c r="P98">
        <x:f t="shared" si="2"/>
      </x:c>
      <x:c r="Q98"/>
      <x:c r="R98"/>
      <x:c r="S98"/>
    </x:row>
    <x:row r="99" ht="15.75" customHeight="1">
      <x:c r="A99">
        <x:f t="shared" si="3"/>
      </x:c>
      <x:c r="B99"/>
      <x:c r="C99" s="62"/>
      <x:c r="D99"/>
      <x:c r="E99"/>
      <x:c r="F99"/>
      <x:c r="G99" s="84"/>
      <x:c r="H99"/>
      <x:c r="I99"/>
      <x:c r="J99"/>
      <x:c r="K99"/>
      <x:c r="L99"/>
      <x:c r="M99"/>
      <x:c r="N99"/>
      <x:c r="O99">
        <x:f t="shared" si="1"/>
      </x:c>
      <x:c r="P99">
        <x:f t="shared" si="2"/>
      </x:c>
      <x:c r="Q99"/>
      <x:c r="R99"/>
      <x:c r="S99"/>
    </x:row>
    <x:row r="100" ht="15.75" customHeight="1">
      <x:c r="A100">
        <x:f t="shared" si="3"/>
      </x:c>
      <x:c r="B100"/>
      <x:c r="C100" s="62"/>
      <x:c r="D100"/>
      <x:c r="E100"/>
      <x:c r="F100"/>
      <x:c r="G100" s="84"/>
      <x:c r="H100"/>
      <x:c r="I100"/>
      <x:c r="J100"/>
      <x:c r="K100"/>
      <x:c r="L100"/>
      <x:c r="M100"/>
      <x:c r="N100"/>
      <x:c r="O100">
        <x:f t="shared" si="1"/>
      </x:c>
      <x:c r="P100">
        <x:f t="shared" si="2"/>
      </x:c>
      <x:c r="Q100"/>
      <x:c r="R100"/>
      <x:c r="S100"/>
    </x:row>
    <x:row r="101" ht="15.75" customHeight="1">
      <x:c r="A101">
        <x:f t="shared" si="3"/>
      </x:c>
      <x:c r="B101"/>
      <x:c r="C101" s="62"/>
      <x:c r="D101"/>
      <x:c r="E101"/>
      <x:c r="F101"/>
      <x:c r="G101" s="84"/>
      <x:c r="H101"/>
      <x:c r="I101"/>
      <x:c r="J101"/>
      <x:c r="K101"/>
      <x:c r="L101"/>
      <x:c r="M101"/>
      <x:c r="N101"/>
      <x:c r="O101">
        <x:f t="shared" si="1"/>
      </x:c>
      <x:c r="P101">
        <x:f t="shared" si="2"/>
      </x:c>
      <x:c r="Q101"/>
      <x:c r="R101"/>
      <x:c r="S101"/>
    </x:row>
    <x:row r="102" ht="15.75" customHeight="1">
      <x:c r="A102">
        <x:f t="shared" si="3"/>
      </x:c>
      <x:c r="B102"/>
      <x:c r="C102" s="62"/>
      <x:c r="D102"/>
      <x:c r="E102"/>
      <x:c r="F102"/>
      <x:c r="G102" s="84"/>
      <x:c r="H102"/>
      <x:c r="I102"/>
      <x:c r="J102"/>
      <x:c r="K102"/>
      <x:c r="L102"/>
      <x:c r="M102"/>
      <x:c r="N102"/>
      <x:c r="O102">
        <x:f t="shared" si="1"/>
      </x:c>
      <x:c r="P102">
        <x:f t="shared" si="2"/>
      </x:c>
      <x:c r="Q102"/>
      <x:c r="R102"/>
      <x:c r="S102"/>
    </x:row>
    <x:row r="103" ht="15.75" customHeight="1">
      <x:c r="A103">
        <x:f t="shared" si="3"/>
      </x:c>
      <x:c r="B103"/>
      <x:c r="C103" s="62"/>
      <x:c r="D103"/>
      <x:c r="E103"/>
      <x:c r="F103"/>
      <x:c r="G103" s="84"/>
      <x:c r="H103"/>
      <x:c r="I103"/>
      <x:c r="J103"/>
      <x:c r="K103"/>
      <x:c r="L103"/>
      <x:c r="M103"/>
      <x:c r="N103"/>
      <x:c r="O103">
        <x:f t="shared" si="1"/>
      </x:c>
      <x:c r="P103">
        <x:f t="shared" si="2"/>
      </x:c>
      <x:c r="Q103"/>
      <x:c r="R103"/>
      <x:c r="S103"/>
    </x:row>
    <x:row r="104" ht="15.75" customHeight="1">
      <x:c r="A104">
        <x:f t="shared" si="3"/>
      </x:c>
      <x:c r="B104"/>
      <x:c r="C104" s="62"/>
      <x:c r="D104"/>
      <x:c r="E104"/>
      <x:c r="F104"/>
      <x:c r="G104" s="84"/>
      <x:c r="H104"/>
      <x:c r="I104"/>
      <x:c r="J104"/>
      <x:c r="K104"/>
      <x:c r="L104"/>
      <x:c r="M104"/>
      <x:c r="N104"/>
      <x:c r="O104">
        <x:f t="shared" si="1"/>
      </x:c>
      <x:c r="P104">
        <x:f t="shared" si="2"/>
      </x:c>
      <x:c r="Q104"/>
      <x:c r="R104"/>
      <x:c r="S104"/>
    </x:row>
    <x:row r="105" ht="15.75" customHeight="1">
      <x:c r="A105">
        <x:f t="shared" si="3"/>
      </x:c>
      <x:c r="B105"/>
      <x:c r="C105" s="62"/>
      <x:c r="D105"/>
      <x:c r="E105"/>
      <x:c r="F105"/>
      <x:c r="G105" s="84"/>
      <x:c r="H105"/>
      <x:c r="I105"/>
      <x:c r="J105"/>
      <x:c r="K105"/>
      <x:c r="L105"/>
      <x:c r="M105"/>
      <x:c r="N105"/>
      <x:c r="O105">
        <x:f t="shared" si="1"/>
      </x:c>
      <x:c r="P105">
        <x:f t="shared" si="2"/>
      </x:c>
      <x:c r="Q105"/>
      <x:c r="R105"/>
      <x:c r="S105"/>
    </x:row>
    <x:row r="106" ht="15.75" customHeight="1">
      <x:c r="A106">
        <x:f t="shared" si="3"/>
      </x:c>
      <x:c r="B106"/>
      <x:c r="C106" s="62"/>
      <x:c r="D106"/>
      <x:c r="E106"/>
      <x:c r="F106"/>
      <x:c r="G106" s="84"/>
      <x:c r="H106"/>
      <x:c r="I106"/>
      <x:c r="J106"/>
      <x:c r="K106"/>
      <x:c r="L106"/>
      <x:c r="M106"/>
      <x:c r="N106"/>
      <x:c r="O106">
        <x:f t="shared" si="1"/>
      </x:c>
      <x:c r="P106">
        <x:f t="shared" si="2"/>
      </x:c>
      <x:c r="Q106"/>
      <x:c r="R106"/>
      <x:c r="S106"/>
    </x:row>
    <x:row r="107" ht="15.75" customHeight="1">
      <x:c r="A107">
        <x:f t="shared" si="3"/>
      </x:c>
      <x:c r="B107"/>
      <x:c r="C107" s="62"/>
      <x:c r="D107"/>
      <x:c r="E107"/>
      <x:c r="F107"/>
      <x:c r="G107" s="84"/>
      <x:c r="H107"/>
      <x:c r="I107"/>
      <x:c r="J107"/>
      <x:c r="K107"/>
      <x:c r="L107"/>
      <x:c r="M107"/>
      <x:c r="N107"/>
      <x:c r="O107">
        <x:f t="shared" si="1"/>
      </x:c>
      <x:c r="P107">
        <x:f t="shared" si="2"/>
      </x:c>
      <x:c r="Q107"/>
      <x:c r="R107"/>
      <x:c r="S107"/>
    </x:row>
    <x:row r="108" ht="15.75" customHeight="1">
      <x:c r="A108">
        <x:f t="shared" si="3"/>
      </x:c>
      <x:c r="B108"/>
      <x:c r="C108" s="62"/>
      <x:c r="D108"/>
      <x:c r="E108"/>
      <x:c r="F108"/>
      <x:c r="G108" s="84"/>
      <x:c r="H108"/>
      <x:c r="I108"/>
      <x:c r="J108"/>
      <x:c r="K108"/>
      <x:c r="L108"/>
      <x:c r="M108"/>
      <x:c r="N108"/>
      <x:c r="O108">
        <x:f t="shared" si="1"/>
      </x:c>
      <x:c r="P108">
        <x:f t="shared" si="2"/>
      </x:c>
      <x:c r="Q108"/>
      <x:c r="R108"/>
      <x:c r="S108"/>
    </x:row>
    <x:row r="109" ht="15.75" customHeight="1">
      <x:c r="A109">
        <x:f t="shared" si="3"/>
      </x:c>
      <x:c r="B109"/>
      <x:c r="C109" s="62"/>
      <x:c r="D109"/>
      <x:c r="E109"/>
      <x:c r="F109"/>
      <x:c r="G109" s="84"/>
      <x:c r="H109"/>
      <x:c r="I109"/>
      <x:c r="J109"/>
      <x:c r="K109"/>
      <x:c r="L109"/>
      <x:c r="M109"/>
      <x:c r="N109"/>
      <x:c r="O109">
        <x:f t="shared" si="1"/>
      </x:c>
      <x:c r="P109">
        <x:f t="shared" si="2"/>
      </x:c>
      <x:c r="Q109"/>
      <x:c r="R109"/>
      <x:c r="S109"/>
    </x:row>
    <x:row r="110" ht="15.75" customHeight="1">
      <x:c r="A110">
        <x:f t="shared" si="3"/>
      </x:c>
      <x:c r="B110"/>
      <x:c r="C110" s="62"/>
      <x:c r="D110"/>
      <x:c r="E110"/>
      <x:c r="F110"/>
      <x:c r="G110" s="84"/>
      <x:c r="H110"/>
      <x:c r="I110"/>
      <x:c r="J110"/>
      <x:c r="K110"/>
      <x:c r="L110"/>
      <x:c r="M110"/>
      <x:c r="N110"/>
      <x:c r="O110">
        <x:f t="shared" si="1"/>
      </x:c>
      <x:c r="P110">
        <x:f t="shared" si="2"/>
      </x:c>
      <x:c r="Q110"/>
      <x:c r="R110"/>
      <x:c r="S110"/>
    </x:row>
    <x:row r="111" ht="15.75" customHeight="1">
      <x:c r="A111">
        <x:f t="shared" si="3"/>
      </x:c>
      <x:c r="B111"/>
      <x:c r="C111" s="62"/>
      <x:c r="D111"/>
      <x:c r="E111"/>
      <x:c r="F111"/>
      <x:c r="G111" s="84"/>
      <x:c r="H111"/>
      <x:c r="I111"/>
      <x:c r="J111"/>
      <x:c r="K111"/>
      <x:c r="L111"/>
      <x:c r="M111"/>
      <x:c r="N111"/>
      <x:c r="O111">
        <x:f t="shared" si="1"/>
      </x:c>
      <x:c r="P111">
        <x:f t="shared" si="2"/>
      </x:c>
      <x:c r="Q111"/>
      <x:c r="R111"/>
      <x:c r="S111"/>
    </x:row>
    <x:row r="112" ht="15.75" customHeight="1">
      <x:c r="A112">
        <x:f t="shared" si="3"/>
      </x:c>
      <x:c r="B112"/>
      <x:c r="C112" s="62"/>
      <x:c r="D112"/>
      <x:c r="E112"/>
      <x:c r="F112"/>
      <x:c r="G112" s="84"/>
      <x:c r="H112"/>
      <x:c r="I112"/>
      <x:c r="J112"/>
      <x:c r="K112"/>
      <x:c r="L112"/>
      <x:c r="M112"/>
      <x:c r="N112"/>
      <x:c r="O112">
        <x:f t="shared" si="1"/>
      </x:c>
      <x:c r="P112">
        <x:f t="shared" si="2"/>
      </x:c>
      <x:c r="Q112"/>
      <x:c r="R112"/>
      <x:c r="S112"/>
    </x:row>
    <x:row r="113" ht="15.75" customHeight="1">
      <x:c r="A113">
        <x:f t="shared" si="3"/>
      </x:c>
      <x:c r="B113"/>
      <x:c r="C113" s="62"/>
      <x:c r="D113"/>
      <x:c r="E113"/>
      <x:c r="F113"/>
      <x:c r="G113" s="84"/>
      <x:c r="H113"/>
      <x:c r="I113"/>
      <x:c r="J113"/>
      <x:c r="K113"/>
      <x:c r="L113"/>
      <x:c r="M113"/>
      <x:c r="N113"/>
      <x:c r="O113">
        <x:f t="shared" si="1"/>
      </x:c>
      <x:c r="P113">
        <x:f t="shared" si="2"/>
      </x:c>
      <x:c r="Q113"/>
      <x:c r="R113"/>
      <x:c r="S113"/>
    </x:row>
    <x:row r="114" ht="15.75" customHeight="1">
      <x:c r="A114">
        <x:f t="shared" si="3"/>
      </x:c>
      <x:c r="B114"/>
      <x:c r="C114" s="62"/>
      <x:c r="D114"/>
      <x:c r="E114"/>
      <x:c r="F114"/>
      <x:c r="G114" s="84"/>
      <x:c r="H114"/>
      <x:c r="I114"/>
      <x:c r="J114"/>
      <x:c r="K114"/>
      <x:c r="L114"/>
      <x:c r="M114"/>
      <x:c r="N114"/>
      <x:c r="O114">
        <x:f t="shared" si="1"/>
      </x:c>
      <x:c r="P114">
        <x:f t="shared" si="2"/>
      </x:c>
      <x:c r="Q114"/>
      <x:c r="R114"/>
      <x:c r="S114"/>
    </x:row>
    <x:row r="115" ht="15.75" customHeight="1">
      <x:c r="A115">
        <x:f t="shared" si="3"/>
      </x:c>
      <x:c r="B115"/>
      <x:c r="C115" s="62"/>
      <x:c r="D115"/>
      <x:c r="E115"/>
      <x:c r="F115"/>
      <x:c r="G115" s="84"/>
      <x:c r="H115"/>
      <x:c r="I115"/>
      <x:c r="J115"/>
      <x:c r="K115"/>
      <x:c r="L115"/>
      <x:c r="M115"/>
      <x:c r="N115"/>
      <x:c r="O115">
        <x:f t="shared" si="1"/>
      </x:c>
      <x:c r="P115">
        <x:f t="shared" si="2"/>
      </x:c>
      <x:c r="Q115"/>
      <x:c r="R115"/>
      <x:c r="S115"/>
    </x:row>
    <x:row r="116" ht="15.75" customHeight="1">
      <x:c r="A116">
        <x:f t="shared" si="3"/>
      </x:c>
      <x:c r="B116"/>
      <x:c r="C116" s="62"/>
      <x:c r="D116"/>
      <x:c r="E116"/>
      <x:c r="F116"/>
      <x:c r="G116" s="84"/>
      <x:c r="H116"/>
      <x:c r="I116"/>
      <x:c r="J116"/>
      <x:c r="K116"/>
      <x:c r="L116"/>
      <x:c r="M116"/>
      <x:c r="N116"/>
      <x:c r="O116">
        <x:f t="shared" si="1"/>
      </x:c>
      <x:c r="P116">
        <x:f t="shared" si="2"/>
      </x:c>
      <x:c r="Q116"/>
      <x:c r="R116"/>
      <x:c r="S116"/>
    </x:row>
    <x:row r="117" ht="15.75" customHeight="1">
      <x:c r="A117">
        <x:f t="shared" si="3"/>
      </x:c>
      <x:c r="B117"/>
      <x:c r="C117" s="62"/>
      <x:c r="D117"/>
      <x:c r="E117"/>
      <x:c r="F117"/>
      <x:c r="G117" s="84"/>
      <x:c r="H117"/>
      <x:c r="I117"/>
      <x:c r="J117"/>
      <x:c r="K117"/>
      <x:c r="L117"/>
      <x:c r="M117"/>
      <x:c r="N117"/>
      <x:c r="O117">
        <x:f t="shared" si="1"/>
      </x:c>
      <x:c r="P117">
        <x:f t="shared" si="2"/>
      </x:c>
      <x:c r="Q117"/>
      <x:c r="R117"/>
      <x:c r="S117"/>
    </x:row>
    <x:row r="118" ht="15.75" customHeight="1">
      <x:c r="A118">
        <x:f t="shared" si="3"/>
      </x:c>
      <x:c r="B118"/>
      <x:c r="C118" s="62"/>
      <x:c r="D118"/>
      <x:c r="E118"/>
      <x:c r="F118"/>
      <x:c r="G118" s="84"/>
      <x:c r="H118"/>
      <x:c r="I118"/>
      <x:c r="J118"/>
      <x:c r="K118"/>
      <x:c r="L118"/>
      <x:c r="M118"/>
      <x:c r="N118"/>
      <x:c r="O118">
        <x:f t="shared" si="1"/>
      </x:c>
      <x:c r="P118">
        <x:f t="shared" si="2"/>
      </x:c>
      <x:c r="Q118"/>
      <x:c r="R118"/>
      <x:c r="S118"/>
    </x:row>
    <x:row r="119" ht="15.75" customHeight="1">
      <x:c r="A119">
        <x:f t="shared" si="3"/>
      </x:c>
      <x:c r="B119"/>
      <x:c r="C119" s="62"/>
      <x:c r="D119"/>
      <x:c r="E119"/>
      <x:c r="F119"/>
      <x:c r="G119" s="84"/>
      <x:c r="H119"/>
      <x:c r="I119"/>
      <x:c r="J119"/>
      <x:c r="K119"/>
      <x:c r="L119"/>
      <x:c r="M119"/>
      <x:c r="N119"/>
      <x:c r="O119">
        <x:f t="shared" si="1"/>
      </x:c>
      <x:c r="P119">
        <x:f t="shared" si="2"/>
      </x:c>
      <x:c r="Q119"/>
      <x:c r="R119"/>
      <x:c r="S119"/>
    </x:row>
    <x:row r="120" ht="15.75" customHeight="1">
      <x:c r="A120">
        <x:f t="shared" si="3"/>
      </x:c>
      <x:c r="B120"/>
      <x:c r="C120" s="62"/>
      <x:c r="D120"/>
      <x:c r="E120"/>
      <x:c r="F120"/>
      <x:c r="G120" s="84"/>
      <x:c r="H120"/>
      <x:c r="I120"/>
      <x:c r="J120"/>
      <x:c r="K120"/>
      <x:c r="L120"/>
      <x:c r="M120"/>
      <x:c r="N120"/>
      <x:c r="O120">
        <x:f t="shared" si="1"/>
      </x:c>
      <x:c r="P120">
        <x:f t="shared" si="2"/>
      </x:c>
      <x:c r="Q120"/>
      <x:c r="R120"/>
      <x:c r="S120"/>
    </x:row>
    <x:row r="121" ht="15.75" customHeight="1">
      <x:c r="A121">
        <x:f t="shared" si="3"/>
      </x:c>
      <x:c r="B121"/>
      <x:c r="C121" s="62"/>
      <x:c r="D121"/>
      <x:c r="E121"/>
      <x:c r="F121"/>
      <x:c r="G121" s="84"/>
      <x:c r="H121"/>
      <x:c r="I121"/>
      <x:c r="J121"/>
      <x:c r="K121"/>
      <x:c r="L121"/>
      <x:c r="M121"/>
      <x:c r="N121"/>
      <x:c r="O121">
        <x:f t="shared" si="1"/>
      </x:c>
      <x:c r="P121">
        <x:f t="shared" si="2"/>
      </x:c>
      <x:c r="Q121"/>
      <x:c r="R121"/>
      <x:c r="S121"/>
    </x:row>
    <x:row r="122" ht="15.75" customHeight="1">
      <x:c r="A122">
        <x:f t="shared" si="3"/>
      </x:c>
      <x:c r="B122"/>
      <x:c r="C122" s="62"/>
      <x:c r="D122"/>
      <x:c r="E122"/>
      <x:c r="F122"/>
      <x:c r="G122" s="84"/>
      <x:c r="H122"/>
      <x:c r="I122"/>
      <x:c r="J122"/>
      <x:c r="K122"/>
      <x:c r="L122"/>
      <x:c r="M122"/>
      <x:c r="N122"/>
      <x:c r="O122">
        <x:f t="shared" si="1"/>
      </x:c>
      <x:c r="P122">
        <x:f t="shared" si="2"/>
      </x:c>
      <x:c r="Q122"/>
      <x:c r="R122"/>
      <x:c r="S122"/>
    </x:row>
    <x:row r="123" ht="15.75" customHeight="1">
      <x:c r="A123">
        <x:f t="shared" si="3"/>
      </x:c>
      <x:c r="B123"/>
      <x:c r="C123" s="62"/>
      <x:c r="D123"/>
      <x:c r="E123"/>
      <x:c r="F123"/>
      <x:c r="G123" s="84"/>
      <x:c r="H123"/>
      <x:c r="I123"/>
      <x:c r="J123"/>
      <x:c r="K123"/>
      <x:c r="L123"/>
      <x:c r="M123"/>
      <x:c r="N123"/>
      <x:c r="O123">
        <x:f t="shared" si="1"/>
      </x:c>
      <x:c r="P123">
        <x:f t="shared" si="2"/>
      </x:c>
      <x:c r="Q123"/>
      <x:c r="R123"/>
      <x:c r="S123"/>
    </x:row>
    <x:row r="124" ht="15.75" customHeight="1">
      <x:c r="A124">
        <x:f t="shared" si="3"/>
      </x:c>
      <x:c r="B124"/>
      <x:c r="C124" s="62"/>
      <x:c r="D124"/>
      <x:c r="E124"/>
      <x:c r="F124"/>
      <x:c r="G124" s="84"/>
      <x:c r="H124"/>
      <x:c r="I124"/>
      <x:c r="J124"/>
      <x:c r="K124"/>
      <x:c r="L124"/>
      <x:c r="M124"/>
      <x:c r="N124"/>
      <x:c r="O124">
        <x:f t="shared" si="1"/>
      </x:c>
      <x:c r="P124">
        <x:f t="shared" si="2"/>
      </x:c>
      <x:c r="Q124"/>
      <x:c r="R124"/>
      <x:c r="S124"/>
    </x:row>
    <x:row r="125" ht="15.75" customHeight="1">
      <x:c r="A125">
        <x:f t="shared" si="3"/>
      </x:c>
      <x:c r="B125"/>
      <x:c r="C125" s="62"/>
      <x:c r="D125"/>
      <x:c r="E125"/>
      <x:c r="F125"/>
      <x:c r="G125" s="84"/>
      <x:c r="H125"/>
      <x:c r="I125"/>
      <x:c r="J125"/>
      <x:c r="K125"/>
      <x:c r="L125"/>
      <x:c r="M125"/>
      <x:c r="N125"/>
      <x:c r="O125">
        <x:f t="shared" si="1"/>
      </x:c>
      <x:c r="P125">
        <x:f t="shared" si="2"/>
      </x:c>
      <x:c r="Q125"/>
      <x:c r="R125"/>
      <x:c r="S125"/>
    </x:row>
    <x:row r="126" ht="15.75" customHeight="1">
      <x:c r="A126">
        <x:f t="shared" si="3"/>
      </x:c>
      <x:c r="B126"/>
      <x:c r="C126" s="62"/>
      <x:c r="D126"/>
      <x:c r="E126"/>
      <x:c r="F126"/>
      <x:c r="G126" s="84"/>
      <x:c r="H126"/>
      <x:c r="I126"/>
      <x:c r="J126"/>
      <x:c r="K126"/>
      <x:c r="L126"/>
      <x:c r="M126"/>
      <x:c r="N126"/>
      <x:c r="O126">
        <x:f t="shared" si="1"/>
      </x:c>
      <x:c r="P126">
        <x:f t="shared" si="2"/>
      </x:c>
      <x:c r="Q126"/>
      <x:c r="R126"/>
      <x:c r="S126"/>
    </x:row>
    <x:row r="127" ht="15.75" customHeight="1">
      <x:c r="A127">
        <x:f t="shared" si="3"/>
      </x:c>
      <x:c r="B127"/>
      <x:c r="C127" s="62"/>
      <x:c r="D127"/>
      <x:c r="E127"/>
      <x:c r="F127"/>
      <x:c r="G127" s="84"/>
      <x:c r="H127"/>
      <x:c r="I127"/>
      <x:c r="J127"/>
      <x:c r="K127"/>
      <x:c r="L127"/>
      <x:c r="M127"/>
      <x:c r="N127"/>
      <x:c r="O127">
        <x:f t="shared" si="1"/>
      </x:c>
      <x:c r="P127">
        <x:f t="shared" si="2"/>
      </x:c>
      <x:c r="Q127"/>
      <x:c r="R127"/>
      <x:c r="S127"/>
    </x:row>
    <x:row r="128" ht="15.75" customHeight="1">
      <x:c r="A128">
        <x:f t="shared" si="3"/>
      </x:c>
      <x:c r="B128"/>
      <x:c r="C128" s="62"/>
      <x:c r="D128"/>
      <x:c r="E128"/>
      <x:c r="F128"/>
      <x:c r="G128" s="84"/>
      <x:c r="H128"/>
      <x:c r="I128"/>
      <x:c r="J128"/>
      <x:c r="K128"/>
      <x:c r="L128"/>
      <x:c r="M128"/>
      <x:c r="N128"/>
      <x:c r="O128">
        <x:f t="shared" si="1"/>
      </x:c>
      <x:c r="P128">
        <x:f t="shared" si="2"/>
      </x:c>
      <x:c r="Q128"/>
      <x:c r="R128"/>
      <x:c r="S128"/>
    </x:row>
    <x:row r="129" ht="15.75" customHeight="1">
      <x:c r="A129">
        <x:f t="shared" si="3"/>
      </x:c>
      <x:c r="B129"/>
      <x:c r="C129" s="62"/>
      <x:c r="D129"/>
      <x:c r="E129"/>
      <x:c r="F129"/>
      <x:c r="G129" s="84"/>
      <x:c r="H129"/>
      <x:c r="I129"/>
      <x:c r="J129"/>
      <x:c r="K129"/>
      <x:c r="L129"/>
      <x:c r="M129"/>
      <x:c r="N129"/>
      <x:c r="O129">
        <x:f t="shared" si="1"/>
      </x:c>
      <x:c r="P129">
        <x:f t="shared" si="2"/>
      </x:c>
      <x:c r="Q129"/>
      <x:c r="R129"/>
      <x:c r="S129"/>
    </x:row>
    <x:row r="130" ht="15.75" customHeight="1">
      <x:c r="A130">
        <x:f t="shared" si="3"/>
      </x:c>
      <x:c r="B130"/>
      <x:c r="C130" s="62"/>
      <x:c r="D130"/>
      <x:c r="E130"/>
      <x:c r="F130"/>
      <x:c r="G130" s="84"/>
      <x:c r="H130"/>
      <x:c r="I130"/>
      <x:c r="J130"/>
      <x:c r="K130"/>
      <x:c r="L130"/>
      <x:c r="M130"/>
      <x:c r="N130"/>
      <x:c r="O130">
        <x:f t="shared" si="1"/>
      </x:c>
      <x:c r="P130">
        <x:f t="shared" si="2"/>
      </x:c>
      <x:c r="Q130"/>
      <x:c r="R130"/>
      <x:c r="S130"/>
    </x:row>
    <x:row r="131" ht="15.75" customHeight="1">
      <x:c r="A131">
        <x:f t="shared" si="3"/>
      </x:c>
      <x:c r="B131"/>
      <x:c r="C131" s="62"/>
      <x:c r="D131"/>
      <x:c r="E131"/>
      <x:c r="F131"/>
      <x:c r="G131" s="84"/>
      <x:c r="H131"/>
      <x:c r="I131"/>
      <x:c r="J131"/>
      <x:c r="K131"/>
      <x:c r="L131"/>
      <x:c r="M131"/>
      <x:c r="N131"/>
      <x:c r="O131">
        <x:f t="shared" si="1"/>
      </x:c>
      <x:c r="P131">
        <x:f t="shared" si="2"/>
      </x:c>
      <x:c r="Q131"/>
      <x:c r="R131"/>
      <x:c r="S131"/>
    </x:row>
    <x:row r="132" ht="15.75" customHeight="1">
      <x:c r="A132">
        <x:f t="shared" si="3"/>
      </x:c>
      <x:c r="B132"/>
      <x:c r="C132" s="62"/>
      <x:c r="D132"/>
      <x:c r="E132"/>
      <x:c r="F132"/>
      <x:c r="G132" s="84"/>
      <x:c r="H132"/>
      <x:c r="I132"/>
      <x:c r="J132"/>
      <x:c r="K132"/>
      <x:c r="L132"/>
      <x:c r="M132"/>
      <x:c r="N132"/>
      <x:c r="O132">
        <x:f t="shared" si="1"/>
      </x:c>
      <x:c r="P132">
        <x:f t="shared" si="2"/>
      </x:c>
      <x:c r="Q132"/>
      <x:c r="R132"/>
      <x:c r="S132"/>
    </x:row>
    <x:row r="133" ht="15.75" customHeight="1">
      <x:c r="A133">
        <x:f t="shared" si="3"/>
      </x:c>
      <x:c r="B133"/>
      <x:c r="C133" s="62"/>
      <x:c r="D133"/>
      <x:c r="E133"/>
      <x:c r="F133"/>
      <x:c r="G133" s="84"/>
      <x:c r="H133"/>
      <x:c r="I133"/>
      <x:c r="J133"/>
      <x:c r="K133"/>
      <x:c r="L133"/>
      <x:c r="M133"/>
      <x:c r="N133"/>
      <x:c r="O133">
        <x:f t="shared" si="1"/>
      </x:c>
      <x:c r="P133">
        <x:f t="shared" si="2"/>
      </x:c>
      <x:c r="Q133"/>
      <x:c r="R133"/>
      <x:c r="S133"/>
    </x:row>
    <x:row r="134" ht="15.75" customHeight="1">
      <x:c r="A134">
        <x:f t="shared" si="3"/>
      </x:c>
      <x:c r="B134"/>
      <x:c r="C134" s="62"/>
      <x:c r="D134"/>
      <x:c r="E134"/>
      <x:c r="F134"/>
      <x:c r="G134" s="84"/>
      <x:c r="H134"/>
      <x:c r="I134"/>
      <x:c r="J134"/>
      <x:c r="K134"/>
      <x:c r="L134"/>
      <x:c r="M134"/>
      <x:c r="N134"/>
      <x:c r="O134">
        <x:f t="shared" si="1"/>
      </x:c>
      <x:c r="P134">
        <x:f t="shared" si="2"/>
      </x:c>
      <x:c r="Q134"/>
      <x:c r="R134"/>
      <x:c r="S134"/>
    </x:row>
    <x:row r="135" ht="15.75" customHeight="1">
      <x:c r="A135">
        <x:f t="shared" si="3"/>
      </x:c>
      <x:c r="B135"/>
      <x:c r="C135" s="62"/>
      <x:c r="D135"/>
      <x:c r="E135"/>
      <x:c r="F135"/>
      <x:c r="G135" s="84"/>
      <x:c r="H135"/>
      <x:c r="I135"/>
      <x:c r="J135"/>
      <x:c r="K135"/>
      <x:c r="L135"/>
      <x:c r="M135"/>
      <x:c r="N135"/>
      <x:c r="O135">
        <x:f t="shared" si="1"/>
      </x:c>
      <x:c r="P135">
        <x:f t="shared" si="2"/>
      </x:c>
      <x:c r="Q135"/>
      <x:c r="R135"/>
      <x:c r="S135"/>
    </x:row>
    <x:row r="136" ht="15.75" customHeight="1">
      <x:c r="A136">
        <x:f t="shared" si="3"/>
      </x:c>
      <x:c r="B136"/>
      <x:c r="C136" s="62"/>
      <x:c r="D136"/>
      <x:c r="E136"/>
      <x:c r="F136"/>
      <x:c r="G136" s="84"/>
      <x:c r="H136"/>
      <x:c r="I136"/>
      <x:c r="J136"/>
      <x:c r="K136"/>
      <x:c r="L136"/>
      <x:c r="M136"/>
      <x:c r="N136"/>
      <x:c r="O136">
        <x:f t="shared" si="1"/>
      </x:c>
      <x:c r="P136">
        <x:f t="shared" si="2"/>
      </x:c>
      <x:c r="Q136"/>
      <x:c r="R136"/>
      <x:c r="S136"/>
    </x:row>
    <x:row r="137" ht="15.75" customHeight="1">
      <x:c r="A137">
        <x:f t="shared" si="3"/>
      </x:c>
      <x:c r="B137"/>
      <x:c r="C137" s="62"/>
      <x:c r="D137"/>
      <x:c r="E137"/>
      <x:c r="F137"/>
      <x:c r="G137" s="84"/>
      <x:c r="H137"/>
      <x:c r="I137"/>
      <x:c r="J137"/>
      <x:c r="K137"/>
      <x:c r="L137"/>
      <x:c r="M137"/>
      <x:c r="N137"/>
      <x:c r="O137">
        <x:f t="shared" si="1"/>
      </x:c>
      <x:c r="P137">
        <x:f t="shared" si="2"/>
      </x:c>
      <x:c r="Q137"/>
      <x:c r="R137"/>
      <x:c r="S137"/>
    </x:row>
    <x:row r="138" ht="15.75" customHeight="1">
      <x:c r="A138">
        <x:f t="shared" si="3"/>
      </x:c>
      <x:c r="B138"/>
      <x:c r="C138" s="62"/>
      <x:c r="D138"/>
      <x:c r="E138"/>
      <x:c r="F138"/>
      <x:c r="G138" s="84"/>
      <x:c r="H138"/>
      <x:c r="I138"/>
      <x:c r="J138"/>
      <x:c r="K138"/>
      <x:c r="L138"/>
      <x:c r="M138"/>
      <x:c r="N138"/>
      <x:c r="O138">
        <x:f t="shared" si="1"/>
      </x:c>
      <x:c r="P138">
        <x:f t="shared" si="2"/>
      </x:c>
      <x:c r="Q138"/>
      <x:c r="R138"/>
      <x:c r="S138"/>
    </x:row>
    <x:row r="139" ht="15.75" customHeight="1">
      <x:c r="A139">
        <x:f t="shared" si="3"/>
      </x:c>
      <x:c r="B139"/>
      <x:c r="C139" s="62"/>
      <x:c r="D139"/>
      <x:c r="E139"/>
      <x:c r="F139"/>
      <x:c r="G139" s="84"/>
      <x:c r="H139"/>
      <x:c r="I139"/>
      <x:c r="J139"/>
      <x:c r="K139"/>
      <x:c r="L139"/>
      <x:c r="M139"/>
      <x:c r="N139"/>
      <x:c r="O139">
        <x:f t="shared" si="1"/>
      </x:c>
      <x:c r="P139">
        <x:f t="shared" si="2"/>
      </x:c>
      <x:c r="Q139"/>
      <x:c r="R139"/>
      <x:c r="S139"/>
    </x:row>
    <x:row r="140" ht="15.75" customHeight="1">
      <x:c r="A140">
        <x:f t="shared" si="3"/>
      </x:c>
      <x:c r="B140"/>
      <x:c r="C140" s="62"/>
      <x:c r="D140"/>
      <x:c r="E140"/>
      <x:c r="F140"/>
      <x:c r="G140" s="84"/>
      <x:c r="H140"/>
      <x:c r="I140"/>
      <x:c r="J140"/>
      <x:c r="K140"/>
      <x:c r="L140"/>
      <x:c r="M140"/>
      <x:c r="N140"/>
      <x:c r="O140">
        <x:f t="shared" si="1"/>
      </x:c>
      <x:c r="P140">
        <x:f t="shared" si="2"/>
      </x:c>
      <x:c r="Q140"/>
      <x:c r="R140"/>
      <x:c r="S140"/>
    </x:row>
    <x:row r="141" ht="15.75" customHeight="1">
      <x:c r="A141">
        <x:f t="shared" si="3"/>
      </x:c>
      <x:c r="B141"/>
      <x:c r="C141" s="62"/>
      <x:c r="D141"/>
      <x:c r="E141"/>
      <x:c r="F141"/>
      <x:c r="G141" s="84"/>
      <x:c r="H141"/>
      <x:c r="I141"/>
      <x:c r="J141"/>
      <x:c r="K141"/>
      <x:c r="L141"/>
      <x:c r="M141"/>
      <x:c r="N141"/>
      <x:c r="O141">
        <x:f t="shared" si="1"/>
      </x:c>
      <x:c r="P141">
        <x:f t="shared" si="2"/>
      </x:c>
      <x:c r="Q141"/>
      <x:c r="R141"/>
      <x:c r="S141"/>
    </x:row>
    <x:row r="142" ht="15.75" customHeight="1">
      <x:c r="A142">
        <x:f t="shared" si="3"/>
      </x:c>
      <x:c r="B142"/>
      <x:c r="C142" s="62"/>
      <x:c r="D142"/>
      <x:c r="E142"/>
      <x:c r="F142"/>
      <x:c r="G142" s="84"/>
      <x:c r="H142"/>
      <x:c r="I142"/>
      <x:c r="J142"/>
      <x:c r="K142"/>
      <x:c r="L142"/>
      <x:c r="M142"/>
      <x:c r="N142"/>
      <x:c r="O142">
        <x:f t="shared" si="1"/>
      </x:c>
      <x:c r="P142">
        <x:f t="shared" si="2"/>
      </x:c>
      <x:c r="Q142"/>
      <x:c r="R142"/>
      <x:c r="S142"/>
    </x:row>
    <x:row r="143" ht="15.75" customHeight="1">
      <x:c r="A143">
        <x:f t="shared" si="3"/>
      </x:c>
      <x:c r="B143"/>
      <x:c r="C143" s="62"/>
      <x:c r="D143"/>
      <x:c r="E143"/>
      <x:c r="F143"/>
      <x:c r="G143" s="84"/>
      <x:c r="H143"/>
      <x:c r="I143"/>
      <x:c r="J143"/>
      <x:c r="K143"/>
      <x:c r="L143"/>
      <x:c r="M143"/>
      <x:c r="N143"/>
      <x:c r="O143">
        <x:f t="shared" si="1"/>
      </x:c>
      <x:c r="P143">
        <x:f t="shared" si="2"/>
      </x:c>
      <x:c r="Q143"/>
      <x:c r="R143"/>
      <x:c r="S143"/>
    </x:row>
    <x:row r="144" ht="15.75" customHeight="1">
      <x:c r="A144">
        <x:f t="shared" si="3"/>
      </x:c>
      <x:c r="B144"/>
      <x:c r="C144" s="62"/>
      <x:c r="D144"/>
      <x:c r="E144"/>
      <x:c r="F144"/>
      <x:c r="G144" s="84"/>
      <x:c r="H144"/>
      <x:c r="I144"/>
      <x:c r="J144"/>
      <x:c r="K144"/>
      <x:c r="L144"/>
      <x:c r="M144"/>
      <x:c r="N144"/>
      <x:c r="O144">
        <x:f t="shared" si="1"/>
      </x:c>
      <x:c r="P144">
        <x:f t="shared" si="2"/>
      </x:c>
      <x:c r="Q144"/>
      <x:c r="R144"/>
      <x:c r="S144"/>
    </x:row>
    <x:row r="145" ht="15.75" customHeight="1">
      <x:c r="A145">
        <x:f t="shared" si="3"/>
      </x:c>
      <x:c r="B145"/>
      <x:c r="C145" s="62"/>
      <x:c r="D145"/>
      <x:c r="E145"/>
      <x:c r="F145"/>
      <x:c r="G145" s="84"/>
      <x:c r="H145"/>
      <x:c r="I145"/>
      <x:c r="J145"/>
      <x:c r="K145"/>
      <x:c r="L145"/>
      <x:c r="M145"/>
      <x:c r="N145"/>
      <x:c r="O145">
        <x:f t="shared" si="1"/>
      </x:c>
      <x:c r="P145">
        <x:f t="shared" si="2"/>
      </x:c>
      <x:c r="Q145"/>
      <x:c r="R145"/>
      <x:c r="S145"/>
    </x:row>
    <x:row r="146" ht="15.75" customHeight="1">
      <x:c r="A146">
        <x:f t="shared" si="3"/>
      </x:c>
      <x:c r="B146"/>
      <x:c r="C146" s="62"/>
      <x:c r="D146"/>
      <x:c r="E146"/>
      <x:c r="F146"/>
      <x:c r="G146" s="84"/>
      <x:c r="H146"/>
      <x:c r="I146"/>
      <x:c r="J146"/>
      <x:c r="K146"/>
      <x:c r="L146"/>
      <x:c r="M146"/>
      <x:c r="N146"/>
      <x:c r="O146">
        <x:f t="shared" si="1"/>
      </x:c>
      <x:c r="P146">
        <x:f t="shared" si="2"/>
      </x:c>
      <x:c r="Q146"/>
      <x:c r="R146"/>
      <x:c r="S146"/>
    </x:row>
    <x:row r="147" ht="15.75" customHeight="1">
      <x:c r="A147">
        <x:f t="shared" si="3"/>
      </x:c>
      <x:c r="B147"/>
      <x:c r="C147" s="62"/>
      <x:c r="D147"/>
      <x:c r="E147"/>
      <x:c r="F147"/>
      <x:c r="G147" s="84"/>
      <x:c r="H147"/>
      <x:c r="I147"/>
      <x:c r="J147"/>
      <x:c r="K147"/>
      <x:c r="L147"/>
      <x:c r="M147"/>
      <x:c r="N147"/>
      <x:c r="O147">
        <x:f t="shared" si="1"/>
      </x:c>
      <x:c r="P147">
        <x:f t="shared" si="2"/>
      </x:c>
      <x:c r="Q147"/>
      <x:c r="R147"/>
      <x:c r="S147"/>
    </x:row>
    <x:row r="148" ht="15.75" customHeight="1">
      <x:c r="A148">
        <x:f t="shared" si="3"/>
      </x:c>
      <x:c r="B148"/>
      <x:c r="C148" s="62"/>
      <x:c r="D148"/>
      <x:c r="E148"/>
      <x:c r="F148"/>
      <x:c r="G148" s="84"/>
      <x:c r="H148"/>
      <x:c r="I148"/>
      <x:c r="J148"/>
      <x:c r="K148"/>
      <x:c r="L148"/>
      <x:c r="M148"/>
      <x:c r="N148"/>
      <x:c r="O148">
        <x:f t="shared" si="1"/>
      </x:c>
      <x:c r="P148">
        <x:f t="shared" si="2"/>
      </x:c>
      <x:c r="Q148"/>
      <x:c r="R148"/>
      <x:c r="S148"/>
    </x:row>
    <x:row r="149" ht="15.75" customHeight="1">
      <x:c r="A149">
        <x:f t="shared" si="3"/>
      </x:c>
      <x:c r="B149"/>
      <x:c r="C149" s="62"/>
      <x:c r="D149"/>
      <x:c r="E149"/>
      <x:c r="F149"/>
      <x:c r="G149" s="84"/>
      <x:c r="H149"/>
      <x:c r="I149"/>
      <x:c r="J149"/>
      <x:c r="K149"/>
      <x:c r="L149"/>
      <x:c r="M149"/>
      <x:c r="N149"/>
      <x:c r="O149">
        <x:f t="shared" si="1"/>
      </x:c>
      <x:c r="P149">
        <x:f t="shared" si="2"/>
      </x:c>
      <x:c r="Q149"/>
      <x:c r="R149"/>
      <x:c r="S149"/>
    </x:row>
    <x:row r="150" ht="15.75" customHeight="1">
      <x:c r="A150">
        <x:f t="shared" si="3"/>
      </x:c>
      <x:c r="B150"/>
      <x:c r="C150" s="62"/>
      <x:c r="D150"/>
      <x:c r="E150"/>
      <x:c r="F150"/>
      <x:c r="G150" s="84"/>
      <x:c r="H150"/>
      <x:c r="I150"/>
      <x:c r="J150"/>
      <x:c r="K150"/>
      <x:c r="L150"/>
      <x:c r="M150"/>
      <x:c r="N150"/>
      <x:c r="O150">
        <x:f t="shared" si="1"/>
      </x:c>
      <x:c r="P150">
        <x:f t="shared" si="2"/>
      </x:c>
      <x:c r="Q150"/>
      <x:c r="R150"/>
      <x:c r="S150"/>
    </x:row>
    <x:row r="151" ht="15.75" customHeight="1">
      <x:c r="A151">
        <x:f t="shared" si="3"/>
      </x:c>
      <x:c r="B151"/>
      <x:c r="C151" s="62"/>
      <x:c r="D151"/>
      <x:c r="E151"/>
      <x:c r="F151"/>
      <x:c r="G151" s="84"/>
      <x:c r="H151"/>
      <x:c r="I151"/>
      <x:c r="J151"/>
      <x:c r="K151"/>
      <x:c r="L151"/>
      <x:c r="M151"/>
      <x:c r="N151"/>
      <x:c r="O151">
        <x:f t="shared" si="1"/>
      </x:c>
      <x:c r="P151">
        <x:f t="shared" si="2"/>
      </x:c>
      <x:c r="Q151"/>
      <x:c r="R151"/>
      <x:c r="S151"/>
    </x:row>
    <x:row r="152" ht="15.75" customHeight="1">
      <x:c r="A152">
        <x:f t="shared" si="3"/>
      </x:c>
      <x:c r="B152"/>
      <x:c r="C152" s="62"/>
      <x:c r="D152"/>
      <x:c r="E152"/>
      <x:c r="F152"/>
      <x:c r="G152" s="84"/>
      <x:c r="H152"/>
      <x:c r="I152"/>
      <x:c r="J152"/>
      <x:c r="K152"/>
      <x:c r="L152"/>
      <x:c r="M152"/>
      <x:c r="N152"/>
      <x:c r="O152">
        <x:f t="shared" si="1"/>
      </x:c>
      <x:c r="P152">
        <x:f t="shared" si="2"/>
      </x:c>
      <x:c r="Q152"/>
      <x:c r="R152"/>
      <x:c r="S152"/>
    </x:row>
    <x:row r="153" ht="15.75" customHeight="1">
      <x:c r="A153">
        <x:f t="shared" si="3"/>
      </x:c>
      <x:c r="B153"/>
      <x:c r="C153" s="62"/>
      <x:c r="D153"/>
      <x:c r="E153"/>
      <x:c r="F153"/>
      <x:c r="G153" s="84"/>
      <x:c r="H153"/>
      <x:c r="I153"/>
      <x:c r="J153"/>
      <x:c r="K153"/>
      <x:c r="L153"/>
      <x:c r="M153"/>
      <x:c r="N153"/>
      <x:c r="O153">
        <x:f t="shared" si="1"/>
      </x:c>
      <x:c r="P153">
        <x:f t="shared" si="2"/>
      </x:c>
      <x:c r="Q153"/>
      <x:c r="R153"/>
      <x:c r="S153"/>
    </x:row>
    <x:row r="154" ht="15.75" customHeight="1">
      <x:c r="A154">
        <x:f t="shared" si="3"/>
      </x:c>
      <x:c r="B154"/>
      <x:c r="C154" s="62"/>
      <x:c r="D154"/>
      <x:c r="E154"/>
      <x:c r="F154"/>
      <x:c r="G154" s="84"/>
      <x:c r="H154"/>
      <x:c r="I154"/>
      <x:c r="J154"/>
      <x:c r="K154"/>
      <x:c r="L154"/>
      <x:c r="M154"/>
      <x:c r="N154"/>
      <x:c r="O154">
        <x:f t="shared" si="1"/>
      </x:c>
      <x:c r="P154">
        <x:f t="shared" si="2"/>
      </x:c>
      <x:c r="Q154"/>
      <x:c r="R154"/>
      <x:c r="S154"/>
    </x:row>
    <x:row r="155" ht="15.75" customHeight="1">
      <x:c r="A155">
        <x:f t="shared" si="3"/>
      </x:c>
      <x:c r="B155"/>
      <x:c r="C155" s="62"/>
      <x:c r="D155"/>
      <x:c r="E155"/>
      <x:c r="F155"/>
      <x:c r="G155" s="84"/>
      <x:c r="H155"/>
      <x:c r="I155"/>
      <x:c r="J155"/>
      <x:c r="K155"/>
      <x:c r="L155"/>
      <x:c r="M155"/>
      <x:c r="N155"/>
      <x:c r="O155">
        <x:f t="shared" si="1"/>
      </x:c>
      <x:c r="P155">
        <x:f t="shared" si="2"/>
      </x:c>
      <x:c r="Q155"/>
      <x:c r="R155"/>
      <x:c r="S155"/>
    </x:row>
    <x:row r="156" ht="15.75" customHeight="1">
      <x:c r="A156">
        <x:f t="shared" si="3"/>
      </x:c>
      <x:c r="B156"/>
      <x:c r="C156" s="62"/>
      <x:c r="D156"/>
      <x:c r="E156"/>
      <x:c r="F156"/>
      <x:c r="G156" s="84"/>
      <x:c r="H156"/>
      <x:c r="I156"/>
      <x:c r="J156"/>
      <x:c r="K156"/>
      <x:c r="L156"/>
      <x:c r="M156"/>
      <x:c r="N156"/>
      <x:c r="O156">
        <x:f t="shared" si="1"/>
      </x:c>
      <x:c r="P156">
        <x:f t="shared" si="2"/>
      </x:c>
      <x:c r="Q156"/>
      <x:c r="R156"/>
      <x:c r="S156"/>
    </x:row>
    <x:row r="157" ht="15.75" customHeight="1">
      <x:c r="A157">
        <x:f t="shared" si="3"/>
      </x:c>
      <x:c r="B157"/>
      <x:c r="C157" s="62"/>
      <x:c r="D157"/>
      <x:c r="E157"/>
      <x:c r="F157"/>
      <x:c r="G157" s="84"/>
      <x:c r="H157"/>
      <x:c r="I157"/>
      <x:c r="J157"/>
      <x:c r="K157"/>
      <x:c r="L157"/>
      <x:c r="M157"/>
      <x:c r="N157"/>
      <x:c r="O157">
        <x:f t="shared" si="1"/>
      </x:c>
      <x:c r="P157">
        <x:f t="shared" si="2"/>
      </x:c>
      <x:c r="Q157"/>
      <x:c r="R157"/>
      <x:c r="S157"/>
    </x:row>
    <x:row r="158" ht="15.75" customHeight="1">
      <x:c r="A158">
        <x:f t="shared" si="3"/>
      </x:c>
      <x:c r="B158"/>
      <x:c r="C158" s="62"/>
      <x:c r="D158"/>
      <x:c r="E158"/>
      <x:c r="F158"/>
      <x:c r="G158" s="84"/>
      <x:c r="H158"/>
      <x:c r="I158"/>
      <x:c r="J158"/>
      <x:c r="K158"/>
      <x:c r="L158"/>
      <x:c r="M158"/>
      <x:c r="N158"/>
      <x:c r="O158">
        <x:f t="shared" si="1"/>
      </x:c>
      <x:c r="P158">
        <x:f t="shared" si="2"/>
      </x:c>
      <x:c r="Q158"/>
      <x:c r="R158"/>
      <x:c r="S158"/>
    </x:row>
    <x:row r="159" ht="15.75" customHeight="1">
      <x:c r="A159">
        <x:f t="shared" si="3"/>
      </x:c>
      <x:c r="B159"/>
      <x:c r="C159" s="62"/>
      <x:c r="D159"/>
      <x:c r="E159"/>
      <x:c r="F159"/>
      <x:c r="G159" s="84"/>
      <x:c r="H159"/>
      <x:c r="I159"/>
      <x:c r="J159"/>
      <x:c r="K159"/>
      <x:c r="L159"/>
      <x:c r="M159"/>
      <x:c r="N159"/>
      <x:c r="O159">
        <x:f t="shared" si="1"/>
      </x:c>
      <x:c r="P159">
        <x:f t="shared" si="2"/>
      </x:c>
      <x:c r="Q159"/>
      <x:c r="R159"/>
      <x:c r="S159"/>
    </x:row>
    <x:row r="160" ht="15.75" customHeight="1">
      <x:c r="A160">
        <x:f t="shared" si="3"/>
      </x:c>
      <x:c r="B160"/>
      <x:c r="C160" s="62"/>
      <x:c r="D160"/>
      <x:c r="E160"/>
      <x:c r="F160"/>
      <x:c r="G160" s="84"/>
      <x:c r="H160"/>
      <x:c r="I160"/>
      <x:c r="J160"/>
      <x:c r="K160"/>
      <x:c r="L160"/>
      <x:c r="M160"/>
      <x:c r="N160"/>
      <x:c r="O160">
        <x:f t="shared" si="1"/>
      </x:c>
      <x:c r="P160">
        <x:f t="shared" si="2"/>
      </x:c>
      <x:c r="Q160"/>
      <x:c r="R160"/>
      <x:c r="S160"/>
    </x:row>
    <x:row r="161" ht="15.75" customHeight="1">
      <x:c r="A161">
        <x:f t="shared" si="3"/>
      </x:c>
      <x:c r="B161"/>
      <x:c r="C161" s="62"/>
      <x:c r="D161"/>
      <x:c r="E161"/>
      <x:c r="F161"/>
      <x:c r="G161" s="84"/>
      <x:c r="H161"/>
      <x:c r="I161"/>
      <x:c r="J161"/>
      <x:c r="K161"/>
      <x:c r="L161"/>
      <x:c r="M161"/>
      <x:c r="N161"/>
      <x:c r="O161">
        <x:f t="shared" si="1"/>
      </x:c>
      <x:c r="P161">
        <x:f t="shared" si="2"/>
      </x:c>
      <x:c r="Q161"/>
      <x:c r="R161"/>
      <x:c r="S161"/>
    </x:row>
    <x:row r="162" ht="15.75" customHeight="1">
      <x:c r="A162">
        <x:f t="shared" si="3"/>
      </x:c>
      <x:c r="B162"/>
      <x:c r="C162" s="62"/>
      <x:c r="D162"/>
      <x:c r="E162"/>
      <x:c r="F162"/>
      <x:c r="G162" s="84"/>
      <x:c r="H162"/>
      <x:c r="I162"/>
      <x:c r="J162"/>
      <x:c r="K162"/>
      <x:c r="L162"/>
      <x:c r="M162"/>
      <x:c r="N162"/>
      <x:c r="O162">
        <x:f t="shared" si="1"/>
      </x:c>
      <x:c r="P162">
        <x:f t="shared" si="2"/>
      </x:c>
      <x:c r="Q162"/>
      <x:c r="R162"/>
      <x:c r="S162"/>
    </x:row>
    <x:row r="163" ht="15.75" customHeight="1">
      <x:c r="A163">
        <x:f t="shared" si="3"/>
      </x:c>
      <x:c r="B163"/>
      <x:c r="C163" s="62"/>
      <x:c r="D163"/>
      <x:c r="E163"/>
      <x:c r="F163"/>
      <x:c r="G163" s="84"/>
      <x:c r="H163"/>
      <x:c r="I163"/>
      <x:c r="J163"/>
      <x:c r="K163"/>
      <x:c r="L163"/>
      <x:c r="M163"/>
      <x:c r="N163"/>
      <x:c r="O163">
        <x:f t="shared" si="1"/>
      </x:c>
      <x:c r="P163">
        <x:f t="shared" si="2"/>
      </x:c>
      <x:c r="Q163"/>
      <x:c r="R163"/>
      <x:c r="S163"/>
    </x:row>
    <x:row r="164" ht="15.75" customHeight="1">
      <x:c r="A164">
        <x:f t="shared" si="3"/>
      </x:c>
      <x:c r="B164"/>
      <x:c r="C164" s="62"/>
      <x:c r="D164"/>
      <x:c r="E164"/>
      <x:c r="F164"/>
      <x:c r="G164" s="84"/>
      <x:c r="H164"/>
      <x:c r="I164"/>
      <x:c r="J164"/>
      <x:c r="K164"/>
      <x:c r="L164"/>
      <x:c r="M164"/>
      <x:c r="N164"/>
      <x:c r="O164">
        <x:f t="shared" si="1"/>
      </x:c>
      <x:c r="P164">
        <x:f t="shared" si="2"/>
      </x:c>
      <x:c r="Q164"/>
      <x:c r="R164"/>
      <x:c r="S164"/>
    </x:row>
    <x:row r="165" ht="15.75" customHeight="1">
      <x:c r="A165">
        <x:f t="shared" si="3"/>
      </x:c>
      <x:c r="B165"/>
      <x:c r="C165" s="62"/>
      <x:c r="D165"/>
      <x:c r="E165"/>
      <x:c r="F165"/>
      <x:c r="G165" s="84"/>
      <x:c r="H165"/>
      <x:c r="I165"/>
      <x:c r="J165"/>
      <x:c r="K165"/>
      <x:c r="L165"/>
      <x:c r="M165"/>
      <x:c r="N165"/>
      <x:c r="O165">
        <x:f t="shared" si="1"/>
      </x:c>
      <x:c r="P165">
        <x:f t="shared" si="2"/>
      </x:c>
      <x:c r="Q165"/>
      <x:c r="R165"/>
      <x:c r="S165"/>
    </x:row>
    <x:row r="166" ht="15.75" customHeight="1">
      <x:c r="A166">
        <x:f t="shared" si="3"/>
      </x:c>
      <x:c r="B166"/>
      <x:c r="C166" s="62"/>
      <x:c r="D166"/>
      <x:c r="E166"/>
      <x:c r="F166"/>
      <x:c r="G166" s="84"/>
      <x:c r="H166"/>
      <x:c r="I166"/>
      <x:c r="J166"/>
      <x:c r="K166"/>
      <x:c r="L166"/>
      <x:c r="M166"/>
      <x:c r="N166"/>
      <x:c r="O166">
        <x:f t="shared" si="1"/>
      </x:c>
      <x:c r="P166">
        <x:f t="shared" si="2"/>
      </x:c>
      <x:c r="Q166"/>
      <x:c r="R166"/>
      <x:c r="S166"/>
    </x:row>
    <x:row r="167" ht="15.75" customHeight="1">
      <x:c r="A167">
        <x:f t="shared" si="3"/>
      </x:c>
      <x:c r="B167"/>
      <x:c r="C167" s="62"/>
      <x:c r="D167"/>
      <x:c r="E167"/>
      <x:c r="F167"/>
      <x:c r="G167" s="84"/>
      <x:c r="H167"/>
      <x:c r="I167"/>
      <x:c r="J167"/>
      <x:c r="K167"/>
      <x:c r="L167"/>
      <x:c r="M167"/>
      <x:c r="N167"/>
      <x:c r="O167">
        <x:f t="shared" si="1"/>
      </x:c>
      <x:c r="P167">
        <x:f t="shared" si="2"/>
      </x:c>
      <x:c r="Q167"/>
      <x:c r="R167"/>
      <x:c r="S167"/>
    </x:row>
    <x:row r="168" ht="15.75" customHeight="1">
      <x:c r="A168">
        <x:f t="shared" si="3"/>
      </x:c>
      <x:c r="B168"/>
      <x:c r="C168" s="62"/>
      <x:c r="D168"/>
      <x:c r="E168"/>
      <x:c r="F168"/>
      <x:c r="G168" s="84"/>
      <x:c r="H168"/>
      <x:c r="I168"/>
      <x:c r="J168"/>
      <x:c r="K168"/>
      <x:c r="L168"/>
      <x:c r="M168"/>
      <x:c r="N168"/>
      <x:c r="O168">
        <x:f t="shared" si="1"/>
      </x:c>
      <x:c r="P168">
        <x:f t="shared" si="2"/>
      </x:c>
      <x:c r="Q168"/>
      <x:c r="R168"/>
      <x:c r="S168"/>
    </x:row>
    <x:row r="169" ht="15.75" customHeight="1">
      <x:c r="A169">
        <x:f t="shared" si="3"/>
      </x:c>
      <x:c r="B169"/>
      <x:c r="C169" s="62"/>
      <x:c r="D169"/>
      <x:c r="E169"/>
      <x:c r="F169"/>
      <x:c r="G169" s="84"/>
      <x:c r="H169"/>
      <x:c r="I169"/>
      <x:c r="J169"/>
      <x:c r="K169"/>
      <x:c r="L169"/>
      <x:c r="M169"/>
      <x:c r="N169"/>
      <x:c r="O169">
        <x:f t="shared" si="1"/>
      </x:c>
      <x:c r="P169">
        <x:f t="shared" si="2"/>
      </x:c>
      <x:c r="Q169"/>
      <x:c r="R169"/>
      <x:c r="S169"/>
    </x:row>
    <x:row r="170" ht="15.75" customHeight="1">
      <x:c r="A170">
        <x:f t="shared" si="3"/>
      </x:c>
      <x:c r="B170"/>
      <x:c r="C170" s="62"/>
      <x:c r="D170"/>
      <x:c r="E170"/>
      <x:c r="F170"/>
      <x:c r="G170" s="84"/>
      <x:c r="H170"/>
      <x:c r="I170"/>
      <x:c r="J170"/>
      <x:c r="K170"/>
      <x:c r="L170"/>
      <x:c r="M170"/>
      <x:c r="N170"/>
      <x:c r="O170">
        <x:f t="shared" si="1"/>
      </x:c>
      <x:c r="P170">
        <x:f t="shared" si="2"/>
      </x:c>
      <x:c r="Q170"/>
      <x:c r="R170"/>
      <x:c r="S170"/>
    </x:row>
    <x:row r="171" ht="15.75" customHeight="1">
      <x:c r="A171">
        <x:f t="shared" si="3"/>
      </x:c>
      <x:c r="B171"/>
      <x:c r="C171" s="62"/>
      <x:c r="D171"/>
      <x:c r="E171"/>
      <x:c r="F171"/>
      <x:c r="G171" s="84"/>
      <x:c r="H171"/>
      <x:c r="I171"/>
      <x:c r="J171"/>
      <x:c r="K171"/>
      <x:c r="L171"/>
      <x:c r="M171"/>
      <x:c r="N171"/>
      <x:c r="O171">
        <x:f t="shared" si="1"/>
      </x:c>
      <x:c r="P171">
        <x:f t="shared" si="2"/>
      </x:c>
      <x:c r="Q171"/>
      <x:c r="R171"/>
      <x:c r="S171"/>
    </x:row>
    <x:row r="172" ht="15.75" customHeight="1">
      <x:c r="A172">
        <x:f t="shared" si="3"/>
      </x:c>
      <x:c r="B172"/>
      <x:c r="C172" s="62"/>
      <x:c r="D172"/>
      <x:c r="E172"/>
      <x:c r="F172"/>
      <x:c r="G172" s="84"/>
      <x:c r="H172"/>
      <x:c r="I172"/>
      <x:c r="J172"/>
      <x:c r="K172"/>
      <x:c r="L172"/>
      <x:c r="M172"/>
      <x:c r="N172"/>
      <x:c r="O172">
        <x:f t="shared" si="1"/>
      </x:c>
      <x:c r="P172">
        <x:f t="shared" si="2"/>
      </x:c>
      <x:c r="Q172"/>
      <x:c r="R172"/>
      <x:c r="S172"/>
    </x:row>
    <x:row r="173" ht="15.75" customHeight="1">
      <x:c r="A173">
        <x:f t="shared" si="3"/>
      </x:c>
      <x:c r="B173"/>
      <x:c r="C173" s="62"/>
      <x:c r="D173"/>
      <x:c r="E173"/>
      <x:c r="F173"/>
      <x:c r="G173" s="84"/>
      <x:c r="H173"/>
      <x:c r="I173"/>
      <x:c r="J173"/>
      <x:c r="K173"/>
      <x:c r="L173"/>
      <x:c r="M173"/>
      <x:c r="N173"/>
      <x:c r="O173">
        <x:f t="shared" si="1"/>
      </x:c>
      <x:c r="P173">
        <x:f t="shared" si="2"/>
      </x:c>
      <x:c r="Q173"/>
      <x:c r="R173"/>
      <x:c r="S173"/>
    </x:row>
    <x:row r="174" ht="15.75" customHeight="1">
      <x:c r="A174">
        <x:f t="shared" si="3"/>
      </x:c>
      <x:c r="B174"/>
      <x:c r="C174" s="62"/>
      <x:c r="D174"/>
      <x:c r="E174"/>
      <x:c r="F174"/>
      <x:c r="G174" s="84"/>
      <x:c r="H174"/>
      <x:c r="I174"/>
      <x:c r="J174"/>
      <x:c r="K174"/>
      <x:c r="L174"/>
      <x:c r="M174"/>
      <x:c r="N174"/>
      <x:c r="O174">
        <x:f t="shared" si="1"/>
      </x:c>
      <x:c r="P174">
        <x:f t="shared" si="2"/>
      </x:c>
      <x:c r="Q174"/>
      <x:c r="R174"/>
      <x:c r="S174"/>
    </x:row>
    <x:row r="175" ht="15.75" customHeight="1">
      <x:c r="A175">
        <x:f t="shared" si="3"/>
      </x:c>
      <x:c r="B175"/>
      <x:c r="C175" s="62"/>
      <x:c r="D175"/>
      <x:c r="E175"/>
      <x:c r="F175"/>
      <x:c r="G175" s="84"/>
      <x:c r="H175"/>
      <x:c r="I175"/>
      <x:c r="J175"/>
      <x:c r="K175"/>
      <x:c r="L175"/>
      <x:c r="M175"/>
      <x:c r="N175"/>
      <x:c r="O175">
        <x:f t="shared" si="1"/>
      </x:c>
      <x:c r="P175">
        <x:f t="shared" si="2"/>
      </x:c>
      <x:c r="Q175"/>
      <x:c r="R175"/>
      <x:c r="S175"/>
    </x:row>
    <x:row r="176" ht="15.75" customHeight="1">
      <x:c r="A176">
        <x:f t="shared" si="3"/>
      </x:c>
      <x:c r="B176"/>
      <x:c r="C176" s="62"/>
      <x:c r="D176"/>
      <x:c r="E176"/>
      <x:c r="F176"/>
      <x:c r="G176" s="84"/>
      <x:c r="H176"/>
      <x:c r="I176"/>
      <x:c r="J176"/>
      <x:c r="K176"/>
      <x:c r="L176"/>
      <x:c r="M176"/>
      <x:c r="N176"/>
      <x:c r="O176">
        <x:f t="shared" si="1"/>
      </x:c>
      <x:c r="P176">
        <x:f t="shared" si="2"/>
      </x:c>
      <x:c r="Q176"/>
      <x:c r="R176"/>
      <x:c r="S176"/>
    </x:row>
    <x:row r="177" ht="15.75" customHeight="1">
      <x:c r="A177">
        <x:f t="shared" si="3"/>
      </x:c>
      <x:c r="B177"/>
      <x:c r="C177" s="62"/>
      <x:c r="D177"/>
      <x:c r="E177"/>
      <x:c r="F177"/>
      <x:c r="G177" s="84"/>
      <x:c r="H177"/>
      <x:c r="I177"/>
      <x:c r="J177"/>
      <x:c r="K177"/>
      <x:c r="L177"/>
      <x:c r="M177"/>
      <x:c r="N177"/>
      <x:c r="O177">
        <x:f t="shared" si="1"/>
      </x:c>
      <x:c r="P177">
        <x:f t="shared" si="2"/>
      </x:c>
      <x:c r="Q177"/>
      <x:c r="R177"/>
      <x:c r="S177"/>
    </x:row>
    <x:row r="178" ht="15.75" customHeight="1">
      <x:c r="A178">
        <x:f t="shared" si="3"/>
      </x:c>
      <x:c r="B178"/>
      <x:c r="C178" s="62"/>
      <x:c r="D178"/>
      <x:c r="E178"/>
      <x:c r="F178"/>
      <x:c r="G178" s="84"/>
      <x:c r="H178"/>
      <x:c r="I178"/>
      <x:c r="J178"/>
      <x:c r="K178"/>
      <x:c r="L178"/>
      <x:c r="M178"/>
      <x:c r="N178"/>
      <x:c r="O178">
        <x:f t="shared" si="1"/>
      </x:c>
      <x:c r="P178">
        <x:f t="shared" si="2"/>
      </x:c>
      <x:c r="Q178"/>
      <x:c r="R178"/>
      <x:c r="S178"/>
    </x:row>
    <x:row r="179" ht="15.75" customHeight="1">
      <x:c r="A179">
        <x:f t="shared" si="3"/>
      </x:c>
      <x:c r="B179"/>
      <x:c r="C179" s="62"/>
      <x:c r="D179"/>
      <x:c r="E179"/>
      <x:c r="F179"/>
      <x:c r="G179" s="84"/>
      <x:c r="H179"/>
      <x:c r="I179"/>
      <x:c r="J179"/>
      <x:c r="K179"/>
      <x:c r="L179"/>
      <x:c r="M179"/>
      <x:c r="N179"/>
      <x:c r="O179">
        <x:f t="shared" si="1"/>
      </x:c>
      <x:c r="P179">
        <x:f t="shared" si="2"/>
      </x:c>
      <x:c r="Q179"/>
      <x:c r="R179"/>
      <x:c r="S179"/>
    </x:row>
    <x:row r="180" ht="15.75" customHeight="1">
      <x:c r="A180">
        <x:f t="shared" si="3"/>
      </x:c>
      <x:c r="B180"/>
      <x:c r="C180" s="62"/>
      <x:c r="D180"/>
      <x:c r="E180"/>
      <x:c r="F180"/>
      <x:c r="G180" s="84"/>
      <x:c r="H180"/>
      <x:c r="I180"/>
      <x:c r="J180"/>
      <x:c r="K180"/>
      <x:c r="L180"/>
      <x:c r="M180"/>
      <x:c r="N180"/>
      <x:c r="O180">
        <x:f t="shared" si="1"/>
      </x:c>
      <x:c r="P180">
        <x:f t="shared" si="2"/>
      </x:c>
      <x:c r="Q180"/>
      <x:c r="R180"/>
      <x:c r="S180"/>
    </x:row>
    <x:row r="181" ht="15.75" customHeight="1">
      <x:c r="A181">
        <x:f t="shared" si="3"/>
      </x:c>
      <x:c r="B181"/>
      <x:c r="C181" s="62"/>
      <x:c r="D181"/>
      <x:c r="E181"/>
      <x:c r="F181"/>
      <x:c r="G181" s="84"/>
      <x:c r="H181"/>
      <x:c r="I181"/>
      <x:c r="J181"/>
      <x:c r="K181"/>
      <x:c r="L181"/>
      <x:c r="M181"/>
      <x:c r="N181"/>
      <x:c r="O181">
        <x:f t="shared" si="1"/>
      </x:c>
      <x:c r="P181">
        <x:f t="shared" si="2"/>
      </x:c>
      <x:c r="Q181"/>
      <x:c r="R181"/>
      <x:c r="S181"/>
    </x:row>
    <x:row r="182" ht="15.75" customHeight="1">
      <x:c r="A182">
        <x:f t="shared" si="3"/>
      </x:c>
      <x:c r="B182"/>
      <x:c r="C182" s="62"/>
      <x:c r="D182"/>
      <x:c r="E182"/>
      <x:c r="F182"/>
      <x:c r="G182" s="84"/>
      <x:c r="H182"/>
      <x:c r="I182"/>
      <x:c r="J182"/>
      <x:c r="K182"/>
      <x:c r="L182"/>
      <x:c r="M182"/>
      <x:c r="N182"/>
      <x:c r="O182">
        <x:f t="shared" si="1"/>
      </x:c>
      <x:c r="P182">
        <x:f t="shared" si="2"/>
      </x:c>
      <x:c r="Q182"/>
      <x:c r="R182"/>
      <x:c r="S182"/>
    </x:row>
    <x:row r="183" ht="15.75" customHeight="1">
      <x:c r="A183">
        <x:f t="shared" si="3"/>
      </x:c>
      <x:c r="B183"/>
      <x:c r="C183" s="62"/>
      <x:c r="D183"/>
      <x:c r="E183"/>
      <x:c r="F183"/>
      <x:c r="G183" s="84"/>
      <x:c r="H183"/>
      <x:c r="I183"/>
      <x:c r="J183"/>
      <x:c r="K183"/>
      <x:c r="L183"/>
      <x:c r="M183"/>
      <x:c r="N183"/>
      <x:c r="O183">
        <x:f t="shared" si="1"/>
      </x:c>
      <x:c r="P183">
        <x:f t="shared" si="2"/>
      </x:c>
      <x:c r="Q183"/>
      <x:c r="R183"/>
      <x:c r="S183"/>
    </x:row>
    <x:row r="184" ht="15.75" customHeight="1">
      <x:c r="A184">
        <x:f t="shared" si="3"/>
      </x:c>
      <x:c r="B184"/>
      <x:c r="C184" s="62"/>
      <x:c r="D184"/>
      <x:c r="E184"/>
      <x:c r="F184"/>
      <x:c r="G184" s="84"/>
      <x:c r="H184"/>
      <x:c r="I184"/>
      <x:c r="J184"/>
      <x:c r="K184"/>
      <x:c r="L184"/>
      <x:c r="M184"/>
      <x:c r="N184"/>
      <x:c r="O184">
        <x:f t="shared" si="1"/>
      </x:c>
      <x:c r="P184">
        <x:f t="shared" si="2"/>
      </x:c>
      <x:c r="Q184"/>
      <x:c r="R184"/>
      <x:c r="S184"/>
    </x:row>
    <x:row r="185" ht="15.75" customHeight="1">
      <x:c r="A185">
        <x:f t="shared" si="3"/>
      </x:c>
      <x:c r="B185"/>
      <x:c r="C185" s="62"/>
      <x:c r="D185"/>
      <x:c r="E185"/>
      <x:c r="F185"/>
      <x:c r="G185" s="84"/>
      <x:c r="H185"/>
      <x:c r="I185"/>
      <x:c r="J185"/>
      <x:c r="K185"/>
      <x:c r="L185"/>
      <x:c r="M185"/>
      <x:c r="N185"/>
      <x:c r="O185">
        <x:f t="shared" si="1"/>
      </x:c>
      <x:c r="P185">
        <x:f t="shared" si="2"/>
      </x:c>
      <x:c r="Q185"/>
      <x:c r="R185"/>
      <x:c r="S185"/>
    </x:row>
    <x:row r="186" ht="15.75" customHeight="1">
      <x:c r="A186">
        <x:f t="shared" si="3"/>
      </x:c>
      <x:c r="B186"/>
      <x:c r="C186" s="62"/>
      <x:c r="D186"/>
      <x:c r="E186"/>
      <x:c r="F186"/>
      <x:c r="G186" s="84"/>
      <x:c r="H186"/>
      <x:c r="I186"/>
      <x:c r="J186"/>
      <x:c r="K186"/>
      <x:c r="L186"/>
      <x:c r="M186"/>
      <x:c r="N186"/>
      <x:c r="O186">
        <x:f t="shared" si="1"/>
      </x:c>
      <x:c r="P186">
        <x:f t="shared" si="2"/>
      </x:c>
      <x:c r="Q186"/>
      <x:c r="R186"/>
      <x:c r="S186"/>
    </x:row>
    <x:row r="187" ht="15.75" customHeight="1">
      <x:c r="A187">
        <x:f t="shared" si="3"/>
      </x:c>
      <x:c r="B187"/>
      <x:c r="C187" s="62"/>
      <x:c r="D187"/>
      <x:c r="E187"/>
      <x:c r="F187"/>
      <x:c r="G187" s="84"/>
      <x:c r="H187"/>
      <x:c r="I187"/>
      <x:c r="J187"/>
      <x:c r="K187"/>
      <x:c r="L187"/>
      <x:c r="M187"/>
      <x:c r="N187"/>
      <x:c r="O187">
        <x:f t="shared" si="1"/>
      </x:c>
      <x:c r="P187">
        <x:f t="shared" si="2"/>
      </x:c>
      <x:c r="Q187"/>
      <x:c r="R187"/>
      <x:c r="S187"/>
    </x:row>
    <x:row r="188" ht="15.75" customHeight="1">
      <x:c r="A188">
        <x:f t="shared" si="3"/>
      </x:c>
      <x:c r="B188"/>
      <x:c r="C188" s="62"/>
      <x:c r="D188"/>
      <x:c r="E188"/>
      <x:c r="F188"/>
      <x:c r="G188" s="84"/>
      <x:c r="H188"/>
      <x:c r="I188"/>
      <x:c r="J188"/>
      <x:c r="K188"/>
      <x:c r="L188"/>
      <x:c r="M188"/>
      <x:c r="N188"/>
      <x:c r="O188">
        <x:f t="shared" si="1"/>
      </x:c>
      <x:c r="P188">
        <x:f t="shared" si="2"/>
      </x:c>
      <x:c r="Q188"/>
      <x:c r="R188"/>
      <x:c r="S188"/>
    </x:row>
    <x:row r="189" ht="15.75" customHeight="1">
      <x:c r="A189">
        <x:f t="shared" si="3"/>
      </x:c>
      <x:c r="B189"/>
      <x:c r="C189" s="62"/>
      <x:c r="D189"/>
      <x:c r="E189"/>
      <x:c r="F189"/>
      <x:c r="G189" s="84"/>
      <x:c r="H189"/>
      <x:c r="I189"/>
      <x:c r="J189"/>
      <x:c r="K189"/>
      <x:c r="L189"/>
      <x:c r="M189"/>
      <x:c r="N189"/>
      <x:c r="O189">
        <x:f t="shared" si="1"/>
      </x:c>
      <x:c r="P189">
        <x:f t="shared" si="2"/>
      </x:c>
      <x:c r="Q189"/>
      <x:c r="R189"/>
      <x:c r="S189"/>
    </x:row>
    <x:row r="190" ht="15.75" customHeight="1">
      <x:c r="A190">
        <x:f t="shared" si="3"/>
      </x:c>
      <x:c r="B190"/>
      <x:c r="C190" s="62"/>
      <x:c r="D190"/>
      <x:c r="E190"/>
      <x:c r="F190"/>
      <x:c r="G190" s="84"/>
      <x:c r="H190"/>
      <x:c r="I190"/>
      <x:c r="J190"/>
      <x:c r="K190"/>
      <x:c r="L190"/>
      <x:c r="M190"/>
      <x:c r="N190"/>
      <x:c r="O190">
        <x:f t="shared" si="1"/>
      </x:c>
      <x:c r="P190">
        <x:f t="shared" si="2"/>
      </x:c>
      <x:c r="Q190"/>
      <x:c r="R190"/>
      <x:c r="S190"/>
    </x:row>
    <x:row r="191" ht="15.75" customHeight="1">
      <x:c r="A191">
        <x:f t="shared" si="3"/>
      </x:c>
      <x:c r="B191"/>
      <x:c r="C191" s="62"/>
      <x:c r="D191"/>
      <x:c r="E191"/>
      <x:c r="F191"/>
      <x:c r="G191" s="84"/>
      <x:c r="H191"/>
      <x:c r="I191"/>
      <x:c r="J191"/>
      <x:c r="K191"/>
      <x:c r="L191"/>
      <x:c r="M191"/>
      <x:c r="N191"/>
      <x:c r="O191">
        <x:f t="shared" si="1"/>
      </x:c>
      <x:c r="P191">
        <x:f t="shared" si="2"/>
      </x:c>
      <x:c r="Q191"/>
      <x:c r="R191"/>
      <x:c r="S191"/>
    </x:row>
    <x:row r="192" ht="15.75" customHeight="1">
      <x:c r="A192">
        <x:f t="shared" si="3"/>
      </x:c>
      <x:c r="B192"/>
      <x:c r="C192" s="62"/>
      <x:c r="D192"/>
      <x:c r="E192"/>
      <x:c r="F192"/>
      <x:c r="G192" s="84"/>
      <x:c r="H192"/>
      <x:c r="I192"/>
      <x:c r="J192"/>
      <x:c r="K192"/>
      <x:c r="L192"/>
      <x:c r="M192"/>
      <x:c r="N192"/>
      <x:c r="O192">
        <x:f t="shared" si="1"/>
      </x:c>
      <x:c r="P192">
        <x:f t="shared" si="2"/>
      </x:c>
      <x:c r="Q192"/>
      <x:c r="R192"/>
      <x:c r="S192"/>
    </x:row>
    <x:row r="193" ht="15.75" customHeight="1">
      <x:c r="A193">
        <x:f t="shared" si="3"/>
      </x:c>
      <x:c r="B193"/>
      <x:c r="C193" s="62"/>
      <x:c r="D193"/>
      <x:c r="E193"/>
      <x:c r="F193"/>
      <x:c r="G193" s="84"/>
      <x:c r="H193"/>
      <x:c r="I193"/>
      <x:c r="J193"/>
      <x:c r="K193"/>
      <x:c r="L193"/>
      <x:c r="M193"/>
      <x:c r="N193"/>
      <x:c r="O193">
        <x:f t="shared" si="1"/>
      </x:c>
      <x:c r="P193">
        <x:f t="shared" si="2"/>
      </x:c>
      <x:c r="Q193"/>
      <x:c r="R193"/>
      <x:c r="S193"/>
    </x:row>
    <x:row r="194" ht="15.75" customHeight="1">
      <x:c r="A194">
        <x:f t="shared" si="3"/>
      </x:c>
      <x:c r="B194"/>
      <x:c r="C194" s="62"/>
      <x:c r="D194"/>
      <x:c r="E194"/>
      <x:c r="F194"/>
      <x:c r="G194" s="84"/>
      <x:c r="H194"/>
      <x:c r="I194"/>
      <x:c r="J194"/>
      <x:c r="K194"/>
      <x:c r="L194"/>
      <x:c r="M194"/>
      <x:c r="N194"/>
      <x:c r="O194">
        <x:f t="shared" si="1"/>
      </x:c>
      <x:c r="P194">
        <x:f t="shared" si="2"/>
      </x:c>
      <x:c r="Q194"/>
      <x:c r="R194"/>
      <x:c r="S194"/>
    </x:row>
    <x:row r="195" ht="15.75" customHeight="1">
      <x:c r="A195">
        <x:f t="shared" si="3"/>
      </x:c>
      <x:c r="B195"/>
      <x:c r="C195" s="62"/>
      <x:c r="D195"/>
      <x:c r="E195"/>
      <x:c r="F195"/>
      <x:c r="G195" s="84"/>
      <x:c r="H195"/>
      <x:c r="I195"/>
      <x:c r="J195"/>
      <x:c r="K195"/>
      <x:c r="L195"/>
      <x:c r="M195"/>
      <x:c r="N195"/>
      <x:c r="O195">
        <x:f t="shared" si="1"/>
      </x:c>
      <x:c r="P195">
        <x:f t="shared" si="2"/>
      </x:c>
      <x:c r="Q195"/>
      <x:c r="R195"/>
      <x:c r="S195"/>
    </x:row>
    <x:row r="196" ht="15.75" customHeight="1">
      <x:c r="A196">
        <x:f t="shared" si="3"/>
      </x:c>
      <x:c r="B196"/>
      <x:c r="C196" s="62"/>
      <x:c r="D196"/>
      <x:c r="E196"/>
      <x:c r="F196"/>
      <x:c r="G196" s="84"/>
      <x:c r="H196"/>
      <x:c r="I196"/>
      <x:c r="J196"/>
      <x:c r="K196"/>
      <x:c r="L196"/>
      <x:c r="M196"/>
      <x:c r="N196"/>
      <x:c r="O196">
        <x:f t="shared" si="1"/>
      </x:c>
      <x:c r="P196">
        <x:f t="shared" si="2"/>
      </x:c>
      <x:c r="Q196"/>
      <x:c r="R196"/>
      <x:c r="S196"/>
    </x:row>
    <x:row r="197" ht="15.75" customHeight="1">
      <x:c r="A197">
        <x:f t="shared" si="3"/>
      </x:c>
      <x:c r="B197"/>
      <x:c r="C197" s="62"/>
      <x:c r="D197"/>
      <x:c r="E197"/>
      <x:c r="F197"/>
      <x:c r="G197" s="84"/>
      <x:c r="H197"/>
      <x:c r="I197"/>
      <x:c r="J197"/>
      <x:c r="K197"/>
      <x:c r="L197"/>
      <x:c r="M197"/>
      <x:c r="N197"/>
      <x:c r="O197">
        <x:f t="shared" si="1"/>
      </x:c>
      <x:c r="P197">
        <x:f t="shared" si="2"/>
      </x:c>
      <x:c r="Q197"/>
      <x:c r="R197"/>
      <x:c r="S197"/>
    </x:row>
    <x:row r="198" ht="15.75" customHeight="1">
      <x:c r="A198">
        <x:f t="shared" si="3"/>
      </x:c>
      <x:c r="B198"/>
      <x:c r="C198" s="62"/>
      <x:c r="D198"/>
      <x:c r="E198"/>
      <x:c r="F198"/>
      <x:c r="G198" s="84"/>
      <x:c r="H198"/>
      <x:c r="I198"/>
      <x:c r="J198"/>
      <x:c r="K198"/>
      <x:c r="L198"/>
      <x:c r="M198"/>
      <x:c r="N198"/>
      <x:c r="O198">
        <x:f t="shared" si="1"/>
      </x:c>
      <x:c r="P198">
        <x:f t="shared" si="2"/>
      </x:c>
      <x:c r="Q198"/>
      <x:c r="R198"/>
      <x:c r="S198"/>
    </x:row>
    <x:row r="199" ht="15.75" customHeight="1">
      <x:c r="A199">
        <x:f t="shared" si="3"/>
      </x:c>
      <x:c r="B199"/>
      <x:c r="C199" s="62"/>
      <x:c r="D199"/>
      <x:c r="E199"/>
      <x:c r="F199"/>
      <x:c r="G199" s="84"/>
      <x:c r="H199"/>
      <x:c r="I199"/>
      <x:c r="J199"/>
      <x:c r="K199"/>
      <x:c r="L199"/>
      <x:c r="M199"/>
      <x:c r="N199"/>
      <x:c r="O199">
        <x:f t="shared" si="1"/>
      </x:c>
      <x:c r="P199">
        <x:f t="shared" si="2"/>
      </x:c>
      <x:c r="Q199"/>
      <x:c r="R199"/>
      <x:c r="S199"/>
    </x:row>
    <x:row r="200" ht="15.75" customHeight="1">
      <x:c r="A200">
        <x:f t="shared" si="3"/>
      </x:c>
      <x:c r="B200"/>
      <x:c r="C200" s="62"/>
      <x:c r="D200"/>
      <x:c r="E200"/>
      <x:c r="F200"/>
      <x:c r="G200" s="84"/>
      <x:c r="H200"/>
      <x:c r="I200"/>
      <x:c r="J200"/>
      <x:c r="K200"/>
      <x:c r="L200"/>
      <x:c r="M200"/>
      <x:c r="N200"/>
      <x:c r="O200">
        <x:f t="shared" si="1"/>
      </x:c>
      <x:c r="P200">
        <x:f t="shared" si="2"/>
      </x:c>
      <x:c r="Q200"/>
      <x:c r="R200"/>
      <x:c r="S200"/>
    </x:row>
    <x:row r="201" ht="15.75" customHeight="1">
      <x:c r="A201">
        <x:f t="shared" si="3"/>
      </x:c>
      <x:c r="B201"/>
      <x:c r="C201" s="62"/>
      <x:c r="D201"/>
      <x:c r="E201"/>
      <x:c r="F201"/>
      <x:c r="G201" s="84"/>
      <x:c r="H201"/>
      <x:c r="I201"/>
      <x:c r="J201"/>
      <x:c r="K201"/>
      <x:c r="L201"/>
      <x:c r="M201"/>
      <x:c r="N201"/>
      <x:c r="O201">
        <x:f t="shared" si="1"/>
      </x:c>
      <x:c r="P201">
        <x:f t="shared" si="2"/>
      </x:c>
      <x:c r="Q201"/>
      <x:c r="R201"/>
      <x:c r="S201"/>
    </x:row>
    <x:row r="202" ht="15.75" customHeight="1">
      <x:c r="A202">
        <x:f t="shared" si="3"/>
      </x:c>
      <x:c r="B202"/>
      <x:c r="C202" s="62"/>
      <x:c r="D202"/>
      <x:c r="E202"/>
      <x:c r="F202"/>
      <x:c r="G202" s="84"/>
      <x:c r="H202"/>
      <x:c r="I202"/>
      <x:c r="J202"/>
      <x:c r="K202"/>
      <x:c r="L202"/>
      <x:c r="M202"/>
      <x:c r="N202"/>
      <x:c r="O202">
        <x:f t="shared" si="1"/>
      </x:c>
      <x:c r="P202">
        <x:f t="shared" si="2"/>
      </x:c>
      <x:c r="Q202"/>
      <x:c r="R202"/>
      <x:c r="S202"/>
    </x:row>
    <x:row r="203" ht="15.75" customHeight="1">
      <x:c r="A203">
        <x:f t="shared" si="3"/>
      </x:c>
      <x:c r="B203"/>
      <x:c r="C203" s="62"/>
      <x:c r="D203"/>
      <x:c r="E203"/>
      <x:c r="F203"/>
      <x:c r="G203" s="84"/>
      <x:c r="H203"/>
      <x:c r="I203"/>
      <x:c r="J203"/>
      <x:c r="K203"/>
      <x:c r="L203"/>
      <x:c r="M203"/>
      <x:c r="N203"/>
      <x:c r="O203">
        <x:f t="shared" si="1"/>
      </x:c>
      <x:c r="P203">
        <x:f t="shared" si="2"/>
      </x:c>
      <x:c r="Q203"/>
      <x:c r="R203"/>
      <x:c r="S203"/>
    </x:row>
    <x:row r="204" ht="15.75" customHeight="1">
      <x:c r="A204">
        <x:f t="shared" si="3"/>
      </x:c>
      <x:c r="B204"/>
      <x:c r="C204" s="62"/>
      <x:c r="D204"/>
      <x:c r="E204"/>
      <x:c r="F204"/>
      <x:c r="G204" s="84"/>
      <x:c r="H204"/>
      <x:c r="I204"/>
      <x:c r="J204"/>
      <x:c r="K204"/>
      <x:c r="L204"/>
      <x:c r="M204"/>
      <x:c r="N204"/>
      <x:c r="O204">
        <x:f t="shared" si="1"/>
      </x:c>
      <x:c r="P204">
        <x:f t="shared" si="2"/>
      </x:c>
      <x:c r="Q204"/>
      <x:c r="R204"/>
      <x:c r="S204"/>
    </x:row>
    <x:row r="205" ht="15.75" customHeight="1">
      <x:c r="A205">
        <x:f t="shared" si="3"/>
      </x:c>
      <x:c r="B205"/>
      <x:c r="C205" s="62"/>
      <x:c r="D205"/>
      <x:c r="E205"/>
      <x:c r="F205"/>
      <x:c r="G205" s="84"/>
      <x:c r="H205"/>
      <x:c r="I205"/>
      <x:c r="J205"/>
      <x:c r="K205"/>
      <x:c r="L205"/>
      <x:c r="M205"/>
      <x:c r="N205"/>
      <x:c r="O205">
        <x:f t="shared" si="1"/>
      </x:c>
      <x:c r="P205">
        <x:f t="shared" si="2"/>
      </x:c>
      <x:c r="Q205"/>
      <x:c r="R205"/>
      <x:c r="S205"/>
    </x:row>
    <x:row r="206" ht="15.75" customHeight="1">
      <x:c r="A206">
        <x:f t="shared" si="3"/>
      </x:c>
      <x:c r="B206"/>
      <x:c r="C206" s="62"/>
      <x:c r="D206"/>
      <x:c r="E206"/>
      <x:c r="F206"/>
      <x:c r="G206" s="84"/>
      <x:c r="H206"/>
      <x:c r="I206"/>
      <x:c r="J206"/>
      <x:c r="K206"/>
      <x:c r="L206"/>
      <x:c r="M206"/>
      <x:c r="N206"/>
      <x:c r="O206">
        <x:f t="shared" si="1"/>
      </x:c>
      <x:c r="P206">
        <x:f t="shared" si="2"/>
      </x:c>
      <x:c r="Q206"/>
      <x:c r="R206"/>
      <x:c r="S206"/>
    </x:row>
    <x:row r="207" ht="15.75" customHeight="1">
      <x:c r="A207">
        <x:f t="shared" si="3"/>
      </x:c>
      <x:c r="B207"/>
      <x:c r="C207" s="62"/>
      <x:c r="D207"/>
      <x:c r="E207"/>
      <x:c r="F207"/>
      <x:c r="G207" s="84"/>
      <x:c r="H207"/>
      <x:c r="I207"/>
      <x:c r="J207"/>
      <x:c r="K207"/>
      <x:c r="L207"/>
      <x:c r="M207"/>
      <x:c r="N207"/>
      <x:c r="O207">
        <x:f t="shared" si="1"/>
      </x:c>
      <x:c r="P207">
        <x:f t="shared" si="2"/>
      </x:c>
      <x:c r="Q207"/>
      <x:c r="R207"/>
      <x:c r="S207"/>
    </x:row>
    <x:row r="208" ht="15.75" customHeight="1">
      <x:c r="A208">
        <x:f t="shared" si="3"/>
      </x:c>
      <x:c r="B208"/>
      <x:c r="C208" s="62"/>
      <x:c r="D208"/>
      <x:c r="E208"/>
      <x:c r="F208"/>
      <x:c r="G208" s="84"/>
      <x:c r="H208"/>
      <x:c r="I208"/>
      <x:c r="J208"/>
      <x:c r="K208"/>
      <x:c r="L208"/>
      <x:c r="M208"/>
      <x:c r="N208"/>
      <x:c r="O208">
        <x:f t="shared" si="1"/>
      </x:c>
      <x:c r="P208">
        <x:f t="shared" si="2"/>
      </x:c>
      <x:c r="Q208"/>
      <x:c r="R208"/>
      <x:c r="S208"/>
    </x:row>
    <x:row r="209" ht="15.75" customHeight="1">
      <x:c r="A209">
        <x:f t="shared" si="3"/>
      </x:c>
      <x:c r="B209"/>
      <x:c r="C209" s="62"/>
      <x:c r="D209"/>
      <x:c r="E209"/>
      <x:c r="F209"/>
      <x:c r="G209" s="84"/>
      <x:c r="H209"/>
      <x:c r="I209"/>
      <x:c r="J209"/>
      <x:c r="K209"/>
      <x:c r="L209"/>
      <x:c r="M209"/>
      <x:c r="N209"/>
      <x:c r="O209">
        <x:f t="shared" si="1"/>
      </x:c>
      <x:c r="P209">
        <x:f t="shared" si="2"/>
      </x:c>
      <x:c r="Q209"/>
      <x:c r="R209"/>
      <x:c r="S209"/>
    </x:row>
    <x:row r="210" ht="15.75" customHeight="1">
      <x:c r="A210">
        <x:f t="shared" si="3"/>
      </x:c>
      <x:c r="B210"/>
      <x:c r="C210" s="62"/>
      <x:c r="D210"/>
      <x:c r="E210"/>
      <x:c r="F210"/>
      <x:c r="G210" s="84"/>
      <x:c r="H210"/>
      <x:c r="I210"/>
      <x:c r="J210"/>
      <x:c r="K210"/>
      <x:c r="L210"/>
      <x:c r="M210"/>
      <x:c r="N210"/>
      <x:c r="O210">
        <x:f t="shared" si="1"/>
      </x:c>
      <x:c r="P210">
        <x:f t="shared" si="2"/>
      </x:c>
      <x:c r="Q210"/>
      <x:c r="R210"/>
      <x:c r="S210"/>
    </x:row>
    <x:row r="211" ht="15.75" customHeight="1">
      <x:c r="A211">
        <x:f t="shared" si="3"/>
      </x:c>
      <x:c r="B211"/>
      <x:c r="C211" s="62"/>
      <x:c r="D211"/>
      <x:c r="E211"/>
      <x:c r="F211"/>
      <x:c r="G211" s="84"/>
      <x:c r="H211"/>
      <x:c r="I211"/>
      <x:c r="J211"/>
      <x:c r="K211"/>
      <x:c r="L211"/>
      <x:c r="M211"/>
      <x:c r="N211"/>
      <x:c r="O211">
        <x:f t="shared" si="1"/>
      </x:c>
      <x:c r="P211">
        <x:f t="shared" si="2"/>
      </x:c>
      <x:c r="Q211"/>
      <x:c r="R211"/>
      <x:c r="S211"/>
    </x:row>
    <x:row r="212" ht="15.75" customHeight="1">
      <x:c r="A212">
        <x:f t="shared" si="3"/>
      </x:c>
      <x:c r="B212"/>
      <x:c r="C212" s="62"/>
      <x:c r="D212"/>
      <x:c r="E212"/>
      <x:c r="F212"/>
      <x:c r="G212" s="84"/>
      <x:c r="H212"/>
      <x:c r="I212"/>
      <x:c r="J212"/>
      <x:c r="K212"/>
      <x:c r="L212"/>
      <x:c r="M212"/>
      <x:c r="N212"/>
      <x:c r="O212">
        <x:f t="shared" si="1"/>
      </x:c>
      <x:c r="P212">
        <x:f t="shared" si="2"/>
      </x:c>
      <x:c r="Q212"/>
      <x:c r="R212"/>
      <x:c r="S212"/>
    </x:row>
    <x:row r="213" ht="15.75" customHeight="1">
      <x:c r="A213">
        <x:f t="shared" si="3"/>
      </x:c>
      <x:c r="B213"/>
      <x:c r="C213" s="62"/>
      <x:c r="D213"/>
      <x:c r="E213"/>
      <x:c r="F213"/>
      <x:c r="G213" s="84"/>
      <x:c r="H213"/>
      <x:c r="I213"/>
      <x:c r="J213"/>
      <x:c r="K213"/>
      <x:c r="L213"/>
      <x:c r="M213"/>
      <x:c r="N213"/>
      <x:c r="O213">
        <x:f t="shared" si="1"/>
      </x:c>
      <x:c r="P213">
        <x:f t="shared" si="2"/>
      </x:c>
      <x:c r="Q213"/>
      <x:c r="R213"/>
      <x:c r="S213"/>
    </x:row>
    <x:row r="214" ht="15.75" customHeight="1">
      <x:c r="A214">
        <x:f t="shared" si="3"/>
      </x:c>
      <x:c r="B214"/>
      <x:c r="C214" s="62"/>
      <x:c r="D214"/>
      <x:c r="E214"/>
      <x:c r="F214"/>
      <x:c r="G214" s="84"/>
      <x:c r="H214"/>
      <x:c r="I214"/>
      <x:c r="J214"/>
      <x:c r="K214"/>
      <x:c r="L214"/>
      <x:c r="M214"/>
      <x:c r="N214"/>
      <x:c r="O214">
        <x:f t="shared" si="1"/>
      </x:c>
      <x:c r="P214">
        <x:f t="shared" si="2"/>
      </x:c>
      <x:c r="Q214"/>
      <x:c r="R214"/>
      <x:c r="S214"/>
    </x:row>
    <x:row r="215" ht="15.75" customHeight="1">
      <x:c r="A215">
        <x:f t="shared" si="3"/>
      </x:c>
      <x:c r="B215"/>
      <x:c r="C215" s="62"/>
      <x:c r="D215"/>
      <x:c r="E215"/>
      <x:c r="F215"/>
      <x:c r="G215" s="84"/>
      <x:c r="H215"/>
      <x:c r="I215"/>
      <x:c r="J215"/>
      <x:c r="K215"/>
      <x:c r="L215"/>
      <x:c r="M215"/>
      <x:c r="N215"/>
      <x:c r="O215">
        <x:f t="shared" si="1"/>
      </x:c>
      <x:c r="P215">
        <x:f t="shared" si="2"/>
      </x:c>
      <x:c r="Q215"/>
      <x:c r="R215"/>
      <x:c r="S215"/>
    </x:row>
    <x:row r="216" ht="15.75" customHeight="1">
      <x:c r="A216">
        <x:f t="shared" si="3"/>
      </x:c>
      <x:c r="B216"/>
      <x:c r="C216" s="62"/>
      <x:c r="D216"/>
      <x:c r="E216"/>
      <x:c r="F216"/>
      <x:c r="G216" s="84"/>
      <x:c r="H216"/>
      <x:c r="I216"/>
      <x:c r="J216"/>
      <x:c r="K216"/>
      <x:c r="L216"/>
      <x:c r="M216"/>
      <x:c r="N216"/>
      <x:c r="O216">
        <x:f t="shared" si="1"/>
      </x:c>
      <x:c r="P216">
        <x:f t="shared" si="2"/>
      </x:c>
      <x:c r="Q216"/>
      <x:c r="R216"/>
      <x:c r="S216"/>
    </x:row>
    <x:row r="217" ht="15.75" customHeight="1">
      <x:c r="A217">
        <x:f t="shared" si="3"/>
      </x:c>
      <x:c r="B217"/>
      <x:c r="C217" s="62"/>
      <x:c r="D217"/>
      <x:c r="E217"/>
      <x:c r="F217"/>
      <x:c r="G217" s="84"/>
      <x:c r="H217"/>
      <x:c r="I217"/>
      <x:c r="J217"/>
      <x:c r="K217"/>
      <x:c r="L217"/>
      <x:c r="M217"/>
      <x:c r="N217"/>
      <x:c r="O217">
        <x:f t="shared" si="1"/>
      </x:c>
      <x:c r="P217">
        <x:f t="shared" si="2"/>
      </x:c>
      <x:c r="Q217"/>
      <x:c r="R217"/>
      <x:c r="S217"/>
    </x:row>
    <x:row r="218" ht="15.75" customHeight="1">
      <x:c r="A218">
        <x:f t="shared" si="3"/>
      </x:c>
      <x:c r="B218"/>
      <x:c r="C218" s="62"/>
      <x:c r="D218"/>
      <x:c r="E218"/>
      <x:c r="F218"/>
      <x:c r="G218" s="84"/>
      <x:c r="H218"/>
      <x:c r="I218"/>
      <x:c r="J218"/>
      <x:c r="K218"/>
      <x:c r="L218"/>
      <x:c r="M218"/>
      <x:c r="N218"/>
      <x:c r="O218">
        <x:f t="shared" si="1"/>
      </x:c>
      <x:c r="P218">
        <x:f t="shared" si="2"/>
      </x:c>
      <x:c r="Q218"/>
      <x:c r="R218"/>
      <x:c r="S218"/>
    </x:row>
    <x:row r="219" ht="15.75" customHeight="1">
      <x:c r="A219">
        <x:f t="shared" si="3"/>
      </x:c>
      <x:c r="B219"/>
      <x:c r="C219" s="62"/>
      <x:c r="D219"/>
      <x:c r="E219"/>
      <x:c r="F219"/>
      <x:c r="G219" s="84"/>
      <x:c r="H219"/>
      <x:c r="I219"/>
      <x:c r="J219"/>
      <x:c r="K219"/>
      <x:c r="L219"/>
      <x:c r="M219"/>
      <x:c r="N219"/>
      <x:c r="O219">
        <x:f t="shared" si="1"/>
      </x:c>
      <x:c r="P219">
        <x:f t="shared" si="2"/>
      </x:c>
      <x:c r="Q219"/>
      <x:c r="R219"/>
      <x:c r="S219"/>
    </x:row>
    <x:row r="220" ht="15.75" customHeight="1">
      <x:c r="A220">
        <x:f t="shared" si="3"/>
      </x:c>
      <x:c r="B220"/>
      <x:c r="C220" s="62"/>
      <x:c r="D220"/>
      <x:c r="E220"/>
      <x:c r="F220"/>
      <x:c r="G220" s="84"/>
      <x:c r="H220"/>
      <x:c r="I220"/>
      <x:c r="J220"/>
      <x:c r="K220"/>
      <x:c r="L220"/>
      <x:c r="M220"/>
      <x:c r="N220"/>
      <x:c r="O220">
        <x:f t="shared" si="1"/>
      </x:c>
      <x:c r="P220">
        <x:f t="shared" si="2"/>
      </x:c>
      <x:c r="Q220"/>
      <x:c r="R220"/>
      <x:c r="S220"/>
    </x:row>
    <x:row r="221" ht="15.75" customHeight="1">
      <x:c r="A221">
        <x:f t="shared" si="3"/>
      </x:c>
      <x:c r="B221"/>
      <x:c r="C221" s="62"/>
      <x:c r="D221"/>
      <x:c r="E221"/>
      <x:c r="F221"/>
      <x:c r="G221" s="84"/>
      <x:c r="H221"/>
      <x:c r="I221"/>
      <x:c r="J221"/>
      <x:c r="K221"/>
      <x:c r="L221"/>
      <x:c r="M221"/>
      <x:c r="N221"/>
      <x:c r="O221">
        <x:f t="shared" si="1"/>
      </x:c>
      <x:c r="P221">
        <x:f t="shared" si="2"/>
      </x:c>
      <x:c r="Q221"/>
      <x:c r="R221"/>
      <x:c r="S221"/>
    </x:row>
    <x:row r="222" ht="15.75" customHeight="1">
      <x:c r="A222">
        <x:f t="shared" si="3"/>
      </x:c>
      <x:c r="B222"/>
      <x:c r="C222" s="62"/>
      <x:c r="D222"/>
      <x:c r="E222"/>
      <x:c r="F222"/>
      <x:c r="G222" s="84"/>
      <x:c r="H222"/>
      <x:c r="I222"/>
      <x:c r="J222"/>
      <x:c r="K222"/>
      <x:c r="L222"/>
      <x:c r="M222"/>
      <x:c r="N222"/>
      <x:c r="O222">
        <x:f t="shared" si="1"/>
      </x:c>
      <x:c r="P222">
        <x:f t="shared" si="2"/>
      </x:c>
      <x:c r="Q222"/>
      <x:c r="R222"/>
      <x:c r="S222"/>
    </x:row>
    <x:row r="223" ht="15.75" customHeight="1">
      <x:c r="A223">
        <x:f t="shared" si="3"/>
      </x:c>
      <x:c r="B223"/>
      <x:c r="C223" s="62"/>
      <x:c r="D223"/>
      <x:c r="E223"/>
      <x:c r="F223"/>
      <x:c r="G223" s="84"/>
      <x:c r="H223"/>
      <x:c r="I223"/>
      <x:c r="J223"/>
      <x:c r="K223"/>
      <x:c r="L223"/>
      <x:c r="M223"/>
      <x:c r="N223"/>
      <x:c r="O223">
        <x:f t="shared" si="1"/>
      </x:c>
      <x:c r="P223">
        <x:f t="shared" si="2"/>
      </x:c>
      <x:c r="Q223"/>
      <x:c r="R223"/>
      <x:c r="S223"/>
    </x:row>
    <x:row r="224" ht="15.75" customHeight="1">
      <x:c r="A224">
        <x:f t="shared" si="3"/>
      </x:c>
      <x:c r="B224"/>
      <x:c r="C224" s="62"/>
      <x:c r="D224"/>
      <x:c r="E224"/>
      <x:c r="F224"/>
      <x:c r="G224" s="84"/>
      <x:c r="H224"/>
      <x:c r="I224"/>
      <x:c r="J224"/>
      <x:c r="K224"/>
      <x:c r="L224"/>
      <x:c r="M224"/>
      <x:c r="N224"/>
      <x:c r="O224">
        <x:f t="shared" si="1"/>
      </x:c>
      <x:c r="P224">
        <x:f t="shared" si="2"/>
      </x:c>
      <x:c r="Q224"/>
      <x:c r="R224"/>
      <x:c r="S224"/>
    </x:row>
    <x:row r="225" ht="15.75" customHeight="1">
      <x:c r="A225">
        <x:f t="shared" si="3"/>
      </x:c>
      <x:c r="B225"/>
      <x:c r="C225" s="62"/>
      <x:c r="D225"/>
      <x:c r="E225"/>
      <x:c r="F225"/>
      <x:c r="G225" s="84"/>
      <x:c r="H225"/>
      <x:c r="I225"/>
      <x:c r="J225"/>
      <x:c r="K225"/>
      <x:c r="L225"/>
      <x:c r="M225"/>
      <x:c r="N225"/>
      <x:c r="O225">
        <x:f t="shared" si="1"/>
      </x:c>
      <x:c r="P225">
        <x:f t="shared" si="2"/>
      </x:c>
      <x:c r="Q225"/>
      <x:c r="R225"/>
      <x:c r="S225"/>
    </x:row>
    <x:row r="226" ht="15.75" customHeight="1">
      <x:c r="A226">
        <x:f t="shared" si="3"/>
      </x:c>
      <x:c r="B226"/>
      <x:c r="C226" s="62"/>
      <x:c r="D226"/>
      <x:c r="E226"/>
      <x:c r="F226"/>
      <x:c r="G226" s="84"/>
      <x:c r="H226"/>
      <x:c r="I226"/>
      <x:c r="J226"/>
      <x:c r="K226"/>
      <x:c r="L226"/>
      <x:c r="M226"/>
      <x:c r="N226"/>
      <x:c r="O226">
        <x:f t="shared" si="1"/>
      </x:c>
      <x:c r="P226">
        <x:f t="shared" si="2"/>
      </x:c>
      <x:c r="Q226"/>
      <x:c r="R226"/>
      <x:c r="S226"/>
    </x:row>
    <x:row r="227" ht="15.75" customHeight="1">
      <x:c r="A227">
        <x:f t="shared" si="3"/>
      </x:c>
      <x:c r="B227"/>
      <x:c r="C227" s="62"/>
      <x:c r="D227"/>
      <x:c r="E227"/>
      <x:c r="F227"/>
      <x:c r="G227" s="84"/>
      <x:c r="H227"/>
      <x:c r="I227"/>
      <x:c r="J227"/>
      <x:c r="K227"/>
      <x:c r="L227"/>
      <x:c r="M227"/>
      <x:c r="N227"/>
      <x:c r="O227">
        <x:f t="shared" si="1"/>
      </x:c>
      <x:c r="P227">
        <x:f t="shared" si="2"/>
      </x:c>
      <x:c r="Q227"/>
      <x:c r="R227"/>
      <x:c r="S227"/>
    </x:row>
    <x:row r="228" ht="15.75" customHeight="1">
      <x:c r="A228">
        <x:f t="shared" si="3"/>
      </x:c>
      <x:c r="B228"/>
      <x:c r="C228" s="62"/>
      <x:c r="D228"/>
      <x:c r="E228"/>
      <x:c r="F228"/>
      <x:c r="G228" s="84"/>
      <x:c r="H228"/>
      <x:c r="I228"/>
      <x:c r="J228"/>
      <x:c r="K228"/>
      <x:c r="L228"/>
      <x:c r="M228"/>
      <x:c r="N228"/>
      <x:c r="O228">
        <x:f t="shared" si="1"/>
      </x:c>
      <x:c r="P228">
        <x:f t="shared" si="2"/>
      </x:c>
      <x:c r="Q228"/>
      <x:c r="R228"/>
      <x:c r="S228"/>
    </x:row>
    <x:row r="229" ht="15.75" customHeight="1">
      <x:c r="A229">
        <x:f t="shared" si="3"/>
      </x:c>
      <x:c r="B229"/>
      <x:c r="C229" s="62"/>
      <x:c r="D229"/>
      <x:c r="E229"/>
      <x:c r="F229"/>
      <x:c r="G229" s="84"/>
      <x:c r="H229"/>
      <x:c r="I229"/>
      <x:c r="J229"/>
      <x:c r="K229"/>
      <x:c r="L229"/>
      <x:c r="M229"/>
      <x:c r="N229"/>
      <x:c r="O229">
        <x:f t="shared" si="1"/>
      </x:c>
      <x:c r="P229">
        <x:f t="shared" si="2"/>
      </x:c>
      <x:c r="Q229"/>
      <x:c r="R229"/>
      <x:c r="S229"/>
    </x:row>
    <x:row r="230" ht="15.75" customHeight="1">
      <x:c r="A230">
        <x:f t="shared" si="3"/>
      </x:c>
      <x:c r="B230"/>
      <x:c r="C230" s="62"/>
      <x:c r="D230"/>
      <x:c r="E230"/>
      <x:c r="F230"/>
      <x:c r="G230" s="84"/>
      <x:c r="H230"/>
      <x:c r="I230"/>
      <x:c r="J230"/>
      <x:c r="K230"/>
      <x:c r="L230"/>
      <x:c r="M230"/>
      <x:c r="N230"/>
      <x:c r="O230">
        <x:f t="shared" si="1"/>
      </x:c>
      <x:c r="P230">
        <x:f t="shared" si="2"/>
      </x:c>
      <x:c r="Q230"/>
      <x:c r="R230"/>
      <x:c r="S230"/>
    </x:row>
    <x:row r="231" ht="15.75" customHeight="1">
      <x:c r="A231">
        <x:f t="shared" si="3"/>
      </x:c>
      <x:c r="B231"/>
      <x:c r="C231" s="62"/>
      <x:c r="D231"/>
      <x:c r="E231"/>
      <x:c r="F231"/>
      <x:c r="G231" s="84"/>
      <x:c r="H231"/>
      <x:c r="I231"/>
      <x:c r="J231"/>
      <x:c r="K231"/>
      <x:c r="L231"/>
      <x:c r="M231"/>
      <x:c r="N231"/>
      <x:c r="O231">
        <x:f t="shared" si="1"/>
      </x:c>
      <x:c r="P231">
        <x:f t="shared" si="2"/>
      </x:c>
      <x:c r="Q231"/>
      <x:c r="R231"/>
      <x:c r="S231"/>
    </x:row>
    <x:row r="232" ht="15.75" customHeight="1">
      <x:c r="A232">
        <x:f t="shared" si="3"/>
      </x:c>
      <x:c r="B232"/>
      <x:c r="C232" s="62"/>
      <x:c r="D232"/>
      <x:c r="E232"/>
      <x:c r="F232"/>
      <x:c r="G232" s="84"/>
      <x:c r="H232"/>
      <x:c r="I232"/>
      <x:c r="J232"/>
      <x:c r="K232"/>
      <x:c r="L232"/>
      <x:c r="M232"/>
      <x:c r="N232"/>
      <x:c r="O232">
        <x:f t="shared" si="1"/>
      </x:c>
      <x:c r="P232">
        <x:f t="shared" si="2"/>
      </x:c>
      <x:c r="Q232"/>
      <x:c r="R232"/>
      <x:c r="S232"/>
    </x:row>
    <x:row r="233" ht="15.75" customHeight="1">
      <x:c r="A233">
        <x:f t="shared" si="3"/>
      </x:c>
      <x:c r="B233"/>
      <x:c r="C233" s="62"/>
      <x:c r="D233"/>
      <x:c r="E233"/>
      <x:c r="F233"/>
      <x:c r="G233" s="84"/>
      <x:c r="H233"/>
      <x:c r="I233"/>
      <x:c r="J233"/>
      <x:c r="K233"/>
      <x:c r="L233"/>
      <x:c r="M233"/>
      <x:c r="N233"/>
      <x:c r="O233">
        <x:f t="shared" si="1"/>
      </x:c>
      <x:c r="P233">
        <x:f t="shared" si="2"/>
      </x:c>
      <x:c r="Q233"/>
      <x:c r="R233"/>
      <x:c r="S233"/>
    </x:row>
    <x:row r="234" ht="15.75" customHeight="1">
      <x:c r="A234">
        <x:f t="shared" si="3"/>
      </x:c>
      <x:c r="B234"/>
      <x:c r="C234" s="62"/>
      <x:c r="D234"/>
      <x:c r="E234"/>
      <x:c r="F234"/>
      <x:c r="G234" s="84"/>
      <x:c r="H234"/>
      <x:c r="I234"/>
      <x:c r="J234"/>
      <x:c r="K234"/>
      <x:c r="L234"/>
      <x:c r="M234"/>
      <x:c r="N234"/>
      <x:c r="O234">
        <x:f t="shared" si="1"/>
      </x:c>
      <x:c r="P234">
        <x:f t="shared" si="2"/>
      </x:c>
      <x:c r="Q234"/>
      <x:c r="R234"/>
      <x:c r="S234"/>
    </x:row>
    <x:row r="235" ht="15.75" customHeight="1">
      <x:c r="A235">
        <x:f t="shared" si="3"/>
      </x:c>
      <x:c r="B235"/>
      <x:c r="C235" s="62"/>
      <x:c r="D235"/>
      <x:c r="E235"/>
      <x:c r="F235"/>
      <x:c r="G235" s="84"/>
      <x:c r="H235"/>
      <x:c r="I235"/>
      <x:c r="J235"/>
      <x:c r="K235"/>
      <x:c r="L235"/>
      <x:c r="M235"/>
      <x:c r="N235"/>
      <x:c r="O235">
        <x:f t="shared" si="1"/>
      </x:c>
      <x:c r="P235">
        <x:f t="shared" si="2"/>
      </x:c>
      <x:c r="Q235"/>
      <x:c r="R235"/>
      <x:c r="S235"/>
    </x:row>
    <x:row r="236" ht="15.75" customHeight="1">
      <x:c r="A236">
        <x:f t="shared" si="3"/>
      </x:c>
      <x:c r="B236"/>
      <x:c r="C236" s="62"/>
      <x:c r="D236"/>
      <x:c r="E236"/>
      <x:c r="F236"/>
      <x:c r="G236" s="84"/>
      <x:c r="H236"/>
      <x:c r="I236"/>
      <x:c r="J236"/>
      <x:c r="K236"/>
      <x:c r="L236"/>
      <x:c r="M236"/>
      <x:c r="N236"/>
      <x:c r="O236">
        <x:f t="shared" si="1"/>
      </x:c>
      <x:c r="P236">
        <x:f t="shared" si="2"/>
      </x:c>
      <x:c r="Q236"/>
      <x:c r="R236"/>
      <x:c r="S236"/>
    </x:row>
    <x:row r="237" ht="15.75" customHeight="1">
      <x:c r="A237">
        <x:f t="shared" si="3"/>
      </x:c>
      <x:c r="B237"/>
      <x:c r="C237" s="62"/>
      <x:c r="D237"/>
      <x:c r="E237"/>
      <x:c r="F237"/>
      <x:c r="G237" s="84"/>
      <x:c r="H237"/>
      <x:c r="I237"/>
      <x:c r="J237"/>
      <x:c r="K237"/>
      <x:c r="L237"/>
      <x:c r="M237"/>
      <x:c r="N237"/>
      <x:c r="O237">
        <x:f t="shared" si="1"/>
      </x:c>
      <x:c r="P237">
        <x:f t="shared" si="2"/>
      </x:c>
      <x:c r="Q237"/>
      <x:c r="R237"/>
      <x:c r="S237"/>
    </x:row>
    <x:row r="238" ht="15.75" customHeight="1">
      <x:c r="A238">
        <x:f t="shared" si="3"/>
      </x:c>
      <x:c r="B238"/>
      <x:c r="C238" s="62"/>
      <x:c r="D238"/>
      <x:c r="E238"/>
      <x:c r="F238"/>
      <x:c r="G238" s="84"/>
      <x:c r="H238"/>
      <x:c r="I238"/>
      <x:c r="J238"/>
      <x:c r="K238"/>
      <x:c r="L238"/>
      <x:c r="M238"/>
      <x:c r="N238"/>
      <x:c r="O238">
        <x:f t="shared" si="1"/>
      </x:c>
      <x:c r="P238">
        <x:f t="shared" si="2"/>
      </x:c>
      <x:c r="Q238"/>
      <x:c r="R238"/>
      <x:c r="S238"/>
    </x:row>
    <x:row r="239" ht="15.75" customHeight="1">
      <x:c r="A239">
        <x:f t="shared" si="3"/>
      </x:c>
      <x:c r="B239"/>
      <x:c r="C239" s="62"/>
      <x:c r="D239"/>
      <x:c r="E239"/>
      <x:c r="F239"/>
      <x:c r="G239" s="84"/>
      <x:c r="H239"/>
      <x:c r="I239"/>
      <x:c r="J239"/>
      <x:c r="K239"/>
      <x:c r="L239"/>
      <x:c r="M239"/>
      <x:c r="N239"/>
      <x:c r="O239">
        <x:f t="shared" si="1"/>
      </x:c>
      <x:c r="P239">
        <x:f t="shared" si="2"/>
      </x:c>
      <x:c r="Q239"/>
      <x:c r="R239"/>
      <x:c r="S239"/>
    </x:row>
    <x:row r="240" ht="15.75" customHeight="1">
      <x:c r="A240">
        <x:f t="shared" si="3"/>
      </x:c>
      <x:c r="B240"/>
      <x:c r="C240" s="62"/>
      <x:c r="D240"/>
      <x:c r="E240"/>
      <x:c r="F240"/>
      <x:c r="G240" s="84"/>
      <x:c r="H240"/>
      <x:c r="I240"/>
      <x:c r="J240"/>
      <x:c r="K240"/>
      <x:c r="L240"/>
      <x:c r="M240"/>
      <x:c r="N240"/>
      <x:c r="O240">
        <x:f t="shared" si="1"/>
      </x:c>
      <x:c r="P240">
        <x:f t="shared" si="2"/>
      </x:c>
      <x:c r="Q240"/>
      <x:c r="R240"/>
      <x:c r="S240"/>
    </x:row>
    <x:row r="241" ht="15.75" customHeight="1">
      <x:c r="A241">
        <x:f t="shared" si="3"/>
      </x:c>
      <x:c r="B241"/>
      <x:c r="C241" s="62"/>
      <x:c r="D241"/>
      <x:c r="E241"/>
      <x:c r="F241"/>
      <x:c r="G241" s="84"/>
      <x:c r="H241"/>
      <x:c r="I241"/>
      <x:c r="J241"/>
      <x:c r="K241"/>
      <x:c r="L241"/>
      <x:c r="M241"/>
      <x:c r="N241"/>
      <x:c r="O241">
        <x:f t="shared" si="1"/>
      </x:c>
      <x:c r="P241">
        <x:f t="shared" si="2"/>
      </x:c>
      <x:c r="Q241"/>
      <x:c r="R241"/>
      <x:c r="S241"/>
    </x:row>
    <x:row r="242" ht="15.75" customHeight="1">
      <x:c r="A242">
        <x:f t="shared" si="3"/>
      </x:c>
      <x:c r="B242"/>
      <x:c r="C242" s="62"/>
      <x:c r="D242"/>
      <x:c r="E242"/>
      <x:c r="F242"/>
      <x:c r="G242" s="84"/>
      <x:c r="H242"/>
      <x:c r="I242"/>
      <x:c r="J242"/>
      <x:c r="K242"/>
      <x:c r="L242"/>
      <x:c r="M242"/>
      <x:c r="N242"/>
      <x:c r="O242">
        <x:f t="shared" si="1"/>
      </x:c>
      <x:c r="P242">
        <x:f t="shared" si="2"/>
      </x:c>
      <x:c r="Q242"/>
      <x:c r="R242"/>
      <x:c r="S242"/>
    </x:row>
    <x:row r="243" ht="15.75" customHeight="1">
      <x:c r="A243">
        <x:f t="shared" si="3"/>
      </x:c>
      <x:c r="B243"/>
      <x:c r="C243" s="62"/>
      <x:c r="D243"/>
      <x:c r="E243"/>
      <x:c r="F243"/>
      <x:c r="G243" s="84"/>
      <x:c r="H243"/>
      <x:c r="I243"/>
      <x:c r="J243"/>
      <x:c r="K243"/>
      <x:c r="L243"/>
      <x:c r="M243"/>
      <x:c r="N243"/>
      <x:c r="O243">
        <x:f t="shared" si="1"/>
      </x:c>
      <x:c r="P243">
        <x:f t="shared" si="2"/>
      </x:c>
      <x:c r="Q243"/>
      <x:c r="R243"/>
      <x:c r="S243"/>
    </x:row>
    <x:row r="244" ht="15.75" customHeight="1">
      <x:c r="A244">
        <x:f t="shared" si="3"/>
      </x:c>
      <x:c r="B244"/>
      <x:c r="C244" s="62"/>
      <x:c r="D244"/>
      <x:c r="E244"/>
      <x:c r="F244"/>
      <x:c r="G244" s="84"/>
      <x:c r="H244"/>
      <x:c r="I244"/>
      <x:c r="J244"/>
      <x:c r="K244"/>
      <x:c r="L244"/>
      <x:c r="M244"/>
      <x:c r="N244"/>
      <x:c r="O244">
        <x:f t="shared" si="1"/>
      </x:c>
      <x:c r="P244">
        <x:f t="shared" si="2"/>
      </x:c>
      <x:c r="Q244"/>
      <x:c r="R244"/>
      <x:c r="S244"/>
    </x:row>
    <x:row r="245" ht="15.75" customHeight="1">
      <x:c r="A245">
        <x:f t="shared" si="3"/>
      </x:c>
      <x:c r="B245"/>
      <x:c r="C245" s="62"/>
      <x:c r="D245"/>
      <x:c r="E245"/>
      <x:c r="F245"/>
      <x:c r="G245" s="84"/>
      <x:c r="H245"/>
      <x:c r="I245"/>
      <x:c r="J245"/>
      <x:c r="K245"/>
      <x:c r="L245"/>
      <x:c r="M245"/>
      <x:c r="N245"/>
      <x:c r="O245">
        <x:f t="shared" si="1"/>
      </x:c>
      <x:c r="P245">
        <x:f t="shared" si="2"/>
      </x:c>
      <x:c r="Q245"/>
      <x:c r="R245"/>
      <x:c r="S245"/>
    </x:row>
    <x:row r="246" ht="15.75" customHeight="1">
      <x:c r="A246">
        <x:f t="shared" si="3"/>
      </x:c>
      <x:c r="B246"/>
      <x:c r="C246" s="62"/>
      <x:c r="D246"/>
      <x:c r="E246"/>
      <x:c r="F246"/>
      <x:c r="G246" s="84"/>
      <x:c r="H246"/>
      <x:c r="I246"/>
      <x:c r="J246"/>
      <x:c r="K246"/>
      <x:c r="L246"/>
      <x:c r="M246"/>
      <x:c r="N246"/>
      <x:c r="O246">
        <x:f t="shared" si="1"/>
      </x:c>
      <x:c r="P246">
        <x:f t="shared" si="2"/>
      </x:c>
      <x:c r="Q246"/>
      <x:c r="R246"/>
      <x:c r="S246"/>
    </x:row>
    <x:row r="247" ht="15.75" customHeight="1">
      <x:c r="A247">
        <x:f t="shared" si="3"/>
      </x:c>
      <x:c r="B247"/>
      <x:c r="C247" s="62"/>
      <x:c r="D247"/>
      <x:c r="E247"/>
      <x:c r="F247"/>
      <x:c r="G247" s="84"/>
      <x:c r="H247"/>
      <x:c r="I247"/>
      <x:c r="J247"/>
      <x:c r="K247"/>
      <x:c r="L247"/>
      <x:c r="M247"/>
      <x:c r="N247"/>
      <x:c r="O247">
        <x:f t="shared" si="1"/>
      </x:c>
      <x:c r="P247">
        <x:f t="shared" si="2"/>
      </x:c>
      <x:c r="Q247"/>
      <x:c r="R247"/>
      <x:c r="S247"/>
    </x:row>
    <x:row r="248" ht="15.75" customHeight="1">
      <x:c r="A248">
        <x:f t="shared" si="3"/>
      </x:c>
      <x:c r="B248"/>
      <x:c r="C248" s="62"/>
      <x:c r="D248"/>
      <x:c r="E248"/>
      <x:c r="F248"/>
      <x:c r="G248" s="84"/>
      <x:c r="H248"/>
      <x:c r="I248"/>
      <x:c r="J248"/>
      <x:c r="K248"/>
      <x:c r="L248"/>
      <x:c r="M248"/>
      <x:c r="N248"/>
      <x:c r="O248">
        <x:f t="shared" si="1"/>
      </x:c>
      <x:c r="P248">
        <x:f t="shared" si="2"/>
      </x:c>
      <x:c r="Q248"/>
      <x:c r="R248"/>
      <x:c r="S248"/>
    </x:row>
    <x:row r="249" ht="15.75" customHeight="1">
      <x:c r="A249">
        <x:f t="shared" si="3"/>
      </x:c>
      <x:c r="B249"/>
      <x:c r="C249" s="62"/>
      <x:c r="D249"/>
      <x:c r="E249"/>
      <x:c r="F249"/>
      <x:c r="G249" s="84"/>
      <x:c r="H249"/>
      <x:c r="I249"/>
      <x:c r="J249"/>
      <x:c r="K249"/>
      <x:c r="L249"/>
      <x:c r="M249"/>
      <x:c r="N249"/>
      <x:c r="O249">
        <x:f t="shared" si="1"/>
      </x:c>
      <x:c r="P249">
        <x:f t="shared" si="2"/>
      </x:c>
      <x:c r="Q249"/>
      <x:c r="R249"/>
      <x:c r="S249"/>
    </x:row>
    <x:row r="250" ht="15.75" customHeight="1">
      <x:c r="A250">
        <x:f t="shared" si="3"/>
      </x:c>
      <x:c r="B250"/>
      <x:c r="C250" s="62"/>
      <x:c r="D250"/>
      <x:c r="E250"/>
      <x:c r="F250"/>
      <x:c r="G250" s="84"/>
      <x:c r="H250"/>
      <x:c r="I250"/>
      <x:c r="J250"/>
      <x:c r="K250"/>
      <x:c r="L250"/>
      <x:c r="M250"/>
      <x:c r="N250"/>
      <x:c r="O250">
        <x:f t="shared" si="1"/>
      </x:c>
      <x:c r="P250">
        <x:f t="shared" si="2"/>
      </x:c>
      <x:c r="Q250"/>
      <x:c r="R250"/>
      <x:c r="S250"/>
    </x:row>
    <x:row r="251" ht="15.75" customHeight="1">
      <x:c r="A251">
        <x:f t="shared" si="3"/>
      </x:c>
      <x:c r="B251"/>
      <x:c r="C251" s="62"/>
      <x:c r="D251"/>
      <x:c r="E251"/>
      <x:c r="F251"/>
      <x:c r="G251" s="84"/>
      <x:c r="H251"/>
      <x:c r="I251"/>
      <x:c r="J251"/>
      <x:c r="K251"/>
      <x:c r="L251"/>
      <x:c r="M251"/>
      <x:c r="N251"/>
      <x:c r="O251">
        <x:f t="shared" si="1"/>
      </x:c>
      <x:c r="P251">
        <x:f t="shared" si="2"/>
      </x:c>
      <x:c r="Q251"/>
      <x:c r="R251"/>
      <x:c r="S251"/>
    </x:row>
    <x:row r="252" ht="15.75" customHeight="1">
      <x:c r="A252">
        <x:f t="shared" si="3"/>
      </x:c>
      <x:c r="B252"/>
      <x:c r="C252" s="62"/>
      <x:c r="D252"/>
      <x:c r="E252"/>
      <x:c r="F252"/>
      <x:c r="G252" s="84"/>
      <x:c r="H252"/>
      <x:c r="I252"/>
      <x:c r="J252"/>
      <x:c r="K252"/>
      <x:c r="L252"/>
      <x:c r="M252"/>
      <x:c r="N252"/>
      <x:c r="O252">
        <x:f t="shared" si="1"/>
      </x:c>
      <x:c r="P252">
        <x:f t="shared" si="2"/>
      </x:c>
      <x:c r="Q252"/>
      <x:c r="R252"/>
      <x:c r="S252"/>
    </x:row>
    <x:row r="253" ht="15.75" customHeight="1">
      <x:c r="A253">
        <x:f t="shared" si="3"/>
      </x:c>
      <x:c r="B253"/>
      <x:c r="C253" s="62"/>
      <x:c r="D253"/>
      <x:c r="E253"/>
      <x:c r="F253"/>
      <x:c r="G253" s="84"/>
      <x:c r="H253"/>
      <x:c r="I253"/>
      <x:c r="J253"/>
      <x:c r="K253"/>
      <x:c r="L253"/>
      <x:c r="M253"/>
      <x:c r="N253"/>
      <x:c r="O253">
        <x:f t="shared" si="1"/>
      </x:c>
      <x:c r="P253">
        <x:f t="shared" si="2"/>
      </x:c>
      <x:c r="Q253"/>
      <x:c r="R253"/>
      <x:c r="S253"/>
    </x:row>
    <x:row r="254" ht="15.75" customHeight="1">
      <x:c r="A254">
        <x:f t="shared" si="3"/>
      </x:c>
      <x:c r="B254"/>
      <x:c r="C254" s="62"/>
      <x:c r="D254"/>
      <x:c r="E254"/>
      <x:c r="F254"/>
      <x:c r="G254" s="84"/>
      <x:c r="H254"/>
      <x:c r="I254"/>
      <x:c r="J254"/>
      <x:c r="K254"/>
      <x:c r="L254"/>
      <x:c r="M254"/>
      <x:c r="N254"/>
      <x:c r="O254">
        <x:f t="shared" si="1"/>
      </x:c>
      <x:c r="P254">
        <x:f t="shared" si="2"/>
      </x:c>
      <x:c r="Q254"/>
      <x:c r="R254"/>
      <x:c r="S254"/>
    </x:row>
    <x:row r="255" ht="15.75" customHeight="1">
      <x:c r="A255">
        <x:f t="shared" si="3"/>
      </x:c>
      <x:c r="B255"/>
      <x:c r="C255" s="62"/>
      <x:c r="D255"/>
      <x:c r="E255"/>
      <x:c r="F255"/>
      <x:c r="G255" s="84"/>
      <x:c r="H255"/>
      <x:c r="I255"/>
      <x:c r="J255"/>
      <x:c r="K255"/>
      <x:c r="L255"/>
      <x:c r="M255"/>
      <x:c r="N255"/>
      <x:c r="O255">
        <x:f t="shared" si="1"/>
      </x:c>
      <x:c r="P255">
        <x:f t="shared" si="2"/>
      </x:c>
      <x:c r="Q255"/>
      <x:c r="R255"/>
      <x:c r="S255"/>
    </x:row>
    <x:row r="256" ht="15.75" customHeight="1">
      <x:c r="A256">
        <x:f t="shared" si="3"/>
      </x:c>
      <x:c r="B256"/>
      <x:c r="C256" s="62"/>
      <x:c r="D256"/>
      <x:c r="E256"/>
      <x:c r="F256"/>
      <x:c r="G256" s="84"/>
      <x:c r="H256"/>
      <x:c r="I256"/>
      <x:c r="J256"/>
      <x:c r="K256"/>
      <x:c r="L256"/>
      <x:c r="M256"/>
      <x:c r="N256"/>
      <x:c r="O256">
        <x:f t="shared" si="1"/>
      </x:c>
      <x:c r="P256">
        <x:f t="shared" si="2"/>
      </x:c>
      <x:c r="Q256"/>
      <x:c r="R256"/>
      <x:c r="S256"/>
    </x:row>
    <x:row r="257" ht="15.75" customHeight="1">
      <x:c r="A257">
        <x:f t="shared" si="3"/>
      </x:c>
      <x:c r="B257"/>
      <x:c r="C257" s="62"/>
      <x:c r="D257"/>
      <x:c r="E257"/>
      <x:c r="F257"/>
      <x:c r="G257" s="84"/>
      <x:c r="H257"/>
      <x:c r="I257"/>
      <x:c r="J257"/>
      <x:c r="K257"/>
      <x:c r="L257"/>
      <x:c r="M257"/>
      <x:c r="N257"/>
      <x:c r="O257">
        <x:f t="shared" si="1"/>
      </x:c>
      <x:c r="P257">
        <x:f t="shared" si="2"/>
      </x:c>
      <x:c r="Q257"/>
      <x:c r="R257"/>
      <x:c r="S257"/>
    </x:row>
    <x:row r="258" ht="15.75" customHeight="1">
      <x:c r="A258">
        <x:f t="shared" si="3"/>
      </x:c>
      <x:c r="B258"/>
      <x:c r="C258" s="62"/>
      <x:c r="D258"/>
      <x:c r="E258"/>
      <x:c r="F258"/>
      <x:c r="G258" s="84"/>
      <x:c r="H258"/>
      <x:c r="I258"/>
      <x:c r="J258"/>
      <x:c r="K258"/>
      <x:c r="L258"/>
      <x:c r="M258"/>
      <x:c r="N258"/>
      <x:c r="O258">
        <x:f t="shared" si="1"/>
      </x:c>
      <x:c r="P258">
        <x:f t="shared" si="2"/>
      </x:c>
      <x:c r="Q258"/>
      <x:c r="R258"/>
      <x:c r="S258"/>
    </x:row>
    <x:row r="259" ht="15.75" customHeight="1">
      <x:c r="A259">
        <x:f t="shared" si="3"/>
      </x:c>
      <x:c r="B259"/>
      <x:c r="C259" s="62"/>
      <x:c r="D259"/>
      <x:c r="E259"/>
      <x:c r="F259"/>
      <x:c r="G259" s="84"/>
      <x:c r="H259"/>
      <x:c r="I259"/>
      <x:c r="J259"/>
      <x:c r="K259"/>
      <x:c r="L259"/>
      <x:c r="M259"/>
      <x:c r="N259"/>
      <x:c r="O259">
        <x:f t="shared" si="1"/>
      </x:c>
      <x:c r="P259">
        <x:f t="shared" si="2"/>
      </x:c>
      <x:c r="Q259"/>
      <x:c r="R259"/>
      <x:c r="S259"/>
    </x:row>
    <x:row r="260" ht="15.75" customHeight="1">
      <x:c r="A260">
        <x:f t="shared" si="3"/>
      </x:c>
      <x:c r="B260"/>
      <x:c r="C260" s="62"/>
      <x:c r="D260"/>
      <x:c r="E260"/>
      <x:c r="F260"/>
      <x:c r="G260" s="84"/>
      <x:c r="H260"/>
      <x:c r="I260"/>
      <x:c r="J260"/>
      <x:c r="K260"/>
      <x:c r="L260"/>
      <x:c r="M260"/>
      <x:c r="N260"/>
      <x:c r="O260">
        <x:f t="shared" si="1"/>
      </x:c>
      <x:c r="P260">
        <x:f t="shared" si="2"/>
      </x:c>
      <x:c r="Q260"/>
      <x:c r="R260"/>
      <x:c r="S260"/>
    </x:row>
    <x:row r="261" ht="15.75" customHeight="1">
      <x:c r="A261">
        <x:f t="shared" si="3"/>
      </x:c>
      <x:c r="B261"/>
      <x:c r="C261" s="62"/>
      <x:c r="D261"/>
      <x:c r="E261"/>
      <x:c r="F261"/>
      <x:c r="G261" s="84"/>
      <x:c r="H261"/>
      <x:c r="I261"/>
      <x:c r="J261"/>
      <x:c r="K261"/>
      <x:c r="L261"/>
      <x:c r="M261"/>
      <x:c r="N261"/>
      <x:c r="O261">
        <x:f t="shared" si="1"/>
      </x:c>
      <x:c r="P261">
        <x:f t="shared" si="2"/>
      </x:c>
      <x:c r="Q261"/>
      <x:c r="R261"/>
      <x:c r="S261"/>
    </x:row>
    <x:row r="262" ht="15.75" customHeight="1">
      <x:c r="A262">
        <x:f t="shared" si="3"/>
      </x:c>
      <x:c r="B262"/>
      <x:c r="C262" s="62"/>
      <x:c r="D262"/>
      <x:c r="E262"/>
      <x:c r="F262"/>
      <x:c r="G262" s="84"/>
      <x:c r="H262"/>
      <x:c r="I262"/>
      <x:c r="J262"/>
      <x:c r="K262"/>
      <x:c r="L262"/>
      <x:c r="M262"/>
      <x:c r="N262"/>
      <x:c r="O262">
        <x:f t="shared" si="1"/>
      </x:c>
      <x:c r="P262">
        <x:f t="shared" si="2"/>
      </x:c>
      <x:c r="Q262"/>
      <x:c r="R262"/>
      <x:c r="S262"/>
    </x:row>
    <x:row r="263" ht="15.75" customHeight="1">
      <x:c r="A263">
        <x:f t="shared" si="3"/>
      </x:c>
      <x:c r="B263"/>
      <x:c r="C263" s="62"/>
      <x:c r="D263"/>
      <x:c r="E263"/>
      <x:c r="F263"/>
      <x:c r="G263" s="84"/>
      <x:c r="H263"/>
      <x:c r="I263"/>
      <x:c r="J263"/>
      <x:c r="K263"/>
      <x:c r="L263"/>
      <x:c r="M263"/>
      <x:c r="N263"/>
      <x:c r="O263">
        <x:f t="shared" si="1"/>
      </x:c>
      <x:c r="P263">
        <x:f t="shared" si="2"/>
      </x:c>
      <x:c r="Q263"/>
      <x:c r="R263"/>
      <x:c r="S263"/>
    </x:row>
    <x:row r="264" ht="15.75" customHeight="1">
      <x:c r="A264">
        <x:f t="shared" si="3"/>
      </x:c>
      <x:c r="B264"/>
      <x:c r="C264" s="62"/>
      <x:c r="D264"/>
      <x:c r="E264"/>
      <x:c r="F264"/>
      <x:c r="G264" s="84"/>
      <x:c r="H264"/>
      <x:c r="I264"/>
      <x:c r="J264"/>
      <x:c r="K264"/>
      <x:c r="L264"/>
      <x:c r="M264"/>
      <x:c r="N264"/>
      <x:c r="O264">
        <x:f t="shared" si="1"/>
      </x:c>
      <x:c r="P264">
        <x:f t="shared" si="2"/>
      </x:c>
      <x:c r="Q264"/>
      <x:c r="R264"/>
      <x:c r="S264"/>
    </x:row>
    <x:row r="265" ht="15.75" customHeight="1">
      <x:c r="A265">
        <x:f t="shared" si="3"/>
      </x:c>
      <x:c r="B265"/>
      <x:c r="C265" s="62"/>
      <x:c r="D265"/>
      <x:c r="E265"/>
      <x:c r="F265"/>
      <x:c r="G265" s="84"/>
      <x:c r="H265"/>
      <x:c r="I265"/>
      <x:c r="J265"/>
      <x:c r="K265"/>
      <x:c r="L265"/>
      <x:c r="M265"/>
      <x:c r="N265"/>
      <x:c r="O265">
        <x:f t="shared" si="1"/>
      </x:c>
      <x:c r="P265">
        <x:f t="shared" si="2"/>
      </x:c>
      <x:c r="Q265"/>
      <x:c r="R265"/>
      <x:c r="S265"/>
    </x:row>
    <x:row r="266" ht="15.75" customHeight="1">
      <x:c r="A266">
        <x:f t="shared" si="3"/>
      </x:c>
      <x:c r="B266"/>
      <x:c r="C266" s="62"/>
      <x:c r="D266"/>
      <x:c r="E266"/>
      <x:c r="F266"/>
      <x:c r="G266" s="84"/>
      <x:c r="H266"/>
      <x:c r="I266"/>
      <x:c r="J266"/>
      <x:c r="K266"/>
      <x:c r="L266"/>
      <x:c r="M266"/>
      <x:c r="N266"/>
      <x:c r="O266">
        <x:f t="shared" si="1"/>
      </x:c>
      <x:c r="P266">
        <x:f t="shared" si="2"/>
      </x:c>
      <x:c r="Q266"/>
      <x:c r="R266"/>
      <x:c r="S266"/>
    </x:row>
    <x:row r="267" ht="15.75" customHeight="1">
      <x:c r="A267">
        <x:f t="shared" si="3"/>
      </x:c>
      <x:c r="B267"/>
      <x:c r="C267" s="62"/>
      <x:c r="D267"/>
      <x:c r="E267"/>
      <x:c r="F267"/>
      <x:c r="G267" s="84"/>
      <x:c r="H267"/>
      <x:c r="I267"/>
      <x:c r="J267"/>
      <x:c r="K267"/>
      <x:c r="L267"/>
      <x:c r="M267"/>
      <x:c r="N267"/>
      <x:c r="O267">
        <x:f t="shared" si="1"/>
      </x:c>
      <x:c r="P267">
        <x:f t="shared" si="2"/>
      </x:c>
      <x:c r="Q267"/>
      <x:c r="R267"/>
      <x:c r="S267"/>
    </x:row>
    <x:row r="268" ht="15.75" customHeight="1">
      <x:c r="A268">
        <x:f t="shared" si="3"/>
      </x:c>
      <x:c r="B268"/>
      <x:c r="C268" s="62"/>
      <x:c r="D268"/>
      <x:c r="E268"/>
      <x:c r="F268"/>
      <x:c r="G268" s="84"/>
      <x:c r="H268"/>
      <x:c r="I268"/>
      <x:c r="J268"/>
      <x:c r="K268"/>
      <x:c r="L268"/>
      <x:c r="M268"/>
      <x:c r="N268"/>
      <x:c r="O268">
        <x:f t="shared" si="1"/>
      </x:c>
      <x:c r="P268">
        <x:f t="shared" si="2"/>
      </x:c>
      <x:c r="Q268"/>
      <x:c r="R268"/>
      <x:c r="S268"/>
    </x:row>
    <x:row r="269" ht="15.75" customHeight="1">
      <x:c r="A269">
        <x:f t="shared" si="3"/>
      </x:c>
      <x:c r="B269"/>
      <x:c r="C269" s="62"/>
      <x:c r="D269"/>
      <x:c r="E269"/>
      <x:c r="F269"/>
      <x:c r="G269" s="84"/>
      <x:c r="H269"/>
      <x:c r="I269"/>
      <x:c r="J269"/>
      <x:c r="K269"/>
      <x:c r="L269"/>
      <x:c r="M269"/>
      <x:c r="N269"/>
      <x:c r="O269">
        <x:f t="shared" si="1"/>
      </x:c>
      <x:c r="P269">
        <x:f t="shared" si="2"/>
      </x:c>
      <x:c r="Q269"/>
      <x:c r="R269"/>
      <x:c r="S269"/>
    </x:row>
    <x:row r="270" ht="15.75" customHeight="1">
      <x:c r="A270">
        <x:f t="shared" si="3"/>
      </x:c>
      <x:c r="B270"/>
      <x:c r="C270" s="62"/>
      <x:c r="D270"/>
      <x:c r="E270"/>
      <x:c r="F270"/>
      <x:c r="G270" s="84"/>
      <x:c r="H270"/>
      <x:c r="I270"/>
      <x:c r="J270"/>
      <x:c r="K270"/>
      <x:c r="L270"/>
      <x:c r="M270"/>
      <x:c r="N270"/>
      <x:c r="O270">
        <x:f t="shared" si="1"/>
      </x:c>
      <x:c r="P270">
        <x:f t="shared" si="2"/>
      </x:c>
      <x:c r="Q270"/>
      <x:c r="R270"/>
      <x:c r="S270"/>
    </x:row>
    <x:row r="271" ht="15.75" customHeight="1">
      <x:c r="A271">
        <x:f t="shared" si="3"/>
      </x:c>
      <x:c r="B271"/>
      <x:c r="C271" s="62"/>
      <x:c r="D271"/>
      <x:c r="E271"/>
      <x:c r="F271"/>
      <x:c r="G271" s="84"/>
      <x:c r="H271"/>
      <x:c r="I271"/>
      <x:c r="J271"/>
      <x:c r="K271"/>
      <x:c r="L271"/>
      <x:c r="M271"/>
      <x:c r="N271"/>
      <x:c r="O271">
        <x:f t="shared" si="1"/>
      </x:c>
      <x:c r="P271">
        <x:f t="shared" si="2"/>
      </x:c>
      <x:c r="Q271"/>
      <x:c r="R271"/>
      <x:c r="S271"/>
    </x:row>
    <x:row r="272" ht="15.75" customHeight="1">
      <x:c r="A272">
        <x:f t="shared" si="3"/>
      </x:c>
      <x:c r="B272"/>
      <x:c r="C272" s="62"/>
      <x:c r="D272"/>
      <x:c r="E272"/>
      <x:c r="F272"/>
      <x:c r="G272" s="84"/>
      <x:c r="H272"/>
      <x:c r="I272"/>
      <x:c r="J272"/>
      <x:c r="K272"/>
      <x:c r="L272"/>
      <x:c r="M272"/>
      <x:c r="N272"/>
      <x:c r="O272">
        <x:f t="shared" si="1"/>
      </x:c>
      <x:c r="P272">
        <x:f t="shared" si="2"/>
      </x:c>
      <x:c r="Q272"/>
      <x:c r="R272"/>
      <x:c r="S272"/>
    </x:row>
    <x:row r="273" ht="15.75" customHeight="1">
      <x:c r="A273">
        <x:f t="shared" si="3"/>
      </x:c>
      <x:c r="B273"/>
      <x:c r="C273" s="62"/>
      <x:c r="D273"/>
      <x:c r="E273"/>
      <x:c r="F273"/>
      <x:c r="G273" s="84"/>
      <x:c r="H273"/>
      <x:c r="I273"/>
      <x:c r="J273"/>
      <x:c r="K273"/>
      <x:c r="L273"/>
      <x:c r="M273"/>
      <x:c r="N273"/>
      <x:c r="O273">
        <x:f t="shared" si="1"/>
      </x:c>
      <x:c r="P273">
        <x:f t="shared" si="2"/>
      </x:c>
      <x:c r="Q273"/>
      <x:c r="R273"/>
      <x:c r="S273"/>
    </x:row>
    <x:row r="274" ht="15.75" customHeight="1">
      <x:c r="A274">
        <x:f t="shared" si="3"/>
      </x:c>
      <x:c r="B274"/>
      <x:c r="C274" s="62"/>
      <x:c r="D274"/>
      <x:c r="E274"/>
      <x:c r="F274"/>
      <x:c r="G274" s="84"/>
      <x:c r="H274"/>
      <x:c r="I274"/>
      <x:c r="J274"/>
      <x:c r="K274"/>
      <x:c r="L274"/>
      <x:c r="M274"/>
      <x:c r="N274"/>
      <x:c r="O274">
        <x:f t="shared" si="1"/>
      </x:c>
      <x:c r="P274">
        <x:f t="shared" si="2"/>
      </x:c>
      <x:c r="Q274"/>
      <x:c r="R274"/>
      <x:c r="S274"/>
    </x:row>
    <x:row r="275" ht="15.75" customHeight="1">
      <x:c r="A275">
        <x:f t="shared" si="3"/>
      </x:c>
      <x:c r="B275"/>
      <x:c r="C275" s="62"/>
      <x:c r="D275"/>
      <x:c r="E275"/>
      <x:c r="F275"/>
      <x:c r="G275" s="84"/>
      <x:c r="H275"/>
      <x:c r="I275"/>
      <x:c r="J275"/>
      <x:c r="K275"/>
      <x:c r="L275"/>
      <x:c r="M275"/>
      <x:c r="N275"/>
      <x:c r="O275">
        <x:f t="shared" si="1"/>
      </x:c>
      <x:c r="P275">
        <x:f t="shared" si="2"/>
      </x:c>
      <x:c r="Q275"/>
      <x:c r="R275"/>
      <x:c r="S275"/>
    </x:row>
    <x:row r="276" ht="15.75" customHeight="1">
      <x:c r="A276">
        <x:f t="shared" si="3"/>
      </x:c>
      <x:c r="B276"/>
      <x:c r="C276" s="62"/>
      <x:c r="D276"/>
      <x:c r="E276"/>
      <x:c r="F276"/>
      <x:c r="G276" s="84"/>
      <x:c r="H276"/>
      <x:c r="I276"/>
      <x:c r="J276"/>
      <x:c r="K276"/>
      <x:c r="L276"/>
      <x:c r="M276"/>
      <x:c r="N276"/>
      <x:c r="O276">
        <x:f t="shared" si="1"/>
      </x:c>
      <x:c r="P276">
        <x:f t="shared" si="2"/>
      </x:c>
      <x:c r="Q276"/>
      <x:c r="R276"/>
      <x:c r="S276"/>
    </x:row>
    <x:row r="277" ht="15.75" customHeight="1">
      <x:c r="A277">
        <x:f t="shared" si="3"/>
      </x:c>
      <x:c r="B277"/>
      <x:c r="C277" s="62"/>
      <x:c r="D277"/>
      <x:c r="E277"/>
      <x:c r="F277"/>
      <x:c r="G277" s="84"/>
      <x:c r="H277"/>
      <x:c r="I277"/>
      <x:c r="J277"/>
      <x:c r="K277"/>
      <x:c r="L277"/>
      <x:c r="M277"/>
      <x:c r="N277"/>
      <x:c r="O277">
        <x:f t="shared" si="1"/>
      </x:c>
      <x:c r="P277">
        <x:f t="shared" si="2"/>
      </x:c>
      <x:c r="Q277"/>
      <x:c r="R277"/>
      <x:c r="S277"/>
    </x:row>
    <x:row r="278" ht="15.75" customHeight="1">
      <x:c r="A278">
        <x:f t="shared" si="3"/>
      </x:c>
      <x:c r="B278"/>
      <x:c r="C278" s="62"/>
      <x:c r="D278"/>
      <x:c r="E278"/>
      <x:c r="F278"/>
      <x:c r="G278" s="84"/>
      <x:c r="H278"/>
      <x:c r="I278"/>
      <x:c r="J278"/>
      <x:c r="K278"/>
      <x:c r="L278"/>
      <x:c r="M278"/>
      <x:c r="N278"/>
      <x:c r="O278">
        <x:f t="shared" si="1"/>
      </x:c>
      <x:c r="P278">
        <x:f t="shared" si="2"/>
      </x:c>
      <x:c r="Q278"/>
      <x:c r="R278"/>
      <x:c r="S278"/>
    </x:row>
    <x:row r="279" ht="15.75" customHeight="1">
      <x:c r="A279">
        <x:f t="shared" si="3"/>
      </x:c>
      <x:c r="B279"/>
      <x:c r="C279" s="62"/>
      <x:c r="D279"/>
      <x:c r="E279"/>
      <x:c r="F279"/>
      <x:c r="G279" s="84"/>
      <x:c r="H279"/>
      <x:c r="I279"/>
      <x:c r="J279"/>
      <x:c r="K279"/>
      <x:c r="L279"/>
      <x:c r="M279"/>
      <x:c r="N279"/>
      <x:c r="O279">
        <x:f t="shared" si="1"/>
      </x:c>
      <x:c r="P279">
        <x:f t="shared" si="2"/>
      </x:c>
      <x:c r="Q279"/>
      <x:c r="R279"/>
      <x:c r="S279"/>
    </x:row>
    <x:row r="280" ht="15.75" customHeight="1">
      <x:c r="A280">
        <x:f t="shared" si="3"/>
      </x:c>
      <x:c r="B280"/>
      <x:c r="C280" s="62"/>
      <x:c r="D280"/>
      <x:c r="E280"/>
      <x:c r="F280"/>
      <x:c r="G280" s="84"/>
      <x:c r="H280"/>
      <x:c r="I280"/>
      <x:c r="J280"/>
      <x:c r="K280"/>
      <x:c r="L280"/>
      <x:c r="M280"/>
      <x:c r="N280"/>
      <x:c r="O280">
        <x:f t="shared" si="1"/>
      </x:c>
      <x:c r="P280">
        <x:f t="shared" si="2"/>
      </x:c>
      <x:c r="Q280"/>
      <x:c r="R280"/>
      <x:c r="S280"/>
    </x:row>
    <x:row r="281" ht="15.75" customHeight="1">
      <x:c r="A281">
        <x:f t="shared" si="3"/>
      </x:c>
      <x:c r="B281"/>
      <x:c r="C281" s="62"/>
      <x:c r="D281"/>
      <x:c r="E281"/>
      <x:c r="F281"/>
      <x:c r="G281" s="84"/>
      <x:c r="H281"/>
      <x:c r="I281"/>
      <x:c r="J281"/>
      <x:c r="K281"/>
      <x:c r="L281"/>
      <x:c r="M281"/>
      <x:c r="N281"/>
      <x:c r="O281">
        <x:f t="shared" si="1"/>
      </x:c>
      <x:c r="P281">
        <x:f t="shared" si="2"/>
      </x:c>
      <x:c r="Q281"/>
      <x:c r="R281"/>
      <x:c r="S281"/>
    </x:row>
    <x:row r="282" ht="15.75" customHeight="1">
      <x:c r="A282">
        <x:f t="shared" si="3"/>
      </x:c>
      <x:c r="B282"/>
      <x:c r="C282" s="62"/>
      <x:c r="D282"/>
      <x:c r="E282"/>
      <x:c r="F282"/>
      <x:c r="G282" s="84"/>
      <x:c r="H282"/>
      <x:c r="I282"/>
      <x:c r="J282"/>
      <x:c r="K282"/>
      <x:c r="L282"/>
      <x:c r="M282"/>
      <x:c r="N282"/>
      <x:c r="O282">
        <x:f t="shared" si="1"/>
      </x:c>
      <x:c r="P282">
        <x:f t="shared" si="2"/>
      </x:c>
      <x:c r="Q282"/>
      <x:c r="R282"/>
      <x:c r="S282"/>
    </x:row>
    <x:row r="283" ht="15.75" customHeight="1">
      <x:c r="A283">
        <x:f t="shared" si="3"/>
      </x:c>
      <x:c r="B283"/>
      <x:c r="C283" s="62"/>
      <x:c r="D283"/>
      <x:c r="E283"/>
      <x:c r="F283"/>
      <x:c r="G283" s="84"/>
      <x:c r="H283"/>
      <x:c r="I283"/>
      <x:c r="J283"/>
      <x:c r="K283"/>
      <x:c r="L283"/>
      <x:c r="M283"/>
      <x:c r="N283"/>
      <x:c r="O283">
        <x:f t="shared" si="1"/>
      </x:c>
      <x:c r="P283">
        <x:f t="shared" si="2"/>
      </x:c>
      <x:c r="Q283"/>
      <x:c r="R283"/>
      <x:c r="S283"/>
    </x:row>
    <x:row r="284" ht="15.75" customHeight="1">
      <x:c r="A284">
        <x:f t="shared" si="3"/>
      </x:c>
      <x:c r="B284"/>
      <x:c r="C284" s="62"/>
      <x:c r="D284"/>
      <x:c r="E284"/>
      <x:c r="F284"/>
      <x:c r="G284" s="84"/>
      <x:c r="H284"/>
      <x:c r="I284"/>
      <x:c r="J284"/>
      <x:c r="K284"/>
      <x:c r="L284"/>
      <x:c r="M284"/>
      <x:c r="N284"/>
      <x:c r="O284">
        <x:f t="shared" si="1"/>
      </x:c>
      <x:c r="P284">
        <x:f t="shared" si="2"/>
      </x:c>
      <x:c r="Q284"/>
      <x:c r="R284"/>
      <x:c r="S284"/>
    </x:row>
    <x:row r="285" ht="15.75" customHeight="1">
      <x:c r="A285">
        <x:f t="shared" si="3"/>
      </x:c>
      <x:c r="B285"/>
      <x:c r="C285" s="62"/>
      <x:c r="D285"/>
      <x:c r="E285"/>
      <x:c r="F285"/>
      <x:c r="G285" s="84"/>
      <x:c r="H285"/>
      <x:c r="I285"/>
      <x:c r="J285"/>
      <x:c r="K285"/>
      <x:c r="L285"/>
      <x:c r="M285"/>
      <x:c r="N285"/>
      <x:c r="O285">
        <x:f t="shared" si="1"/>
      </x:c>
      <x:c r="P285">
        <x:f t="shared" si="2"/>
      </x:c>
      <x:c r="Q285"/>
      <x:c r="R285"/>
      <x:c r="S285"/>
    </x:row>
    <x:row r="286" ht="15.75" customHeight="1">
      <x:c r="A286">
        <x:f t="shared" si="3"/>
      </x:c>
      <x:c r="B286"/>
      <x:c r="C286" s="62"/>
      <x:c r="D286"/>
      <x:c r="E286"/>
      <x:c r="F286"/>
      <x:c r="G286" s="84"/>
      <x:c r="H286"/>
      <x:c r="I286"/>
      <x:c r="J286"/>
      <x:c r="K286"/>
      <x:c r="L286"/>
      <x:c r="M286"/>
      <x:c r="N286"/>
      <x:c r="O286">
        <x:f t="shared" si="1"/>
      </x:c>
      <x:c r="P286">
        <x:f t="shared" si="2"/>
      </x:c>
      <x:c r="Q286"/>
      <x:c r="R286"/>
      <x:c r="S286"/>
    </x:row>
    <x:row r="287" ht="15.75" customHeight="1">
      <x:c r="A287">
        <x:f t="shared" si="3"/>
      </x:c>
      <x:c r="B287"/>
      <x:c r="C287" s="62"/>
      <x:c r="D287"/>
      <x:c r="E287"/>
      <x:c r="F287"/>
      <x:c r="G287" s="84"/>
      <x:c r="H287"/>
      <x:c r="I287"/>
      <x:c r="J287"/>
      <x:c r="K287"/>
      <x:c r="L287"/>
      <x:c r="M287"/>
      <x:c r="N287"/>
      <x:c r="O287">
        <x:f t="shared" si="1"/>
      </x:c>
      <x:c r="P287">
        <x:f t="shared" si="2"/>
      </x:c>
      <x:c r="Q287"/>
      <x:c r="R287"/>
      <x:c r="S287"/>
    </x:row>
    <x:row r="288" ht="15.75" customHeight="1">
      <x:c r="A288">
        <x:f t="shared" si="3"/>
      </x:c>
      <x:c r="B288"/>
      <x:c r="C288" s="62"/>
      <x:c r="D288"/>
      <x:c r="E288"/>
      <x:c r="F288"/>
      <x:c r="G288" s="84"/>
      <x:c r="H288"/>
      <x:c r="I288"/>
      <x:c r="J288"/>
      <x:c r="K288"/>
      <x:c r="L288"/>
      <x:c r="M288"/>
      <x:c r="N288"/>
      <x:c r="O288">
        <x:f t="shared" si="1"/>
      </x:c>
      <x:c r="P288">
        <x:f t="shared" si="2"/>
      </x:c>
      <x:c r="Q288"/>
      <x:c r="R288"/>
      <x:c r="S288"/>
    </x:row>
    <x:row r="289" ht="15.75" customHeight="1">
      <x:c r="A289">
        <x:f t="shared" si="3"/>
      </x:c>
      <x:c r="B289"/>
      <x:c r="C289" s="62"/>
      <x:c r="D289"/>
      <x:c r="E289"/>
      <x:c r="F289"/>
      <x:c r="G289" s="84"/>
      <x:c r="H289"/>
      <x:c r="I289"/>
      <x:c r="J289"/>
      <x:c r="K289"/>
      <x:c r="L289"/>
      <x:c r="M289"/>
      <x:c r="N289"/>
      <x:c r="O289">
        <x:f t="shared" si="1"/>
      </x:c>
      <x:c r="P289">
        <x:f t="shared" si="2"/>
      </x:c>
      <x:c r="Q289"/>
      <x:c r="R289"/>
      <x:c r="S289"/>
    </x:row>
    <x:row r="290" ht="15.75" customHeight="1">
      <x:c r="A290">
        <x:f t="shared" si="3"/>
      </x:c>
      <x:c r="B290"/>
      <x:c r="C290" s="62"/>
      <x:c r="D290"/>
      <x:c r="E290"/>
      <x:c r="F290"/>
      <x:c r="G290" s="84"/>
      <x:c r="H290"/>
      <x:c r="I290"/>
      <x:c r="J290"/>
      <x:c r="K290"/>
      <x:c r="L290"/>
      <x:c r="M290"/>
      <x:c r="N290"/>
      <x:c r="O290">
        <x:f t="shared" si="1"/>
      </x:c>
      <x:c r="P290">
        <x:f t="shared" si="2"/>
      </x:c>
      <x:c r="Q290"/>
      <x:c r="R290"/>
      <x:c r="S290"/>
    </x:row>
    <x:row r="291" ht="15.75" customHeight="1">
      <x:c r="A291">
        <x:f t="shared" si="3"/>
      </x:c>
      <x:c r="B291"/>
      <x:c r="C291" s="62"/>
      <x:c r="D291"/>
      <x:c r="E291"/>
      <x:c r="F291"/>
      <x:c r="G291" s="84"/>
      <x:c r="H291"/>
      <x:c r="I291"/>
      <x:c r="J291"/>
      <x:c r="K291"/>
      <x:c r="L291"/>
      <x:c r="M291"/>
      <x:c r="N291"/>
      <x:c r="O291">
        <x:f t="shared" si="1"/>
      </x:c>
      <x:c r="P291">
        <x:f t="shared" si="2"/>
      </x:c>
      <x:c r="Q291"/>
      <x:c r="R291"/>
      <x:c r="S291"/>
    </x:row>
    <x:row r="292" ht="15.75" customHeight="1">
      <x:c r="A292">
        <x:f t="shared" si="3"/>
      </x:c>
      <x:c r="B292"/>
      <x:c r="C292" s="62"/>
      <x:c r="D292"/>
      <x:c r="E292"/>
      <x:c r="F292"/>
      <x:c r="G292" s="84"/>
      <x:c r="H292"/>
      <x:c r="I292"/>
      <x:c r="J292"/>
      <x:c r="K292"/>
      <x:c r="L292"/>
      <x:c r="M292"/>
      <x:c r="N292"/>
      <x:c r="O292">
        <x:f t="shared" si="1"/>
      </x:c>
      <x:c r="P292">
        <x:f t="shared" si="2"/>
      </x:c>
      <x:c r="Q292"/>
      <x:c r="R292"/>
      <x:c r="S292"/>
    </x:row>
    <x:row r="293" ht="15.75" customHeight="1">
      <x:c r="A293">
        <x:f t="shared" si="3"/>
      </x:c>
      <x:c r="B293"/>
      <x:c r="C293" s="62"/>
      <x:c r="D293"/>
      <x:c r="E293"/>
      <x:c r="F293"/>
      <x:c r="G293" s="84"/>
      <x:c r="H293"/>
      <x:c r="I293"/>
      <x:c r="J293"/>
      <x:c r="K293"/>
      <x:c r="L293"/>
      <x:c r="M293"/>
      <x:c r="N293"/>
      <x:c r="O293">
        <x:f t="shared" si="1"/>
      </x:c>
      <x:c r="P293">
        <x:f t="shared" si="2"/>
      </x:c>
      <x:c r="Q293"/>
      <x:c r="R293"/>
      <x:c r="S293"/>
    </x:row>
    <x:row r="294" ht="15.75" customHeight="1">
      <x:c r="A294">
        <x:f t="shared" si="3"/>
      </x:c>
      <x:c r="B294"/>
      <x:c r="C294" s="62"/>
      <x:c r="D294"/>
      <x:c r="E294"/>
      <x:c r="F294"/>
      <x:c r="G294" s="84"/>
      <x:c r="H294"/>
      <x:c r="I294"/>
      <x:c r="J294"/>
      <x:c r="K294"/>
      <x:c r="L294"/>
      <x:c r="M294"/>
      <x:c r="N294"/>
      <x:c r="O294">
        <x:f t="shared" si="1"/>
      </x:c>
      <x:c r="P294">
        <x:f t="shared" si="2"/>
      </x:c>
      <x:c r="Q294"/>
      <x:c r="R294"/>
      <x:c r="S294"/>
    </x:row>
    <x:row r="295" ht="15.75" customHeight="1">
      <x:c r="A295">
        <x:f t="shared" si="3"/>
      </x:c>
      <x:c r="B295"/>
      <x:c r="C295" s="62"/>
      <x:c r="D295"/>
      <x:c r="E295"/>
      <x:c r="F295"/>
      <x:c r="G295" s="84"/>
      <x:c r="H295"/>
      <x:c r="I295"/>
      <x:c r="J295"/>
      <x:c r="K295"/>
      <x:c r="L295"/>
      <x:c r="M295"/>
      <x:c r="N295"/>
      <x:c r="O295">
        <x:f t="shared" si="1"/>
      </x:c>
      <x:c r="P295">
        <x:f t="shared" si="2"/>
      </x:c>
      <x:c r="Q295"/>
      <x:c r="R295"/>
      <x:c r="S295"/>
    </x:row>
    <x:row r="296" ht="15.75" customHeight="1">
      <x:c r="A296">
        <x:f t="shared" si="3"/>
      </x:c>
      <x:c r="B296"/>
      <x:c r="C296" s="62"/>
      <x:c r="D296"/>
      <x:c r="E296"/>
      <x:c r="F296"/>
      <x:c r="G296" s="84"/>
      <x:c r="H296"/>
      <x:c r="I296"/>
      <x:c r="J296"/>
      <x:c r="K296"/>
      <x:c r="L296"/>
      <x:c r="M296"/>
      <x:c r="N296"/>
      <x:c r="O296">
        <x:f t="shared" si="1"/>
      </x:c>
      <x:c r="P296">
        <x:f t="shared" si="2"/>
      </x:c>
      <x:c r="Q296"/>
      <x:c r="R296"/>
      <x:c r="S296"/>
    </x:row>
    <x:row r="297" ht="15.75" customHeight="1">
      <x:c r="A297">
        <x:f t="shared" si="3"/>
      </x:c>
      <x:c r="B297"/>
      <x:c r="C297" s="62"/>
      <x:c r="D297"/>
      <x:c r="E297"/>
      <x:c r="F297"/>
      <x:c r="G297" s="84"/>
      <x:c r="H297"/>
      <x:c r="I297"/>
      <x:c r="J297"/>
      <x:c r="K297"/>
      <x:c r="L297"/>
      <x:c r="M297"/>
      <x:c r="N297"/>
      <x:c r="O297">
        <x:f t="shared" si="1"/>
      </x:c>
      <x:c r="P297">
        <x:f t="shared" si="2"/>
      </x:c>
      <x:c r="Q297"/>
      <x:c r="R297"/>
      <x:c r="S297"/>
    </x:row>
    <x:row r="298" ht="15.75" customHeight="1">
      <x:c r="A298">
        <x:f t="shared" si="3"/>
      </x:c>
      <x:c r="B298"/>
      <x:c r="C298" s="62"/>
      <x:c r="D298"/>
      <x:c r="E298"/>
      <x:c r="F298"/>
      <x:c r="G298" s="84"/>
      <x:c r="H298"/>
      <x:c r="I298"/>
      <x:c r="J298"/>
      <x:c r="K298"/>
      <x:c r="L298"/>
      <x:c r="M298"/>
      <x:c r="N298"/>
      <x:c r="O298">
        <x:f t="shared" si="1"/>
      </x:c>
      <x:c r="P298">
        <x:f t="shared" si="2"/>
      </x:c>
      <x:c r="Q298"/>
      <x:c r="R298"/>
      <x:c r="S298"/>
    </x:row>
    <x:row r="299" ht="15.75" customHeight="1">
      <x:c r="A299">
        <x:f t="shared" si="3"/>
      </x:c>
      <x:c r="B299"/>
      <x:c r="C299" s="62"/>
      <x:c r="D299"/>
      <x:c r="E299"/>
      <x:c r="F299"/>
      <x:c r="G299" s="84"/>
      <x:c r="H299"/>
      <x:c r="I299"/>
      <x:c r="J299"/>
      <x:c r="K299"/>
      <x:c r="L299"/>
      <x:c r="M299"/>
      <x:c r="N299"/>
      <x:c r="O299">
        <x:f t="shared" si="1"/>
      </x:c>
      <x:c r="P299">
        <x:f t="shared" si="2"/>
      </x:c>
      <x:c r="Q299"/>
      <x:c r="R299"/>
      <x:c r="S299"/>
    </x:row>
    <x:row r="300" ht="15.75" customHeight="1">
      <x:c r="A300">
        <x:f t="shared" si="3"/>
      </x:c>
      <x:c r="B300"/>
      <x:c r="C300" s="62"/>
      <x:c r="D300"/>
      <x:c r="E300"/>
      <x:c r="F300"/>
      <x:c r="G300" s="84"/>
      <x:c r="H300"/>
      <x:c r="I300"/>
      <x:c r="J300"/>
      <x:c r="K300"/>
      <x:c r="L300"/>
      <x:c r="M300"/>
      <x:c r="N300"/>
      <x:c r="O300">
        <x:f t="shared" si="1"/>
      </x:c>
      <x:c r="P300">
        <x:f t="shared" si="2"/>
      </x:c>
      <x:c r="Q300"/>
      <x:c r="R300"/>
      <x:c r="S300"/>
    </x:row>
    <x:row r="301" ht="15.75" customHeight="1">
      <x:c r="A301">
        <x:f t="shared" si="3"/>
      </x:c>
      <x:c r="B301"/>
      <x:c r="C301" s="62"/>
      <x:c r="D301"/>
      <x:c r="E301"/>
      <x:c r="F301"/>
      <x:c r="G301" s="84"/>
      <x:c r="H301"/>
      <x:c r="I301"/>
      <x:c r="J301"/>
      <x:c r="K301"/>
      <x:c r="L301"/>
      <x:c r="M301"/>
      <x:c r="N301"/>
      <x:c r="O301">
        <x:f t="shared" si="1"/>
      </x:c>
      <x:c r="P301">
        <x:f t="shared" si="2"/>
      </x:c>
      <x:c r="Q301"/>
      <x:c r="R301"/>
      <x:c r="S301"/>
    </x:row>
    <x:row r="302" ht="15.75" customHeight="1">
      <x:c r="A302">
        <x:f t="shared" si="3"/>
      </x:c>
      <x:c r="B302"/>
      <x:c r="C302" s="62"/>
      <x:c r="D302"/>
      <x:c r="E302"/>
      <x:c r="F302"/>
      <x:c r="G302" s="84"/>
      <x:c r="H302"/>
      <x:c r="I302"/>
      <x:c r="J302"/>
      <x:c r="K302"/>
      <x:c r="L302"/>
      <x:c r="M302"/>
      <x:c r="N302"/>
      <x:c r="O302">
        <x:f t="shared" si="1"/>
      </x:c>
      <x:c r="P302">
        <x:f t="shared" si="2"/>
      </x:c>
      <x:c r="Q302"/>
      <x:c r="R302"/>
      <x:c r="S302"/>
    </x:row>
    <x:row r="303" ht="15.75" customHeight="1">
      <x:c r="A303">
        <x:f t="shared" si="3"/>
      </x:c>
      <x:c r="B303"/>
      <x:c r="C303" s="62"/>
      <x:c r="D303"/>
      <x:c r="E303"/>
      <x:c r="F303"/>
      <x:c r="G303" s="84"/>
      <x:c r="H303"/>
      <x:c r="I303"/>
      <x:c r="J303"/>
      <x:c r="K303"/>
      <x:c r="L303"/>
      <x:c r="M303"/>
      <x:c r="N303"/>
      <x:c r="O303">
        <x:f t="shared" si="1"/>
      </x:c>
      <x:c r="P303">
        <x:f t="shared" si="2"/>
      </x:c>
      <x:c r="Q303"/>
      <x:c r="R303"/>
      <x:c r="S303"/>
    </x:row>
    <x:row r="304" ht="15.75" customHeight="1">
      <x:c r="A304">
        <x:f t="shared" si="3"/>
      </x:c>
      <x:c r="B304"/>
      <x:c r="C304" s="62"/>
      <x:c r="D304"/>
      <x:c r="E304"/>
      <x:c r="F304"/>
      <x:c r="G304" s="84"/>
      <x:c r="H304"/>
      <x:c r="I304"/>
      <x:c r="J304"/>
      <x:c r="K304"/>
      <x:c r="L304"/>
      <x:c r="M304"/>
      <x:c r="N304"/>
      <x:c r="O304">
        <x:f t="shared" si="1"/>
      </x:c>
      <x:c r="P304">
        <x:f t="shared" si="2"/>
      </x:c>
      <x:c r="Q304"/>
      <x:c r="R304"/>
      <x:c r="S304"/>
    </x:row>
    <x:row r="305" ht="15.75" customHeight="1">
      <x:c r="A305">
        <x:f t="shared" si="3"/>
      </x:c>
      <x:c r="B305"/>
      <x:c r="C305" s="62"/>
      <x:c r="D305"/>
      <x:c r="E305"/>
      <x:c r="F305"/>
      <x:c r="G305" s="84"/>
      <x:c r="H305"/>
      <x:c r="I305"/>
      <x:c r="J305"/>
      <x:c r="K305"/>
      <x:c r="L305"/>
      <x:c r="M305"/>
      <x:c r="N305"/>
      <x:c r="O305">
        <x:f t="shared" si="1"/>
      </x:c>
      <x:c r="P305">
        <x:f t="shared" si="2"/>
      </x:c>
      <x:c r="Q305"/>
      <x:c r="R305"/>
      <x:c r="S305"/>
    </x:row>
    <x:row r="306" ht="15.75" customHeight="1">
      <x:c r="A306">
        <x:f t="shared" si="3"/>
      </x:c>
      <x:c r="B306"/>
      <x:c r="C306" s="62"/>
      <x:c r="D306"/>
      <x:c r="E306"/>
      <x:c r="F306"/>
      <x:c r="G306" s="84"/>
      <x:c r="H306"/>
      <x:c r="I306"/>
      <x:c r="J306"/>
      <x:c r="K306"/>
      <x:c r="L306"/>
      <x:c r="M306"/>
      <x:c r="N306"/>
      <x:c r="O306">
        <x:f t="shared" si="1"/>
      </x:c>
      <x:c r="P306">
        <x:f t="shared" si="2"/>
      </x:c>
      <x:c r="Q306"/>
      <x:c r="R306"/>
      <x:c r="S306"/>
    </x:row>
    <x:row r="307" ht="15.75" customHeight="1">
      <x:c r="A307">
        <x:f t="shared" si="3"/>
      </x:c>
      <x:c r="B307"/>
      <x:c r="C307" s="62"/>
      <x:c r="D307"/>
      <x:c r="E307"/>
      <x:c r="F307"/>
      <x:c r="G307" s="84"/>
      <x:c r="H307"/>
      <x:c r="I307"/>
      <x:c r="J307"/>
      <x:c r="K307"/>
      <x:c r="L307"/>
      <x:c r="M307"/>
      <x:c r="N307"/>
      <x:c r="O307">
        <x:f t="shared" si="1"/>
      </x:c>
      <x:c r="P307">
        <x:f t="shared" si="2"/>
      </x:c>
      <x:c r="Q307"/>
      <x:c r="R307"/>
      <x:c r="S307"/>
    </x:row>
    <x:row r="308" ht="15.75" customHeight="1">
      <x:c r="A308">
        <x:f t="shared" si="3"/>
      </x:c>
      <x:c r="B308"/>
      <x:c r="C308" s="62"/>
      <x:c r="D308"/>
      <x:c r="E308"/>
      <x:c r="F308"/>
      <x:c r="G308" s="84"/>
      <x:c r="H308"/>
      <x:c r="I308"/>
      <x:c r="J308"/>
      <x:c r="K308"/>
      <x:c r="L308"/>
      <x:c r="M308"/>
      <x:c r="N308"/>
      <x:c r="O308">
        <x:f t="shared" si="1"/>
      </x:c>
      <x:c r="P308">
        <x:f t="shared" si="2"/>
      </x:c>
      <x:c r="Q308"/>
      <x:c r="R308"/>
      <x:c r="S308"/>
    </x:row>
    <x:row r="309" ht="15.75" customHeight="1">
      <x:c r="A309">
        <x:f t="shared" si="3"/>
      </x:c>
      <x:c r="B309"/>
      <x:c r="C309" s="62"/>
      <x:c r="D309"/>
      <x:c r="E309"/>
      <x:c r="F309"/>
      <x:c r="G309" s="84"/>
      <x:c r="H309"/>
      <x:c r="I309"/>
      <x:c r="J309"/>
      <x:c r="K309"/>
      <x:c r="L309"/>
      <x:c r="M309"/>
      <x:c r="N309"/>
      <x:c r="O309">
        <x:f t="shared" si="1"/>
      </x:c>
      <x:c r="P309">
        <x:f t="shared" si="2"/>
      </x:c>
      <x:c r="Q309"/>
      <x:c r="R309"/>
      <x:c r="S309"/>
    </x:row>
    <x:row r="310" ht="15.75" customHeight="1">
      <x:c r="A310">
        <x:f t="shared" si="3"/>
      </x:c>
      <x:c r="B310"/>
      <x:c r="C310" s="62"/>
      <x:c r="D310"/>
      <x:c r="E310"/>
      <x:c r="F310"/>
      <x:c r="G310" s="84"/>
      <x:c r="H310"/>
      <x:c r="I310"/>
      <x:c r="J310"/>
      <x:c r="K310"/>
      <x:c r="L310"/>
      <x:c r="M310"/>
      <x:c r="N310"/>
      <x:c r="O310">
        <x:f t="shared" si="1"/>
      </x:c>
      <x:c r="P310">
        <x:f t="shared" si="2"/>
      </x:c>
      <x:c r="Q310"/>
      <x:c r="R310"/>
      <x:c r="S310"/>
    </x:row>
    <x:row r="311" ht="15.75" customHeight="1">
      <x:c r="A311">
        <x:f t="shared" si="3"/>
      </x:c>
      <x:c r="B311"/>
      <x:c r="C311" s="62"/>
      <x:c r="D311"/>
      <x:c r="E311"/>
      <x:c r="F311"/>
      <x:c r="G311" s="84"/>
      <x:c r="H311"/>
      <x:c r="I311"/>
      <x:c r="J311"/>
      <x:c r="K311"/>
      <x:c r="L311"/>
      <x:c r="M311"/>
      <x:c r="N311"/>
      <x:c r="O311">
        <x:f t="shared" si="1"/>
      </x:c>
      <x:c r="P311">
        <x:f t="shared" si="2"/>
      </x:c>
      <x:c r="Q311"/>
      <x:c r="R311"/>
      <x:c r="S311"/>
    </x:row>
    <x:row r="312" ht="15.75" customHeight="1">
      <x:c r="A312">
        <x:f t="shared" si="3"/>
      </x:c>
      <x:c r="B312"/>
      <x:c r="C312" s="62"/>
      <x:c r="D312"/>
      <x:c r="E312"/>
      <x:c r="F312"/>
      <x:c r="G312" s="84"/>
      <x:c r="H312"/>
      <x:c r="I312"/>
      <x:c r="J312"/>
      <x:c r="K312"/>
      <x:c r="L312"/>
      <x:c r="M312"/>
      <x:c r="N312"/>
      <x:c r="O312">
        <x:f t="shared" si="1"/>
      </x:c>
      <x:c r="P312">
        <x:f t="shared" si="2"/>
      </x:c>
      <x:c r="Q312"/>
      <x:c r="R312"/>
      <x:c r="S312"/>
    </x:row>
    <x:row r="313" ht="15.75" customHeight="1">
      <x:c r="A313">
        <x:f t="shared" si="3"/>
      </x:c>
      <x:c r="B313"/>
      <x:c r="C313" s="62"/>
      <x:c r="D313"/>
      <x:c r="E313"/>
      <x:c r="F313"/>
      <x:c r="G313" s="84"/>
      <x:c r="H313"/>
      <x:c r="I313"/>
      <x:c r="J313"/>
      <x:c r="K313"/>
      <x:c r="L313"/>
      <x:c r="M313"/>
      <x:c r="N313"/>
      <x:c r="O313">
        <x:f t="shared" si="1"/>
      </x:c>
      <x:c r="P313">
        <x:f t="shared" si="2"/>
      </x:c>
      <x:c r="Q313"/>
      <x:c r="R313"/>
      <x:c r="S313"/>
    </x:row>
    <x:row r="314" ht="15.75" customHeight="1">
      <x:c r="A314">
        <x:f t="shared" si="3"/>
      </x:c>
      <x:c r="B314"/>
      <x:c r="C314" s="62"/>
      <x:c r="D314"/>
      <x:c r="E314"/>
      <x:c r="F314"/>
      <x:c r="G314" s="84"/>
      <x:c r="H314"/>
      <x:c r="I314"/>
      <x:c r="J314"/>
      <x:c r="K314"/>
      <x:c r="L314"/>
      <x:c r="M314"/>
      <x:c r="N314"/>
      <x:c r="O314">
        <x:f t="shared" si="1"/>
      </x:c>
      <x:c r="P314">
        <x:f t="shared" si="2"/>
      </x:c>
      <x:c r="Q314"/>
      <x:c r="R314"/>
      <x:c r="S314"/>
    </x:row>
    <x:row r="315" ht="15.75" customHeight="1">
      <x:c r="A315">
        <x:f t="shared" si="3"/>
      </x:c>
      <x:c r="B315"/>
      <x:c r="C315" s="62"/>
      <x:c r="D315"/>
      <x:c r="E315"/>
      <x:c r="F315"/>
      <x:c r="G315" s="84"/>
      <x:c r="H315"/>
      <x:c r="I315"/>
      <x:c r="J315"/>
      <x:c r="K315"/>
      <x:c r="L315"/>
      <x:c r="M315"/>
      <x:c r="N315"/>
      <x:c r="O315">
        <x:f t="shared" si="1"/>
      </x:c>
      <x:c r="P315">
        <x:f t="shared" si="2"/>
      </x:c>
      <x:c r="Q315"/>
      <x:c r="R315"/>
      <x:c r="S315"/>
    </x:row>
    <x:row r="316" ht="15.75" customHeight="1">
      <x:c r="A316">
        <x:f t="shared" si="3"/>
      </x:c>
      <x:c r="B316"/>
      <x:c r="C316" s="62"/>
      <x:c r="D316"/>
      <x:c r="E316"/>
      <x:c r="F316"/>
      <x:c r="G316" s="84"/>
      <x:c r="H316"/>
      <x:c r="I316"/>
      <x:c r="J316"/>
      <x:c r="K316"/>
      <x:c r="L316"/>
      <x:c r="M316"/>
      <x:c r="N316"/>
      <x:c r="O316">
        <x:f t="shared" si="1"/>
      </x:c>
      <x:c r="P316">
        <x:f t="shared" si="2"/>
      </x:c>
      <x:c r="Q316"/>
      <x:c r="R316"/>
      <x:c r="S316"/>
    </x:row>
    <x:row r="317" ht="15.75" customHeight="1">
      <x:c r="A317">
        <x:f t="shared" si="3"/>
      </x:c>
      <x:c r="B317"/>
      <x:c r="C317" s="62"/>
      <x:c r="D317"/>
      <x:c r="E317"/>
      <x:c r="F317"/>
      <x:c r="G317" s="84"/>
      <x:c r="H317"/>
      <x:c r="I317"/>
      <x:c r="J317"/>
      <x:c r="K317"/>
      <x:c r="L317"/>
      <x:c r="M317"/>
      <x:c r="N317"/>
      <x:c r="O317">
        <x:f t="shared" si="1"/>
      </x:c>
      <x:c r="P317">
        <x:f t="shared" si="2"/>
      </x:c>
      <x:c r="Q317"/>
      <x:c r="R317"/>
      <x:c r="S317"/>
    </x:row>
    <x:row r="318" ht="15.75" customHeight="1">
      <x:c r="A318">
        <x:f t="shared" si="3"/>
      </x:c>
      <x:c r="B318"/>
      <x:c r="C318" s="62"/>
      <x:c r="D318"/>
      <x:c r="E318"/>
      <x:c r="F318"/>
      <x:c r="G318" s="84"/>
      <x:c r="H318"/>
      <x:c r="I318"/>
      <x:c r="J318"/>
      <x:c r="K318"/>
      <x:c r="L318"/>
      <x:c r="M318"/>
      <x:c r="N318"/>
      <x:c r="O318">
        <x:f t="shared" si="1"/>
      </x:c>
      <x:c r="P318">
        <x:f t="shared" si="2"/>
      </x:c>
      <x:c r="Q318"/>
      <x:c r="R318"/>
      <x:c r="S318"/>
    </x:row>
    <x:row r="319" ht="15.75" customHeight="1">
      <x:c r="A319">
        <x:f t="shared" si="3"/>
      </x:c>
      <x:c r="B319"/>
      <x:c r="C319" s="62"/>
      <x:c r="D319"/>
      <x:c r="E319"/>
      <x:c r="F319"/>
      <x:c r="G319" s="84"/>
      <x:c r="H319"/>
      <x:c r="I319"/>
      <x:c r="J319"/>
      <x:c r="K319"/>
      <x:c r="L319"/>
      <x:c r="M319"/>
      <x:c r="N319"/>
      <x:c r="O319">
        <x:f t="shared" si="1"/>
      </x:c>
      <x:c r="P319">
        <x:f t="shared" si="2"/>
      </x:c>
      <x:c r="Q319"/>
      <x:c r="R319"/>
      <x:c r="S319"/>
    </x:row>
    <x:row r="320" ht="15.75" customHeight="1">
      <x:c r="A320">
        <x:f t="shared" si="3"/>
      </x:c>
      <x:c r="B320"/>
      <x:c r="C320" s="62"/>
      <x:c r="D320"/>
      <x:c r="E320"/>
      <x:c r="F320"/>
      <x:c r="G320" s="84"/>
      <x:c r="H320"/>
      <x:c r="I320"/>
      <x:c r="J320"/>
      <x:c r="K320"/>
      <x:c r="L320"/>
      <x:c r="M320"/>
      <x:c r="N320"/>
      <x:c r="O320">
        <x:f t="shared" si="1"/>
      </x:c>
      <x:c r="P320">
        <x:f t="shared" si="2"/>
      </x:c>
      <x:c r="Q320"/>
      <x:c r="R320"/>
      <x:c r="S320"/>
    </x:row>
    <x:row r="321" ht="15.75" customHeight="1">
      <x:c r="A321">
        <x:f t="shared" si="3"/>
      </x:c>
      <x:c r="B321"/>
      <x:c r="C321" s="62"/>
      <x:c r="D321"/>
      <x:c r="E321"/>
      <x:c r="F321"/>
      <x:c r="G321" s="84"/>
      <x:c r="H321"/>
      <x:c r="I321"/>
      <x:c r="J321"/>
      <x:c r="K321"/>
      <x:c r="L321"/>
      <x:c r="M321"/>
      <x:c r="N321"/>
      <x:c r="O321">
        <x:f t="shared" si="1"/>
      </x:c>
      <x:c r="P321">
        <x:f t="shared" si="2"/>
      </x:c>
      <x:c r="Q321"/>
      <x:c r="R321"/>
      <x:c r="S321"/>
    </x:row>
    <x:row r="322" ht="15.75" customHeight="1">
      <x:c r="A322">
        <x:f t="shared" si="3"/>
      </x:c>
      <x:c r="B322"/>
      <x:c r="C322" s="62"/>
      <x:c r="D322"/>
      <x:c r="E322"/>
      <x:c r="F322"/>
      <x:c r="G322" s="84"/>
      <x:c r="H322"/>
      <x:c r="I322"/>
      <x:c r="J322"/>
      <x:c r="K322"/>
      <x:c r="L322"/>
      <x:c r="M322"/>
      <x:c r="N322"/>
      <x:c r="O322">
        <x:f t="shared" si="1"/>
      </x:c>
      <x:c r="P322">
        <x:f t="shared" si="2"/>
      </x:c>
      <x:c r="Q322"/>
      <x:c r="R322"/>
      <x:c r="S322"/>
    </x:row>
    <x:row r="323" ht="15.75" customHeight="1">
      <x:c r="A323">
        <x:f t="shared" si="3"/>
      </x:c>
      <x:c r="B323"/>
      <x:c r="C323" s="62"/>
      <x:c r="D323"/>
      <x:c r="E323"/>
      <x:c r="F323"/>
      <x:c r="G323" s="84"/>
      <x:c r="H323"/>
      <x:c r="I323"/>
      <x:c r="J323"/>
      <x:c r="K323"/>
      <x:c r="L323"/>
      <x:c r="M323"/>
      <x:c r="N323"/>
      <x:c r="O323">
        <x:f t="shared" si="1"/>
      </x:c>
      <x:c r="P323">
        <x:f t="shared" si="2"/>
      </x:c>
      <x:c r="Q323"/>
      <x:c r="R323"/>
      <x:c r="S323"/>
    </x:row>
    <x:row r="324" ht="15.75" customHeight="1">
      <x:c r="A324">
        <x:f t="shared" si="3"/>
      </x:c>
      <x:c r="B324"/>
      <x:c r="C324" s="62"/>
      <x:c r="D324"/>
      <x:c r="E324"/>
      <x:c r="F324"/>
      <x:c r="G324" s="84"/>
      <x:c r="H324"/>
      <x:c r="I324"/>
      <x:c r="J324"/>
      <x:c r="K324"/>
      <x:c r="L324"/>
      <x:c r="M324"/>
      <x:c r="N324"/>
      <x:c r="O324">
        <x:f t="shared" si="1"/>
      </x:c>
      <x:c r="P324">
        <x:f t="shared" si="2"/>
      </x:c>
      <x:c r="Q324"/>
      <x:c r="R324"/>
      <x:c r="S324"/>
    </x:row>
    <x:row r="325" ht="15.75" customHeight="1">
      <x:c r="A325">
        <x:f t="shared" si="3"/>
      </x:c>
      <x:c r="B325"/>
      <x:c r="C325" s="62"/>
      <x:c r="D325"/>
      <x:c r="E325"/>
      <x:c r="F325"/>
      <x:c r="G325" s="84"/>
      <x:c r="H325"/>
      <x:c r="I325"/>
      <x:c r="J325"/>
      <x:c r="K325"/>
      <x:c r="L325"/>
      <x:c r="M325"/>
      <x:c r="N325"/>
      <x:c r="O325">
        <x:f t="shared" si="1"/>
      </x:c>
      <x:c r="P325">
        <x:f t="shared" si="2"/>
      </x:c>
      <x:c r="Q325"/>
      <x:c r="R325"/>
      <x:c r="S325"/>
    </x:row>
    <x:row r="326" ht="15.75" customHeight="1">
      <x:c r="A326">
        <x:f t="shared" si="3"/>
      </x:c>
      <x:c r="B326"/>
      <x:c r="C326" s="62"/>
      <x:c r="D326"/>
      <x:c r="E326"/>
      <x:c r="F326"/>
      <x:c r="G326" s="84"/>
      <x:c r="H326"/>
      <x:c r="I326"/>
      <x:c r="J326"/>
      <x:c r="K326"/>
      <x:c r="L326"/>
      <x:c r="M326"/>
      <x:c r="N326"/>
      <x:c r="O326">
        <x:f t="shared" si="1"/>
      </x:c>
      <x:c r="P326">
        <x:f t="shared" si="2"/>
      </x:c>
      <x:c r="Q326"/>
      <x:c r="R326"/>
      <x:c r="S326"/>
    </x:row>
    <x:row r="327" ht="15.75" customHeight="1">
      <x:c r="A327">
        <x:f t="shared" si="3"/>
      </x:c>
      <x:c r="B327"/>
      <x:c r="C327" s="62"/>
      <x:c r="D327"/>
      <x:c r="E327"/>
      <x:c r="F327"/>
      <x:c r="G327" s="84"/>
      <x:c r="H327"/>
      <x:c r="I327"/>
      <x:c r="J327"/>
      <x:c r="K327"/>
      <x:c r="L327"/>
      <x:c r="M327"/>
      <x:c r="N327"/>
      <x:c r="O327">
        <x:f t="shared" si="1"/>
      </x:c>
      <x:c r="P327">
        <x:f t="shared" si="2"/>
      </x:c>
      <x:c r="Q327"/>
      <x:c r="R327"/>
      <x:c r="S327"/>
    </x:row>
    <x:row r="328" ht="15.75" customHeight="1">
      <x:c r="A328">
        <x:f t="shared" si="3"/>
      </x:c>
      <x:c r="B328"/>
      <x:c r="C328" s="62"/>
      <x:c r="D328"/>
      <x:c r="E328"/>
      <x:c r="F328"/>
      <x:c r="G328" s="84"/>
      <x:c r="H328"/>
      <x:c r="I328"/>
      <x:c r="J328"/>
      <x:c r="K328"/>
      <x:c r="L328"/>
      <x:c r="M328"/>
      <x:c r="N328"/>
      <x:c r="O328">
        <x:f t="shared" si="1"/>
      </x:c>
      <x:c r="P328">
        <x:f t="shared" si="2"/>
      </x:c>
      <x:c r="Q328"/>
      <x:c r="R328"/>
      <x:c r="S328"/>
    </x:row>
    <x:row r="329" ht="15.75" customHeight="1">
      <x:c r="A329">
        <x:f t="shared" si="3"/>
      </x:c>
      <x:c r="B329"/>
      <x:c r="C329" s="62"/>
      <x:c r="D329"/>
      <x:c r="E329"/>
      <x:c r="F329"/>
      <x:c r="G329" s="84"/>
      <x:c r="H329"/>
      <x:c r="I329"/>
      <x:c r="J329"/>
      <x:c r="K329"/>
      <x:c r="L329"/>
      <x:c r="M329"/>
      <x:c r="N329"/>
      <x:c r="O329">
        <x:f t="shared" si="1"/>
      </x:c>
      <x:c r="P329">
        <x:f t="shared" si="2"/>
      </x:c>
      <x:c r="Q329"/>
      <x:c r="R329"/>
      <x:c r="S329"/>
    </x:row>
    <x:row r="330" ht="15.75" customHeight="1">
      <x:c r="A330">
        <x:f t="shared" si="3"/>
      </x:c>
      <x:c r="B330"/>
      <x:c r="C330" s="62"/>
      <x:c r="D330"/>
      <x:c r="E330"/>
      <x:c r="F330"/>
      <x:c r="G330" s="84"/>
      <x:c r="H330"/>
      <x:c r="I330"/>
      <x:c r="J330"/>
      <x:c r="K330"/>
      <x:c r="L330"/>
      <x:c r="M330"/>
      <x:c r="N330"/>
      <x:c r="O330">
        <x:f t="shared" si="1"/>
      </x:c>
      <x:c r="P330">
        <x:f t="shared" si="2"/>
      </x:c>
      <x:c r="Q330"/>
      <x:c r="R330"/>
      <x:c r="S330"/>
    </x:row>
    <x:row r="331" ht="15.75" customHeight="1">
      <x:c r="A331">
        <x:f t="shared" si="3"/>
      </x:c>
      <x:c r="B331"/>
      <x:c r="C331" s="62"/>
      <x:c r="D331"/>
      <x:c r="E331"/>
      <x:c r="F331"/>
      <x:c r="G331" s="84"/>
      <x:c r="H331"/>
      <x:c r="I331"/>
      <x:c r="J331"/>
      <x:c r="K331"/>
      <x:c r="L331"/>
      <x:c r="M331"/>
      <x:c r="N331"/>
      <x:c r="O331">
        <x:f t="shared" si="1"/>
      </x:c>
      <x:c r="P331">
        <x:f t="shared" si="2"/>
      </x:c>
      <x:c r="Q331"/>
      <x:c r="R331"/>
      <x:c r="S331"/>
    </x:row>
    <x:row r="332" ht="15.75" customHeight="1">
      <x:c r="A332">
        <x:f t="shared" si="3"/>
      </x:c>
      <x:c r="B332"/>
      <x:c r="C332" s="62"/>
      <x:c r="D332"/>
      <x:c r="E332"/>
      <x:c r="F332"/>
      <x:c r="G332" s="84"/>
      <x:c r="H332"/>
      <x:c r="I332"/>
      <x:c r="J332"/>
      <x:c r="K332"/>
      <x:c r="L332"/>
      <x:c r="M332"/>
      <x:c r="N332"/>
      <x:c r="O332">
        <x:f t="shared" si="1"/>
      </x:c>
      <x:c r="P332">
        <x:f t="shared" si="2"/>
      </x:c>
      <x:c r="Q332"/>
      <x:c r="R332"/>
      <x:c r="S332"/>
    </x:row>
    <x:row r="333" ht="15.75" customHeight="1">
      <x:c r="A333">
        <x:f t="shared" si="3"/>
      </x:c>
      <x:c r="B333"/>
      <x:c r="C333" s="62"/>
      <x:c r="D333"/>
      <x:c r="E333"/>
      <x:c r="F333"/>
      <x:c r="G333" s="84"/>
      <x:c r="H333"/>
      <x:c r="I333"/>
      <x:c r="J333"/>
      <x:c r="K333"/>
      <x:c r="L333"/>
      <x:c r="M333"/>
      <x:c r="N333"/>
      <x:c r="O333">
        <x:f t="shared" si="1"/>
      </x:c>
      <x:c r="P333">
        <x:f t="shared" si="2"/>
      </x:c>
      <x:c r="Q333"/>
      <x:c r="R333"/>
      <x:c r="S333"/>
    </x:row>
    <x:row r="334" ht="15.75" customHeight="1">
      <x:c r="A334">
        <x:f t="shared" si="3"/>
      </x:c>
      <x:c r="B334"/>
      <x:c r="C334" s="62"/>
      <x:c r="D334"/>
      <x:c r="E334"/>
      <x:c r="F334"/>
      <x:c r="G334" s="84"/>
      <x:c r="H334"/>
      <x:c r="I334"/>
      <x:c r="J334"/>
      <x:c r="K334"/>
      <x:c r="L334"/>
      <x:c r="M334"/>
      <x:c r="N334"/>
      <x:c r="O334">
        <x:f t="shared" si="1"/>
      </x:c>
      <x:c r="P334">
        <x:f t="shared" si="2"/>
      </x:c>
      <x:c r="Q334"/>
      <x:c r="R334"/>
      <x:c r="S334"/>
    </x:row>
    <x:row r="335" ht="15.75" customHeight="1">
      <x:c r="A335">
        <x:f t="shared" si="3"/>
      </x:c>
      <x:c r="B335"/>
      <x:c r="C335" s="62"/>
      <x:c r="D335"/>
      <x:c r="E335"/>
      <x:c r="F335"/>
      <x:c r="G335" s="84"/>
      <x:c r="H335"/>
      <x:c r="I335"/>
      <x:c r="J335"/>
      <x:c r="K335"/>
      <x:c r="L335"/>
      <x:c r="M335"/>
      <x:c r="N335"/>
      <x:c r="O335">
        <x:f t="shared" si="1"/>
      </x:c>
      <x:c r="P335">
        <x:f t="shared" si="2"/>
      </x:c>
      <x:c r="Q335"/>
      <x:c r="R335"/>
      <x:c r="S335"/>
    </x:row>
    <x:row r="336" ht="15.75" customHeight="1">
      <x:c r="A336">
        <x:f t="shared" si="3"/>
      </x:c>
      <x:c r="B336"/>
      <x:c r="C336" s="62"/>
      <x:c r="D336"/>
      <x:c r="E336"/>
      <x:c r="F336"/>
      <x:c r="G336" s="84"/>
      <x:c r="H336"/>
      <x:c r="I336"/>
      <x:c r="J336"/>
      <x:c r="K336"/>
      <x:c r="L336"/>
      <x:c r="M336"/>
      <x:c r="N336"/>
      <x:c r="O336">
        <x:f t="shared" si="1"/>
      </x:c>
      <x:c r="P336">
        <x:f t="shared" si="2"/>
      </x:c>
      <x:c r="Q336"/>
      <x:c r="R336"/>
      <x:c r="S336"/>
    </x:row>
    <x:row r="337" ht="15.75" customHeight="1">
      <x:c r="A337">
        <x:f t="shared" si="3"/>
      </x:c>
      <x:c r="B337"/>
      <x:c r="C337" s="62"/>
      <x:c r="D337"/>
      <x:c r="E337"/>
      <x:c r="F337"/>
      <x:c r="G337" s="84"/>
      <x:c r="H337"/>
      <x:c r="I337"/>
      <x:c r="J337"/>
      <x:c r="K337"/>
      <x:c r="L337"/>
      <x:c r="M337"/>
      <x:c r="N337"/>
      <x:c r="O337">
        <x:f t="shared" si="1"/>
      </x:c>
      <x:c r="P337">
        <x:f t="shared" si="2"/>
      </x:c>
      <x:c r="Q337"/>
      <x:c r="R337"/>
      <x:c r="S337"/>
    </x:row>
    <x:row r="338" ht="15.75" customHeight="1">
      <x:c r="A338">
        <x:f t="shared" si="3"/>
      </x:c>
      <x:c r="B338"/>
      <x:c r="C338" s="62"/>
      <x:c r="D338"/>
      <x:c r="E338"/>
      <x:c r="F338"/>
      <x:c r="G338" s="84"/>
      <x:c r="H338"/>
      <x:c r="I338"/>
      <x:c r="J338"/>
      <x:c r="K338"/>
      <x:c r="L338"/>
      <x:c r="M338"/>
      <x:c r="N338"/>
      <x:c r="O338">
        <x:f t="shared" si="1"/>
      </x:c>
      <x:c r="P338">
        <x:f t="shared" si="2"/>
      </x:c>
      <x:c r="Q338"/>
      <x:c r="R338"/>
      <x:c r="S338"/>
    </x:row>
    <x:row r="339" ht="15.75" customHeight="1">
      <x:c r="A339">
        <x:f t="shared" si="3"/>
      </x:c>
      <x:c r="B339"/>
      <x:c r="C339" s="62"/>
      <x:c r="D339"/>
      <x:c r="E339"/>
      <x:c r="F339"/>
      <x:c r="G339" s="84"/>
      <x:c r="H339"/>
      <x:c r="I339"/>
      <x:c r="J339"/>
      <x:c r="K339"/>
      <x:c r="L339"/>
      <x:c r="M339"/>
      <x:c r="N339"/>
      <x:c r="O339">
        <x:f t="shared" si="1"/>
      </x:c>
      <x:c r="P339">
        <x:f t="shared" si="2"/>
      </x:c>
      <x:c r="Q339"/>
      <x:c r="R339"/>
      <x:c r="S339"/>
    </x:row>
    <x:row r="340" ht="15.75" customHeight="1">
      <x:c r="A340">
        <x:f t="shared" si="3"/>
      </x:c>
      <x:c r="B340"/>
      <x:c r="C340" s="62"/>
      <x:c r="D340"/>
      <x:c r="E340"/>
      <x:c r="F340"/>
      <x:c r="G340" s="84"/>
      <x:c r="H340"/>
      <x:c r="I340"/>
      <x:c r="J340"/>
      <x:c r="K340"/>
      <x:c r="L340"/>
      <x:c r="M340"/>
      <x:c r="N340"/>
      <x:c r="O340">
        <x:f t="shared" si="1"/>
      </x:c>
      <x:c r="P340">
        <x:f t="shared" si="2"/>
      </x:c>
      <x:c r="Q340"/>
      <x:c r="R340"/>
      <x:c r="S340"/>
    </x:row>
    <x:row r="341" ht="15.75" customHeight="1">
      <x:c r="A341">
        <x:f t="shared" si="3"/>
      </x:c>
      <x:c r="B341"/>
      <x:c r="C341" s="62"/>
      <x:c r="D341"/>
      <x:c r="E341"/>
      <x:c r="F341"/>
      <x:c r="G341" s="84"/>
      <x:c r="H341"/>
      <x:c r="I341"/>
      <x:c r="J341"/>
      <x:c r="K341"/>
      <x:c r="L341"/>
      <x:c r="M341"/>
      <x:c r="N341"/>
      <x:c r="O341">
        <x:f t="shared" si="1"/>
      </x:c>
      <x:c r="P341">
        <x:f t="shared" si="2"/>
      </x:c>
      <x:c r="Q341"/>
      <x:c r="R341"/>
      <x:c r="S341"/>
    </x:row>
    <x:row r="342" ht="15.75" customHeight="1">
      <x:c r="A342">
        <x:f t="shared" si="3"/>
      </x:c>
      <x:c r="B342"/>
      <x:c r="C342" s="62"/>
      <x:c r="D342"/>
      <x:c r="E342"/>
      <x:c r="F342"/>
      <x:c r="G342" s="84"/>
      <x:c r="H342"/>
      <x:c r="I342"/>
      <x:c r="J342"/>
      <x:c r="K342"/>
      <x:c r="L342"/>
      <x:c r="M342"/>
      <x:c r="N342"/>
      <x:c r="O342">
        <x:f t="shared" si="1"/>
      </x:c>
      <x:c r="P342">
        <x:f t="shared" si="2"/>
      </x:c>
      <x:c r="Q342"/>
      <x:c r="R342"/>
      <x:c r="S342"/>
    </x:row>
    <x:row r="343" ht="15.75" customHeight="1">
      <x:c r="A343">
        <x:f t="shared" si="3"/>
      </x:c>
      <x:c r="B343"/>
      <x:c r="C343" s="62"/>
      <x:c r="D343"/>
      <x:c r="E343"/>
      <x:c r="F343"/>
      <x:c r="G343" s="84"/>
      <x:c r="H343"/>
      <x:c r="I343"/>
      <x:c r="J343"/>
      <x:c r="K343"/>
      <x:c r="L343"/>
      <x:c r="M343"/>
      <x:c r="N343"/>
      <x:c r="O343">
        <x:f t="shared" si="1"/>
      </x:c>
      <x:c r="P343">
        <x:f t="shared" si="2"/>
      </x:c>
      <x:c r="Q343"/>
      <x:c r="R343"/>
      <x:c r="S343"/>
    </x:row>
    <x:row r="344" ht="15.75" customHeight="1">
      <x:c r="A344">
        <x:f t="shared" si="3"/>
      </x:c>
      <x:c r="B344"/>
      <x:c r="C344" s="62"/>
      <x:c r="D344"/>
      <x:c r="E344"/>
      <x:c r="F344"/>
      <x:c r="G344" s="84"/>
      <x:c r="H344"/>
      <x:c r="I344"/>
      <x:c r="J344"/>
      <x:c r="K344"/>
      <x:c r="L344"/>
      <x:c r="M344"/>
      <x:c r="N344"/>
      <x:c r="O344">
        <x:f t="shared" si="1"/>
      </x:c>
      <x:c r="P344">
        <x:f t="shared" si="2"/>
      </x:c>
      <x:c r="Q344"/>
      <x:c r="R344"/>
      <x:c r="S344"/>
    </x:row>
    <x:row r="345" ht="15.75" customHeight="1">
      <x:c r="A345">
        <x:f t="shared" si="3"/>
      </x:c>
      <x:c r="B345"/>
      <x:c r="C345" s="62"/>
      <x:c r="D345"/>
      <x:c r="E345"/>
      <x:c r="F345"/>
      <x:c r="G345" s="84"/>
      <x:c r="H345"/>
      <x:c r="I345"/>
      <x:c r="J345"/>
      <x:c r="K345"/>
      <x:c r="L345"/>
      <x:c r="M345"/>
      <x:c r="N345"/>
      <x:c r="O345">
        <x:f t="shared" si="1"/>
      </x:c>
      <x:c r="P345">
        <x:f t="shared" si="2"/>
      </x:c>
      <x:c r="Q345"/>
      <x:c r="R345"/>
      <x:c r="S345"/>
    </x:row>
    <x:row r="346" ht="15.75" customHeight="1">
      <x:c r="A346">
        <x:f t="shared" si="3"/>
      </x:c>
      <x:c r="B346"/>
      <x:c r="C346" s="62"/>
      <x:c r="D346"/>
      <x:c r="E346"/>
      <x:c r="F346"/>
      <x:c r="G346" s="84"/>
      <x:c r="H346"/>
      <x:c r="I346"/>
      <x:c r="J346"/>
      <x:c r="K346"/>
      <x:c r="L346"/>
      <x:c r="M346"/>
      <x:c r="N346"/>
      <x:c r="O346">
        <x:f t="shared" si="1"/>
      </x:c>
      <x:c r="P346">
        <x:f t="shared" si="2"/>
      </x:c>
      <x:c r="Q346"/>
      <x:c r="R346"/>
      <x:c r="S346"/>
    </x:row>
    <x:row r="347" ht="15.75" customHeight="1">
      <x:c r="A347">
        <x:f t="shared" si="3"/>
      </x:c>
      <x:c r="B347"/>
      <x:c r="C347" s="62"/>
      <x:c r="D347"/>
      <x:c r="E347"/>
      <x:c r="F347"/>
      <x:c r="G347" s="84"/>
      <x:c r="H347"/>
      <x:c r="I347"/>
      <x:c r="J347"/>
      <x:c r="K347"/>
      <x:c r="L347"/>
      <x:c r="M347"/>
      <x:c r="N347"/>
      <x:c r="O347">
        <x:f t="shared" si="1"/>
      </x:c>
      <x:c r="P347">
        <x:f t="shared" si="2"/>
      </x:c>
      <x:c r="Q347"/>
      <x:c r="R347"/>
      <x:c r="S347"/>
    </x:row>
    <x:row r="348" ht="15.75" customHeight="1">
      <x:c r="A348">
        <x:f t="shared" si="3"/>
      </x:c>
      <x:c r="B348"/>
      <x:c r="C348" s="62"/>
      <x:c r="D348"/>
      <x:c r="E348"/>
      <x:c r="F348"/>
      <x:c r="G348" s="84"/>
      <x:c r="H348"/>
      <x:c r="I348"/>
      <x:c r="J348"/>
      <x:c r="K348"/>
      <x:c r="L348"/>
      <x:c r="M348"/>
      <x:c r="N348"/>
      <x:c r="O348">
        <x:f t="shared" si="1"/>
      </x:c>
      <x:c r="P348">
        <x:f t="shared" si="2"/>
      </x:c>
      <x:c r="Q348"/>
      <x:c r="R348"/>
      <x:c r="S348"/>
    </x:row>
    <x:row r="349" ht="15.75" customHeight="1">
      <x:c r="A349">
        <x:f t="shared" si="3"/>
      </x:c>
      <x:c r="B349"/>
      <x:c r="C349" s="62"/>
      <x:c r="D349"/>
      <x:c r="E349"/>
      <x:c r="F349"/>
      <x:c r="G349" s="84"/>
      <x:c r="H349"/>
      <x:c r="I349"/>
      <x:c r="J349"/>
      <x:c r="K349"/>
      <x:c r="L349"/>
      <x:c r="M349"/>
      <x:c r="N349"/>
      <x:c r="O349">
        <x:f t="shared" si="1"/>
      </x:c>
      <x:c r="P349">
        <x:f t="shared" si="2"/>
      </x:c>
      <x:c r="Q349"/>
      <x:c r="R349"/>
      <x:c r="S349"/>
    </x:row>
    <x:row r="350" ht="15.75" customHeight="1">
      <x:c r="A350">
        <x:f t="shared" si="3"/>
      </x:c>
      <x:c r="B350"/>
      <x:c r="C350" s="62"/>
      <x:c r="D350"/>
      <x:c r="E350"/>
      <x:c r="F350"/>
      <x:c r="G350" s="84"/>
      <x:c r="H350"/>
      <x:c r="I350"/>
      <x:c r="J350"/>
      <x:c r="K350"/>
      <x:c r="L350"/>
      <x:c r="M350"/>
      <x:c r="N350"/>
      <x:c r="O350">
        <x:f t="shared" si="1"/>
      </x:c>
      <x:c r="P350">
        <x:f t="shared" si="2"/>
      </x:c>
      <x:c r="Q350"/>
      <x:c r="R350"/>
      <x:c r="S350"/>
    </x:row>
    <x:row r="351" ht="15.75" customHeight="1">
      <x:c r="A351">
        <x:f t="shared" si="3"/>
      </x:c>
      <x:c r="B351"/>
      <x:c r="C351" s="62"/>
      <x:c r="D351"/>
      <x:c r="E351"/>
      <x:c r="F351"/>
      <x:c r="G351" s="84"/>
      <x:c r="H351"/>
      <x:c r="I351"/>
      <x:c r="J351"/>
      <x:c r="K351"/>
      <x:c r="L351"/>
      <x:c r="M351"/>
      <x:c r="N351"/>
      <x:c r="O351">
        <x:f t="shared" si="1"/>
      </x:c>
      <x:c r="P351">
        <x:f t="shared" si="2"/>
      </x:c>
      <x:c r="Q351"/>
      <x:c r="R351"/>
      <x:c r="S351"/>
    </x:row>
    <x:row r="352" ht="15.75" customHeight="1">
      <x:c r="A352">
        <x:f t="shared" si="3"/>
      </x:c>
      <x:c r="B352"/>
      <x:c r="C352" s="62"/>
      <x:c r="D352"/>
      <x:c r="E352"/>
      <x:c r="F352"/>
      <x:c r="G352" s="84"/>
      <x:c r="H352"/>
      <x:c r="I352"/>
      <x:c r="J352"/>
      <x:c r="K352"/>
      <x:c r="L352"/>
      <x:c r="M352"/>
      <x:c r="N352"/>
      <x:c r="O352">
        <x:f t="shared" si="1"/>
      </x:c>
      <x:c r="P352">
        <x:f t="shared" si="2"/>
      </x:c>
      <x:c r="Q352"/>
      <x:c r="R352"/>
      <x:c r="S352"/>
    </x:row>
    <x:row r="353" ht="15.75" customHeight="1">
      <x:c r="A353">
        <x:f t="shared" si="3"/>
      </x:c>
      <x:c r="B353"/>
      <x:c r="C353" s="62"/>
      <x:c r="D353"/>
      <x:c r="E353"/>
      <x:c r="F353"/>
      <x:c r="G353" s="84"/>
      <x:c r="H353"/>
      <x:c r="I353"/>
      <x:c r="J353"/>
      <x:c r="K353"/>
      <x:c r="L353"/>
      <x:c r="M353"/>
      <x:c r="N353"/>
      <x:c r="O353">
        <x:f t="shared" si="1"/>
      </x:c>
      <x:c r="P353">
        <x:f t="shared" si="2"/>
      </x:c>
      <x:c r="Q353"/>
      <x:c r="R353"/>
      <x:c r="S353"/>
    </x:row>
    <x:row r="354" ht="15.75" customHeight="1">
      <x:c r="A354">
        <x:f t="shared" si="3"/>
      </x:c>
      <x:c r="B354"/>
      <x:c r="C354" s="62"/>
      <x:c r="D354"/>
      <x:c r="E354"/>
      <x:c r="F354"/>
      <x:c r="G354" s="84"/>
      <x:c r="H354"/>
      <x:c r="I354"/>
      <x:c r="J354"/>
      <x:c r="K354"/>
      <x:c r="L354"/>
      <x:c r="M354"/>
      <x:c r="N354"/>
      <x:c r="O354">
        <x:f t="shared" si="1"/>
      </x:c>
      <x:c r="P354">
        <x:f t="shared" si="2"/>
      </x:c>
      <x:c r="Q354"/>
      <x:c r="R354"/>
      <x:c r="S354"/>
    </x:row>
    <x:row r="355" ht="15.75" customHeight="1">
      <x:c r="A355">
        <x:f t="shared" si="3"/>
      </x:c>
      <x:c r="B355"/>
      <x:c r="C355" s="62"/>
      <x:c r="D355"/>
      <x:c r="E355"/>
      <x:c r="F355"/>
      <x:c r="G355" s="84"/>
      <x:c r="H355"/>
      <x:c r="I355"/>
      <x:c r="J355"/>
      <x:c r="K355"/>
      <x:c r="L355"/>
      <x:c r="M355"/>
      <x:c r="N355"/>
      <x:c r="O355">
        <x:f t="shared" si="1"/>
      </x:c>
      <x:c r="P355">
        <x:f t="shared" si="2"/>
      </x:c>
      <x:c r="Q355"/>
      <x:c r="R355"/>
      <x:c r="S355"/>
    </x:row>
    <x:row r="356" ht="15.75" customHeight="1">
      <x:c r="A356">
        <x:f t="shared" si="3"/>
      </x:c>
      <x:c r="B356"/>
      <x:c r="C356" s="62"/>
      <x:c r="D356"/>
      <x:c r="E356"/>
      <x:c r="F356"/>
      <x:c r="G356" s="84"/>
      <x:c r="H356"/>
      <x:c r="I356"/>
      <x:c r="J356"/>
      <x:c r="K356"/>
      <x:c r="L356"/>
      <x:c r="M356"/>
      <x:c r="N356"/>
      <x:c r="O356">
        <x:f t="shared" si="1"/>
      </x:c>
      <x:c r="P356">
        <x:f t="shared" si="2"/>
      </x:c>
      <x:c r="Q356"/>
      <x:c r="R356"/>
      <x:c r="S356"/>
    </x:row>
    <x:row r="357" ht="15.75" customHeight="1">
      <x:c r="A357">
        <x:f t="shared" si="3"/>
      </x:c>
      <x:c r="B357"/>
      <x:c r="C357" s="62"/>
      <x:c r="D357"/>
      <x:c r="E357"/>
      <x:c r="F357"/>
      <x:c r="G357" s="84"/>
      <x:c r="H357"/>
      <x:c r="I357"/>
      <x:c r="J357"/>
      <x:c r="K357"/>
      <x:c r="L357"/>
      <x:c r="M357"/>
      <x:c r="N357"/>
      <x:c r="O357">
        <x:f t="shared" si="1"/>
      </x:c>
      <x:c r="P357">
        <x:f t="shared" si="2"/>
      </x:c>
      <x:c r="Q357"/>
      <x:c r="R357"/>
      <x:c r="S357"/>
    </x:row>
    <x:row r="358" ht="15.75" customHeight="1">
      <x:c r="A358">
        <x:f t="shared" si="3"/>
      </x:c>
      <x:c r="B358"/>
      <x:c r="C358" s="62"/>
      <x:c r="D358"/>
      <x:c r="E358"/>
      <x:c r="F358"/>
      <x:c r="G358" s="84"/>
      <x:c r="H358"/>
      <x:c r="I358"/>
      <x:c r="J358"/>
      <x:c r="K358"/>
      <x:c r="L358"/>
      <x:c r="M358"/>
      <x:c r="N358"/>
      <x:c r="O358">
        <x:f t="shared" si="1"/>
      </x:c>
      <x:c r="P358">
        <x:f t="shared" si="2"/>
      </x:c>
      <x:c r="Q358"/>
      <x:c r="R358"/>
      <x:c r="S358"/>
    </x:row>
    <x:row r="359" ht="15.75" customHeight="1">
      <x:c r="A359">
        <x:f t="shared" si="3"/>
      </x:c>
      <x:c r="B359"/>
      <x:c r="C359" s="62"/>
      <x:c r="D359"/>
      <x:c r="E359"/>
      <x:c r="F359"/>
      <x:c r="G359" s="84"/>
      <x:c r="H359"/>
      <x:c r="I359"/>
      <x:c r="J359"/>
      <x:c r="K359"/>
      <x:c r="L359"/>
      <x:c r="M359"/>
      <x:c r="N359"/>
      <x:c r="O359">
        <x:f t="shared" si="1"/>
      </x:c>
      <x:c r="P359">
        <x:f t="shared" si="2"/>
      </x:c>
      <x:c r="Q359"/>
      <x:c r="R359"/>
      <x:c r="S359"/>
    </x:row>
    <x:row r="360" ht="15.75" customHeight="1">
      <x:c r="A360">
        <x:f t="shared" si="3"/>
      </x:c>
      <x:c r="B360"/>
      <x:c r="C360" s="62"/>
      <x:c r="D360"/>
      <x:c r="E360"/>
      <x:c r="F360"/>
      <x:c r="G360" s="84"/>
      <x:c r="H360"/>
      <x:c r="I360"/>
      <x:c r="J360"/>
      <x:c r="K360"/>
      <x:c r="L360"/>
      <x:c r="M360"/>
      <x:c r="N360"/>
      <x:c r="O360">
        <x:f t="shared" si="1"/>
      </x:c>
      <x:c r="P360">
        <x:f t="shared" si="2"/>
      </x:c>
      <x:c r="Q360"/>
      <x:c r="R360"/>
      <x:c r="S360"/>
    </x:row>
    <x:row r="361" ht="15.75" customHeight="1">
      <x:c r="A361">
        <x:f t="shared" si="3"/>
      </x:c>
      <x:c r="B361"/>
      <x:c r="C361" s="62"/>
      <x:c r="D361"/>
      <x:c r="E361"/>
      <x:c r="F361"/>
      <x:c r="G361" s="84"/>
      <x:c r="H361"/>
      <x:c r="I361"/>
      <x:c r="J361"/>
      <x:c r="K361"/>
      <x:c r="L361"/>
      <x:c r="M361"/>
      <x:c r="N361"/>
      <x:c r="O361">
        <x:f t="shared" si="1"/>
      </x:c>
      <x:c r="P361">
        <x:f t="shared" si="2"/>
      </x:c>
      <x:c r="Q361"/>
      <x:c r="R361"/>
      <x:c r="S361"/>
    </x:row>
    <x:row r="362" ht="15.75" customHeight="1">
      <x:c r="A362">
        <x:f t="shared" si="3"/>
      </x:c>
      <x:c r="B362"/>
      <x:c r="C362" s="62"/>
      <x:c r="D362"/>
      <x:c r="E362"/>
      <x:c r="F362"/>
      <x:c r="G362" s="84"/>
      <x:c r="H362"/>
      <x:c r="I362"/>
      <x:c r="J362"/>
      <x:c r="K362"/>
      <x:c r="L362"/>
      <x:c r="M362"/>
      <x:c r="N362"/>
      <x:c r="O362">
        <x:f t="shared" si="1"/>
      </x:c>
      <x:c r="P362">
        <x:f t="shared" si="2"/>
      </x:c>
      <x:c r="Q362"/>
      <x:c r="R362"/>
      <x:c r="S362"/>
    </x:row>
    <x:row r="363" ht="15.75" customHeight="1">
      <x:c r="A363">
        <x:f t="shared" si="3"/>
      </x:c>
      <x:c r="B363"/>
      <x:c r="C363" s="62"/>
      <x:c r="D363"/>
      <x:c r="E363"/>
      <x:c r="F363"/>
      <x:c r="G363" s="84"/>
      <x:c r="H363"/>
      <x:c r="I363"/>
      <x:c r="J363"/>
      <x:c r="K363"/>
      <x:c r="L363"/>
      <x:c r="M363"/>
      <x:c r="N363"/>
      <x:c r="O363">
        <x:f t="shared" si="1"/>
      </x:c>
      <x:c r="P363">
        <x:f t="shared" si="2"/>
      </x:c>
      <x:c r="Q363"/>
      <x:c r="R363"/>
      <x:c r="S363"/>
    </x:row>
    <x:row r="364" ht="15.75" customHeight="1">
      <x:c r="A364">
        <x:f t="shared" si="3"/>
      </x:c>
      <x:c r="B364"/>
      <x:c r="C364" s="62"/>
      <x:c r="D364"/>
      <x:c r="E364"/>
      <x:c r="F364"/>
      <x:c r="G364" s="84"/>
      <x:c r="H364"/>
      <x:c r="I364"/>
      <x:c r="J364"/>
      <x:c r="K364"/>
      <x:c r="L364"/>
      <x:c r="M364"/>
      <x:c r="N364"/>
      <x:c r="O364">
        <x:f t="shared" si="1"/>
      </x:c>
      <x:c r="P364">
        <x:f t="shared" si="2"/>
      </x:c>
      <x:c r="Q364"/>
      <x:c r="R364"/>
      <x:c r="S364"/>
    </x:row>
    <x:row r="365" ht="15.75" customHeight="1">
      <x:c r="A365">
        <x:f t="shared" si="3"/>
      </x:c>
      <x:c r="B365"/>
      <x:c r="C365" s="62"/>
      <x:c r="D365"/>
      <x:c r="E365"/>
      <x:c r="F365"/>
      <x:c r="G365" s="84"/>
      <x:c r="H365"/>
      <x:c r="I365"/>
      <x:c r="J365"/>
      <x:c r="K365"/>
      <x:c r="L365"/>
      <x:c r="M365"/>
      <x:c r="N365"/>
      <x:c r="O365">
        <x:f t="shared" si="1"/>
      </x:c>
      <x:c r="P365">
        <x:f t="shared" si="2"/>
      </x:c>
      <x:c r="Q365"/>
      <x:c r="R365"/>
      <x:c r="S365"/>
    </x:row>
    <x:row r="366" ht="15.75" customHeight="1">
      <x:c r="A366">
        <x:f t="shared" si="3"/>
      </x:c>
      <x:c r="B366"/>
      <x:c r="C366" s="62"/>
      <x:c r="D366"/>
      <x:c r="E366"/>
      <x:c r="F366"/>
      <x:c r="G366" s="84"/>
      <x:c r="H366"/>
      <x:c r="I366"/>
      <x:c r="J366"/>
      <x:c r="K366"/>
      <x:c r="L366"/>
      <x:c r="M366"/>
      <x:c r="N366"/>
      <x:c r="O366">
        <x:f t="shared" si="1"/>
      </x:c>
      <x:c r="P366">
        <x:f t="shared" si="2"/>
      </x:c>
      <x:c r="Q366"/>
      <x:c r="R366"/>
      <x:c r="S366"/>
    </x:row>
    <x:row r="367" ht="15.75" customHeight="1">
      <x:c r="A367">
        <x:f t="shared" si="3"/>
      </x:c>
      <x:c r="B367"/>
      <x:c r="C367" s="62"/>
      <x:c r="D367"/>
      <x:c r="E367"/>
      <x:c r="F367"/>
      <x:c r="G367" s="84"/>
      <x:c r="H367"/>
      <x:c r="I367"/>
      <x:c r="J367"/>
      <x:c r="K367"/>
      <x:c r="L367"/>
      <x:c r="M367"/>
      <x:c r="N367"/>
      <x:c r="O367">
        <x:f t="shared" si="1"/>
      </x:c>
      <x:c r="P367">
        <x:f t="shared" si="2"/>
      </x:c>
      <x:c r="Q367"/>
      <x:c r="R367"/>
      <x:c r="S367"/>
    </x:row>
    <x:row r="368" ht="15.75" customHeight="1">
      <x:c r="A368">
        <x:f t="shared" si="3"/>
      </x:c>
      <x:c r="B368"/>
      <x:c r="C368" s="62"/>
      <x:c r="D368"/>
      <x:c r="E368"/>
      <x:c r="F368"/>
      <x:c r="G368" s="84"/>
      <x:c r="H368"/>
      <x:c r="I368"/>
      <x:c r="J368"/>
      <x:c r="K368"/>
      <x:c r="L368"/>
      <x:c r="M368"/>
      <x:c r="N368"/>
      <x:c r="O368">
        <x:f t="shared" si="1"/>
      </x:c>
      <x:c r="P368">
        <x:f t="shared" si="2"/>
      </x:c>
      <x:c r="Q368"/>
      <x:c r="R368"/>
      <x:c r="S368"/>
    </x:row>
    <x:row r="369" ht="15.75" customHeight="1">
      <x:c r="A369">
        <x:f t="shared" si="3"/>
      </x:c>
      <x:c r="B369"/>
      <x:c r="C369" s="62"/>
      <x:c r="D369"/>
      <x:c r="E369"/>
      <x:c r="F369"/>
      <x:c r="G369" s="84"/>
      <x:c r="H369"/>
      <x:c r="I369"/>
      <x:c r="J369"/>
      <x:c r="K369"/>
      <x:c r="L369"/>
      <x:c r="M369"/>
      <x:c r="N369"/>
      <x:c r="O369">
        <x:f t="shared" si="1"/>
      </x:c>
      <x:c r="P369">
        <x:f t="shared" si="2"/>
      </x:c>
      <x:c r="Q369"/>
      <x:c r="R369"/>
      <x:c r="S369"/>
    </x:row>
    <x:row r="370" ht="15.75" customHeight="1">
      <x:c r="A370">
        <x:f t="shared" si="3"/>
      </x:c>
      <x:c r="B370"/>
      <x:c r="C370" s="62"/>
      <x:c r="D370"/>
      <x:c r="E370"/>
      <x:c r="F370"/>
      <x:c r="G370" s="84"/>
      <x:c r="H370"/>
      <x:c r="I370"/>
      <x:c r="J370"/>
      <x:c r="K370"/>
      <x:c r="L370"/>
      <x:c r="M370"/>
      <x:c r="N370"/>
      <x:c r="O370">
        <x:f t="shared" si="1"/>
      </x:c>
      <x:c r="P370">
        <x:f t="shared" si="2"/>
      </x:c>
      <x:c r="Q370"/>
      <x:c r="R370"/>
      <x:c r="S370"/>
    </x:row>
    <x:row r="371" ht="15.75" customHeight="1">
      <x:c r="A371">
        <x:f t="shared" si="3"/>
      </x:c>
      <x:c r="B371"/>
      <x:c r="C371" s="62"/>
      <x:c r="D371"/>
      <x:c r="E371"/>
      <x:c r="F371"/>
      <x:c r="G371" s="84"/>
      <x:c r="H371"/>
      <x:c r="I371"/>
      <x:c r="J371"/>
      <x:c r="K371"/>
      <x:c r="L371"/>
      <x:c r="M371"/>
      <x:c r="N371"/>
      <x:c r="O371">
        <x:f t="shared" si="1"/>
      </x:c>
      <x:c r="P371">
        <x:f t="shared" si="2"/>
      </x:c>
      <x:c r="Q371"/>
      <x:c r="R371"/>
      <x:c r="S371"/>
    </x:row>
    <x:row r="372" ht="15.75" customHeight="1">
      <x:c r="A372">
        <x:f t="shared" si="3"/>
      </x:c>
      <x:c r="B372"/>
      <x:c r="C372" s="62"/>
      <x:c r="D372"/>
      <x:c r="E372"/>
      <x:c r="F372"/>
      <x:c r="G372" s="84"/>
      <x:c r="H372"/>
      <x:c r="I372"/>
      <x:c r="J372"/>
      <x:c r="K372"/>
      <x:c r="L372"/>
      <x:c r="M372"/>
      <x:c r="N372"/>
      <x:c r="O372">
        <x:f t="shared" si="1"/>
      </x:c>
      <x:c r="P372">
        <x:f t="shared" si="2"/>
      </x:c>
      <x:c r="Q372"/>
      <x:c r="R372"/>
      <x:c r="S372"/>
    </x:row>
    <x:row r="373" ht="15.75" customHeight="1">
      <x:c r="A373">
        <x:f t="shared" si="3"/>
      </x:c>
      <x:c r="B373"/>
      <x:c r="C373" s="62"/>
      <x:c r="D373"/>
      <x:c r="E373"/>
      <x:c r="F373"/>
      <x:c r="G373" s="84"/>
      <x:c r="H373"/>
      <x:c r="I373"/>
      <x:c r="J373"/>
      <x:c r="K373"/>
      <x:c r="L373"/>
      <x:c r="M373"/>
      <x:c r="N373"/>
      <x:c r="O373">
        <x:f t="shared" si="1"/>
      </x:c>
      <x:c r="P373">
        <x:f t="shared" si="2"/>
      </x:c>
      <x:c r="Q373"/>
      <x:c r="R373"/>
      <x:c r="S373"/>
    </x:row>
    <x:row r="374" ht="15.75" customHeight="1">
      <x:c r="A374">
        <x:f t="shared" si="3"/>
      </x:c>
      <x:c r="B374"/>
      <x:c r="C374" s="62"/>
      <x:c r="D374"/>
      <x:c r="E374"/>
      <x:c r="F374"/>
      <x:c r="G374" s="84"/>
      <x:c r="H374"/>
      <x:c r="I374"/>
      <x:c r="J374"/>
      <x:c r="K374"/>
      <x:c r="L374"/>
      <x:c r="M374"/>
      <x:c r="N374"/>
      <x:c r="O374">
        <x:f t="shared" si="1"/>
      </x:c>
      <x:c r="P374">
        <x:f t="shared" si="2"/>
      </x:c>
      <x:c r="Q374"/>
      <x:c r="R374"/>
      <x:c r="S374"/>
    </x:row>
    <x:row r="375" ht="15.75" customHeight="1">
      <x:c r="A375">
        <x:f t="shared" si="3"/>
      </x:c>
      <x:c r="B375"/>
      <x:c r="C375" s="62"/>
      <x:c r="D375"/>
      <x:c r="E375"/>
      <x:c r="F375"/>
      <x:c r="G375" s="84"/>
      <x:c r="H375"/>
      <x:c r="I375"/>
      <x:c r="J375"/>
      <x:c r="K375"/>
      <x:c r="L375"/>
      <x:c r="M375"/>
      <x:c r="N375"/>
      <x:c r="O375">
        <x:f t="shared" si="1"/>
      </x:c>
      <x:c r="P375">
        <x:f t="shared" si="2"/>
      </x:c>
      <x:c r="Q375"/>
      <x:c r="R375"/>
      <x:c r="S375"/>
    </x:row>
    <x:row r="376" ht="15.75" customHeight="1">
      <x:c r="A376">
        <x:f t="shared" si="3"/>
      </x:c>
      <x:c r="B376"/>
      <x:c r="C376" s="62"/>
      <x:c r="D376"/>
      <x:c r="E376"/>
      <x:c r="F376"/>
      <x:c r="G376" s="84"/>
      <x:c r="H376"/>
      <x:c r="I376"/>
      <x:c r="J376"/>
      <x:c r="K376"/>
      <x:c r="L376"/>
      <x:c r="M376"/>
      <x:c r="N376"/>
      <x:c r="O376">
        <x:f t="shared" si="1"/>
      </x:c>
      <x:c r="P376">
        <x:f t="shared" si="2"/>
      </x:c>
      <x:c r="Q376"/>
      <x:c r="R376"/>
      <x:c r="S376"/>
    </x:row>
    <x:row r="377" ht="15.75" customHeight="1">
      <x:c r="A377">
        <x:f t="shared" si="3"/>
      </x:c>
      <x:c r="B377"/>
      <x:c r="C377" s="62"/>
      <x:c r="D377"/>
      <x:c r="E377"/>
      <x:c r="F377"/>
      <x:c r="G377" s="84"/>
      <x:c r="H377"/>
      <x:c r="I377"/>
      <x:c r="J377"/>
      <x:c r="K377"/>
      <x:c r="L377"/>
      <x:c r="M377"/>
      <x:c r="N377"/>
      <x:c r="O377">
        <x:f t="shared" si="1"/>
      </x:c>
      <x:c r="P377">
        <x:f t="shared" si="2"/>
      </x:c>
      <x:c r="Q377"/>
      <x:c r="R377"/>
      <x:c r="S377"/>
    </x:row>
    <x:row r="378" ht="15.75" customHeight="1">
      <x:c r="A378">
        <x:f t="shared" si="3"/>
      </x:c>
      <x:c r="B378"/>
      <x:c r="C378" s="62"/>
      <x:c r="D378"/>
      <x:c r="E378"/>
      <x:c r="F378"/>
      <x:c r="G378" s="84"/>
      <x:c r="H378"/>
      <x:c r="I378"/>
      <x:c r="J378"/>
      <x:c r="K378"/>
      <x:c r="L378"/>
      <x:c r="M378"/>
      <x:c r="N378"/>
      <x:c r="O378">
        <x:f t="shared" si="1"/>
      </x:c>
      <x:c r="P378">
        <x:f t="shared" si="2"/>
      </x:c>
      <x:c r="Q378"/>
      <x:c r="R378"/>
      <x:c r="S378"/>
    </x:row>
    <x:row r="379" ht="15.75" customHeight="1">
      <x:c r="A379">
        <x:f t="shared" si="3"/>
      </x:c>
      <x:c r="B379"/>
      <x:c r="C379" s="62"/>
      <x:c r="D379"/>
      <x:c r="E379"/>
      <x:c r="F379"/>
      <x:c r="G379" s="84"/>
      <x:c r="H379"/>
      <x:c r="I379"/>
      <x:c r="J379"/>
      <x:c r="K379"/>
      <x:c r="L379"/>
      <x:c r="M379"/>
      <x:c r="N379"/>
      <x:c r="O379">
        <x:f t="shared" si="1"/>
      </x:c>
      <x:c r="P379">
        <x:f t="shared" si="2"/>
      </x:c>
      <x:c r="Q379"/>
      <x:c r="R379"/>
      <x:c r="S379"/>
    </x:row>
    <x:row r="380" ht="15.75" customHeight="1">
      <x:c r="A380">
        <x:f t="shared" si="3"/>
      </x:c>
      <x:c r="B380"/>
      <x:c r="C380" s="62"/>
      <x:c r="D380"/>
      <x:c r="E380"/>
      <x:c r="F380"/>
      <x:c r="G380" s="84"/>
      <x:c r="H380"/>
      <x:c r="I380"/>
      <x:c r="J380"/>
      <x:c r="K380"/>
      <x:c r="L380"/>
      <x:c r="M380"/>
      <x:c r="N380"/>
      <x:c r="O380">
        <x:f t="shared" si="1"/>
      </x:c>
      <x:c r="P380">
        <x:f t="shared" si="2"/>
      </x:c>
      <x:c r="Q380"/>
      <x:c r="R380"/>
      <x:c r="S380"/>
    </x:row>
    <x:row r="381" ht="15.75" customHeight="1">
      <x:c r="A381">
        <x:f t="shared" si="3"/>
      </x:c>
      <x:c r="B381"/>
      <x:c r="C381" s="62"/>
      <x:c r="D381"/>
      <x:c r="E381"/>
      <x:c r="F381"/>
      <x:c r="G381" s="84"/>
      <x:c r="H381"/>
      <x:c r="I381"/>
      <x:c r="J381"/>
      <x:c r="K381"/>
      <x:c r="L381"/>
      <x:c r="M381"/>
      <x:c r="N381"/>
      <x:c r="O381">
        <x:f t="shared" si="1"/>
      </x:c>
      <x:c r="P381">
        <x:f t="shared" si="2"/>
      </x:c>
      <x:c r="Q381"/>
      <x:c r="R381"/>
      <x:c r="S381"/>
    </x:row>
    <x:row r="382" ht="15.75" customHeight="1">
      <x:c r="A382">
        <x:f t="shared" si="3"/>
      </x:c>
      <x:c r="B382"/>
      <x:c r="C382" s="62"/>
      <x:c r="D382"/>
      <x:c r="E382"/>
      <x:c r="F382"/>
      <x:c r="G382" s="84"/>
      <x:c r="H382"/>
      <x:c r="I382"/>
      <x:c r="J382"/>
      <x:c r="K382"/>
      <x:c r="L382"/>
      <x:c r="M382"/>
      <x:c r="N382"/>
      <x:c r="O382">
        <x:f t="shared" si="1"/>
      </x:c>
      <x:c r="P382">
        <x:f t="shared" si="2"/>
      </x:c>
      <x:c r="Q382"/>
      <x:c r="R382"/>
      <x:c r="S382"/>
    </x:row>
    <x:row r="383" ht="15.75" customHeight="1">
      <x:c r="A383">
        <x:f t="shared" si="3"/>
      </x:c>
      <x:c r="B383"/>
      <x:c r="C383" s="62"/>
      <x:c r="D383"/>
      <x:c r="E383"/>
      <x:c r="F383"/>
      <x:c r="G383" s="84"/>
      <x:c r="H383"/>
      <x:c r="I383"/>
      <x:c r="J383"/>
      <x:c r="K383"/>
      <x:c r="L383"/>
      <x:c r="M383"/>
      <x:c r="N383"/>
      <x:c r="O383">
        <x:f t="shared" si="1"/>
      </x:c>
      <x:c r="P383">
        <x:f t="shared" si="2"/>
      </x:c>
      <x:c r="Q383"/>
      <x:c r="R383"/>
      <x:c r="S383"/>
    </x:row>
    <x:row r="384" ht="15.75" customHeight="1">
      <x:c r="A384">
        <x:f t="shared" si="3"/>
      </x:c>
      <x:c r="B384"/>
      <x:c r="C384" s="62"/>
      <x:c r="D384"/>
      <x:c r="E384"/>
      <x:c r="F384"/>
      <x:c r="G384" s="84"/>
      <x:c r="H384"/>
      <x:c r="I384"/>
      <x:c r="J384"/>
      <x:c r="K384"/>
      <x:c r="L384"/>
      <x:c r="M384"/>
      <x:c r="N384"/>
      <x:c r="O384">
        <x:f t="shared" si="1"/>
      </x:c>
      <x:c r="P384">
        <x:f t="shared" si="2"/>
      </x:c>
      <x:c r="Q384"/>
      <x:c r="R384"/>
      <x:c r="S384"/>
    </x:row>
    <x:row r="385" ht="15.75" customHeight="1">
      <x:c r="A385">
        <x:f t="shared" si="3"/>
      </x:c>
      <x:c r="B385"/>
      <x:c r="C385" s="62"/>
      <x:c r="D385"/>
      <x:c r="E385"/>
      <x:c r="F385"/>
      <x:c r="G385" s="84"/>
      <x:c r="H385"/>
      <x:c r="I385"/>
      <x:c r="J385"/>
      <x:c r="K385"/>
      <x:c r="L385"/>
      <x:c r="M385"/>
      <x:c r="N385"/>
      <x:c r="O385">
        <x:f t="shared" si="1"/>
      </x:c>
      <x:c r="P385">
        <x:f t="shared" si="2"/>
      </x:c>
      <x:c r="Q385"/>
      <x:c r="R385"/>
      <x:c r="S385"/>
    </x:row>
    <x:row r="386" ht="15.75" customHeight="1">
      <x:c r="A386">
        <x:f t="shared" si="3"/>
      </x:c>
      <x:c r="B386"/>
      <x:c r="C386" s="62"/>
      <x:c r="D386"/>
      <x:c r="E386"/>
      <x:c r="F386"/>
      <x:c r="G386" s="84"/>
      <x:c r="H386"/>
      <x:c r="I386"/>
      <x:c r="J386"/>
      <x:c r="K386"/>
      <x:c r="L386"/>
      <x:c r="M386"/>
      <x:c r="N386"/>
      <x:c r="O386">
        <x:f t="shared" si="1"/>
      </x:c>
      <x:c r="P386">
        <x:f t="shared" si="2"/>
      </x:c>
      <x:c r="Q386"/>
      <x:c r="R386"/>
      <x:c r="S386"/>
    </x:row>
    <x:row r="387" ht="15.75" customHeight="1">
      <x:c r="A387">
        <x:f t="shared" si="3"/>
      </x:c>
      <x:c r="B387"/>
      <x:c r="C387" s="62"/>
      <x:c r="D387"/>
      <x:c r="E387"/>
      <x:c r="F387"/>
      <x:c r="G387" s="84"/>
      <x:c r="H387"/>
      <x:c r="I387"/>
      <x:c r="J387"/>
      <x:c r="K387"/>
      <x:c r="L387"/>
      <x:c r="M387"/>
      <x:c r="N387"/>
      <x:c r="O387">
        <x:f t="shared" si="1"/>
      </x:c>
      <x:c r="P387">
        <x:f t="shared" si="2"/>
      </x:c>
      <x:c r="Q387"/>
      <x:c r="R387"/>
      <x:c r="S387"/>
    </x:row>
    <x:row r="388" ht="15.75" customHeight="1">
      <x:c r="A388">
        <x:f t="shared" si="3"/>
      </x:c>
      <x:c r="B388"/>
      <x:c r="C388" s="62"/>
      <x:c r="D388"/>
      <x:c r="E388"/>
      <x:c r="F388"/>
      <x:c r="G388" s="84"/>
      <x:c r="H388"/>
      <x:c r="I388"/>
      <x:c r="J388"/>
      <x:c r="K388"/>
      <x:c r="L388"/>
      <x:c r="M388"/>
      <x:c r="N388"/>
      <x:c r="O388">
        <x:f t="shared" si="1"/>
      </x:c>
      <x:c r="P388">
        <x:f t="shared" si="2"/>
      </x:c>
      <x:c r="Q388"/>
      <x:c r="R388"/>
      <x:c r="S388"/>
    </x:row>
    <x:row r="389" ht="15.75" customHeight="1">
      <x:c r="A389">
        <x:f t="shared" si="3"/>
      </x:c>
      <x:c r="B389"/>
      <x:c r="C389" s="62"/>
      <x:c r="D389"/>
      <x:c r="E389"/>
      <x:c r="F389"/>
      <x:c r="G389" s="84"/>
      <x:c r="H389"/>
      <x:c r="I389"/>
      <x:c r="J389"/>
      <x:c r="K389"/>
      <x:c r="L389"/>
      <x:c r="M389"/>
      <x:c r="N389"/>
      <x:c r="O389">
        <x:f t="shared" si="1"/>
      </x:c>
      <x:c r="P389">
        <x:f t="shared" si="2"/>
      </x:c>
      <x:c r="Q389"/>
      <x:c r="R389"/>
      <x:c r="S389"/>
    </x:row>
    <x:row r="390" ht="15.75" customHeight="1">
      <x:c r="A390">
        <x:f t="shared" si="3"/>
      </x:c>
      <x:c r="B390"/>
      <x:c r="C390" s="62"/>
      <x:c r="D390"/>
      <x:c r="E390"/>
      <x:c r="F390"/>
      <x:c r="G390" s="84"/>
      <x:c r="H390"/>
      <x:c r="I390"/>
      <x:c r="J390"/>
      <x:c r="K390"/>
      <x:c r="L390"/>
      <x:c r="M390"/>
      <x:c r="N390"/>
      <x:c r="O390">
        <x:f t="shared" si="1"/>
      </x:c>
      <x:c r="P390">
        <x:f t="shared" si="2"/>
      </x:c>
      <x:c r="Q390"/>
      <x:c r="R390"/>
      <x:c r="S390"/>
    </x:row>
    <x:row r="391" ht="15.75" customHeight="1">
      <x:c r="A391">
        <x:f t="shared" si="3"/>
      </x:c>
      <x:c r="B391"/>
      <x:c r="C391" s="62"/>
      <x:c r="D391"/>
      <x:c r="E391"/>
      <x:c r="F391"/>
      <x:c r="G391" s="84"/>
      <x:c r="H391"/>
      <x:c r="I391"/>
      <x:c r="J391"/>
      <x:c r="K391"/>
      <x:c r="L391"/>
      <x:c r="M391"/>
      <x:c r="N391"/>
      <x:c r="O391">
        <x:f t="shared" si="1"/>
      </x:c>
      <x:c r="P391">
        <x:f t="shared" si="2"/>
      </x:c>
      <x:c r="Q391"/>
      <x:c r="R391"/>
      <x:c r="S391"/>
    </x:row>
    <x:row r="392" ht="15.75" customHeight="1">
      <x:c r="A392">
        <x:f t="shared" si="3"/>
      </x:c>
      <x:c r="B392"/>
      <x:c r="C392" s="62"/>
      <x:c r="D392"/>
      <x:c r="E392"/>
      <x:c r="F392"/>
      <x:c r="G392" s="84"/>
      <x:c r="H392"/>
      <x:c r="I392"/>
      <x:c r="J392"/>
      <x:c r="K392"/>
      <x:c r="L392"/>
      <x:c r="M392"/>
      <x:c r="N392"/>
      <x:c r="O392">
        <x:f t="shared" si="1"/>
      </x:c>
      <x:c r="P392">
        <x:f t="shared" si="2"/>
      </x:c>
      <x:c r="Q392"/>
      <x:c r="R392"/>
      <x:c r="S392"/>
    </x:row>
    <x:row r="393" ht="15.75" customHeight="1">
      <x:c r="A393">
        <x:f t="shared" si="3"/>
      </x:c>
      <x:c r="B393"/>
      <x:c r="C393" s="62"/>
      <x:c r="D393"/>
      <x:c r="E393"/>
      <x:c r="F393"/>
      <x:c r="G393" s="84"/>
      <x:c r="H393"/>
      <x:c r="I393"/>
      <x:c r="J393"/>
      <x:c r="K393"/>
      <x:c r="L393"/>
      <x:c r="M393"/>
      <x:c r="N393"/>
      <x:c r="O393">
        <x:f t="shared" si="1"/>
      </x:c>
      <x:c r="P393">
        <x:f t="shared" si="2"/>
      </x:c>
      <x:c r="Q393"/>
      <x:c r="R393"/>
      <x:c r="S393"/>
    </x:row>
    <x:row r="394" ht="15.75" customHeight="1">
      <x:c r="A394">
        <x:f t="shared" si="3"/>
      </x:c>
      <x:c r="B394"/>
      <x:c r="C394" s="62"/>
      <x:c r="D394"/>
      <x:c r="E394"/>
      <x:c r="F394"/>
      <x:c r="G394" s="84"/>
      <x:c r="H394"/>
      <x:c r="I394"/>
      <x:c r="J394"/>
      <x:c r="K394"/>
      <x:c r="L394"/>
      <x:c r="M394"/>
      <x:c r="N394"/>
      <x:c r="O394">
        <x:f t="shared" si="1"/>
      </x:c>
      <x:c r="P394">
        <x:f t="shared" si="2"/>
      </x:c>
      <x:c r="Q394"/>
      <x:c r="R394"/>
      <x:c r="S394"/>
    </x:row>
    <x:row r="395" ht="15.75" customHeight="1">
      <x:c r="A395">
        <x:f t="shared" si="3"/>
      </x:c>
      <x:c r="B395"/>
      <x:c r="C395" s="62"/>
      <x:c r="D395"/>
      <x:c r="E395"/>
      <x:c r="F395"/>
      <x:c r="G395" s="84"/>
      <x:c r="H395"/>
      <x:c r="I395"/>
      <x:c r="J395"/>
      <x:c r="K395"/>
      <x:c r="L395"/>
      <x:c r="M395"/>
      <x:c r="N395"/>
      <x:c r="O395">
        <x:f t="shared" si="1"/>
      </x:c>
      <x:c r="P395">
        <x:f t="shared" si="2"/>
      </x:c>
      <x:c r="Q395"/>
      <x:c r="R395"/>
      <x:c r="S395"/>
    </x:row>
    <x:row r="396" ht="15.75" customHeight="1">
      <x:c r="A396">
        <x:f t="shared" si="3"/>
      </x:c>
      <x:c r="B396"/>
      <x:c r="C396" s="62"/>
      <x:c r="D396"/>
      <x:c r="E396"/>
      <x:c r="F396"/>
      <x:c r="G396" s="84"/>
      <x:c r="H396"/>
      <x:c r="I396"/>
      <x:c r="J396"/>
      <x:c r="K396"/>
      <x:c r="L396"/>
      <x:c r="M396"/>
      <x:c r="N396"/>
      <x:c r="O396">
        <x:f t="shared" si="1"/>
      </x:c>
      <x:c r="P396">
        <x:f t="shared" si="2"/>
      </x:c>
      <x:c r="Q396"/>
      <x:c r="R396"/>
      <x:c r="S396"/>
    </x:row>
    <x:row r="397" ht="15.75" customHeight="1">
      <x:c r="A397">
        <x:f t="shared" si="3"/>
      </x:c>
      <x:c r="B397"/>
      <x:c r="C397" s="62"/>
      <x:c r="D397"/>
      <x:c r="E397"/>
      <x:c r="F397"/>
      <x:c r="G397" s="84"/>
      <x:c r="H397"/>
      <x:c r="I397"/>
      <x:c r="J397"/>
      <x:c r="K397"/>
      <x:c r="L397"/>
      <x:c r="M397"/>
      <x:c r="N397"/>
      <x:c r="O397">
        <x:f t="shared" si="1"/>
      </x:c>
      <x:c r="P397">
        <x:f t="shared" si="2"/>
      </x:c>
      <x:c r="Q397"/>
      <x:c r="R397"/>
      <x:c r="S397"/>
    </x:row>
    <x:row r="398" ht="15.75" customHeight="1">
      <x:c r="A398">
        <x:f t="shared" si="3"/>
      </x:c>
      <x:c r="B398"/>
      <x:c r="C398" s="62"/>
      <x:c r="D398"/>
      <x:c r="E398"/>
      <x:c r="F398"/>
      <x:c r="G398" s="84"/>
      <x:c r="H398"/>
      <x:c r="I398"/>
      <x:c r="J398"/>
      <x:c r="K398"/>
      <x:c r="L398"/>
      <x:c r="M398"/>
      <x:c r="N398"/>
      <x:c r="O398">
        <x:f t="shared" si="1"/>
      </x:c>
      <x:c r="P398">
        <x:f t="shared" si="2"/>
      </x:c>
      <x:c r="Q398"/>
      <x:c r="R398"/>
      <x:c r="S398"/>
    </x:row>
    <x:row r="399" ht="15.75" customHeight="1">
      <x:c r="A399">
        <x:f t="shared" si="3"/>
      </x:c>
      <x:c r="B399"/>
      <x:c r="C399" s="62"/>
      <x:c r="D399"/>
      <x:c r="E399"/>
      <x:c r="F399"/>
      <x:c r="G399" s="84"/>
      <x:c r="H399"/>
      <x:c r="I399"/>
      <x:c r="J399"/>
      <x:c r="K399"/>
      <x:c r="L399"/>
      <x:c r="M399"/>
      <x:c r="N399"/>
      <x:c r="O399">
        <x:f t="shared" si="1"/>
      </x:c>
      <x:c r="P399">
        <x:f t="shared" si="2"/>
      </x:c>
      <x:c r="Q399"/>
      <x:c r="R399"/>
      <x:c r="S399"/>
    </x:row>
    <x:row r="400" ht="15.75" customHeight="1">
      <x:c r="A400">
        <x:f t="shared" si="3"/>
      </x:c>
      <x:c r="B400"/>
      <x:c r="C400" s="62"/>
      <x:c r="D400"/>
      <x:c r="E400"/>
      <x:c r="F400"/>
      <x:c r="G400" s="84"/>
      <x:c r="H400"/>
      <x:c r="I400"/>
      <x:c r="J400"/>
      <x:c r="K400"/>
      <x:c r="L400"/>
      <x:c r="M400"/>
      <x:c r="N400"/>
      <x:c r="O400">
        <x:f t="shared" si="1"/>
      </x:c>
      <x:c r="P400">
        <x:f t="shared" si="2"/>
      </x:c>
      <x:c r="Q400"/>
      <x:c r="R400"/>
      <x:c r="S400"/>
    </x:row>
    <x:row r="401" ht="15.75" customHeight="1">
      <x:c r="C401" s="62"/>
      <x:c r="G401" s="84"/>
    </x:row>
    <x:row r="402" ht="15.75" customHeight="1">
      <x:c r="C402" s="62"/>
      <x:c r="G402" s="84"/>
    </x:row>
    <x:row r="403" ht="15.75" customHeight="1">
      <x:c r="C403" s="62"/>
      <x:c r="G403" s="84"/>
    </x:row>
    <x:row r="404" ht="15.75" customHeight="1">
      <x:c r="C404" s="62"/>
      <x:c r="G404" s="84"/>
    </x:row>
    <x:row r="405" ht="15.75" customHeight="1">
      <x:c r="C405" s="62"/>
      <x:c r="G405" s="84"/>
    </x:row>
    <x:row r="406" ht="15.75" customHeight="1">
      <x:c r="C406" s="62"/>
      <x:c r="G406" s="84"/>
    </x:row>
    <x:row r="407" ht="15.75" customHeight="1">
      <x:c r="C407" s="62"/>
      <x:c r="G407" s="84"/>
    </x:row>
    <x:row r="408" ht="15.75" customHeight="1">
      <x:c r="C408" s="62"/>
      <x:c r="G408" s="84"/>
    </x:row>
    <x:row r="409" ht="15.75" customHeight="1">
      <x:c r="C409" s="62"/>
      <x:c r="G409" s="84"/>
    </x:row>
    <x:row r="410" ht="15.75" customHeight="1">
      <x:c r="C410" s="62"/>
      <x:c r="G410" s="84"/>
    </x:row>
    <x:row r="411" ht="15.75" customHeight="1">
      <x:c r="C411" s="62"/>
      <x:c r="G411" s="84"/>
    </x:row>
    <x:row r="412" ht="15.75" customHeight="1">
      <x:c r="C412" s="62"/>
      <x:c r="G412" s="84"/>
    </x:row>
    <x:row r="413" ht="15.75" customHeight="1">
      <x:c r="C413" s="62"/>
      <x:c r="G413" s="84"/>
    </x:row>
    <x:row r="414" ht="15.75" customHeight="1">
      <x:c r="C414" s="62"/>
      <x:c r="G414" s="84"/>
    </x:row>
    <x:row r="415" ht="15.75" customHeight="1">
      <x:c r="C415" s="62"/>
      <x:c r="G415" s="84"/>
    </x:row>
    <x:row r="416" ht="15.75" customHeight="1">
      <x:c r="C416" s="62"/>
      <x:c r="G416" s="84"/>
    </x:row>
    <x:row r="417" ht="15.75" customHeight="1">
      <x:c r="C417" s="62"/>
      <x:c r="G417" s="84"/>
    </x:row>
    <x:row r="418" ht="15.75" customHeight="1">
      <x:c r="C418" s="62"/>
      <x:c r="G418" s="84"/>
    </x:row>
    <x:row r="419" ht="15.75" customHeight="1">
      <x:c r="C419" s="62"/>
      <x:c r="G419" s="84"/>
    </x:row>
    <x:row r="420" ht="15.75" customHeight="1">
      <x:c r="C420" s="62"/>
      <x:c r="G420" s="84"/>
    </x:row>
    <x:row r="421" ht="15.75" customHeight="1">
      <x:c r="C421" s="62"/>
      <x:c r="G421" s="84"/>
    </x:row>
    <x:row r="422" ht="15.75" customHeight="1">
      <x:c r="C422" s="62"/>
      <x:c r="G422" s="84"/>
    </x:row>
    <x:row r="423" ht="15.75" customHeight="1">
      <x:c r="C423" s="62"/>
      <x:c r="G423" s="84"/>
    </x:row>
    <x:row r="424" ht="15.75" customHeight="1">
      <x:c r="C424" s="62"/>
      <x:c r="G424" s="84"/>
    </x:row>
    <x:row r="425" ht="15.75" customHeight="1">
      <x:c r="C425" s="62"/>
      <x:c r="G425" s="84"/>
    </x:row>
    <x:row r="426" ht="15.75" customHeight="1">
      <x:c r="C426" s="62"/>
      <x:c r="G426" s="84"/>
    </x:row>
    <x:row r="427" ht="15.75" customHeight="1">
      <x:c r="C427" s="62"/>
      <x:c r="G427" s="84"/>
    </x:row>
    <x:row r="428" ht="15.75" customHeight="1">
      <x:c r="C428" s="62"/>
      <x:c r="G428" s="84"/>
    </x:row>
    <x:row r="429" ht="15.75" customHeight="1">
      <x:c r="C429" s="62"/>
      <x:c r="G429" s="84"/>
    </x:row>
    <x:row r="430" ht="15.75" customHeight="1">
      <x:c r="C430" s="62"/>
      <x:c r="G430" s="84"/>
    </x:row>
    <x:row r="431" ht="15.75" customHeight="1">
      <x:c r="C431" s="62"/>
      <x:c r="G431" s="84"/>
    </x:row>
    <x:row r="432" ht="15.75" customHeight="1">
      <x:c r="C432" s="62"/>
      <x:c r="G432" s="84"/>
    </x:row>
    <x:row r="433" ht="15.75" customHeight="1">
      <x:c r="C433" s="62"/>
      <x:c r="G433" s="84"/>
    </x:row>
    <x:row r="434" ht="15.75" customHeight="1">
      <x:c r="C434" s="62"/>
      <x:c r="G434" s="84"/>
    </x:row>
    <x:row r="435" ht="15.75" customHeight="1">
      <x:c r="C435" s="62"/>
      <x:c r="G435" s="84"/>
    </x:row>
    <x:row r="436" ht="15.75" customHeight="1">
      <x:c r="C436" s="62"/>
      <x:c r="G436" s="84"/>
    </x:row>
    <x:row r="437" ht="15.75" customHeight="1">
      <x:c r="C437" s="62"/>
      <x:c r="G437" s="84"/>
    </x:row>
    <x:row r="438" ht="15.75" customHeight="1">
      <x:c r="C438" s="62"/>
      <x:c r="G438" s="84"/>
    </x:row>
    <x:row r="439" ht="15.75" customHeight="1">
      <x:c r="C439" s="62"/>
      <x:c r="G439" s="84"/>
    </x:row>
    <x:row r="440" ht="15.75" customHeight="1">
      <x:c r="C440" s="62"/>
      <x:c r="G440" s="84"/>
    </x:row>
    <x:row r="441" ht="15.75" customHeight="1">
      <x:c r="C441" s="62"/>
      <x:c r="G441" s="84"/>
    </x:row>
    <x:row r="442" ht="15.75" customHeight="1">
      <x:c r="C442" s="62"/>
      <x:c r="G442" s="84"/>
    </x:row>
    <x:row r="443" ht="15.75" customHeight="1">
      <x:c r="C443" s="62"/>
      <x:c r="G443" s="84"/>
    </x:row>
    <x:row r="444" ht="15.75" customHeight="1">
      <x:c r="C444" s="62"/>
      <x:c r="G444" s="84"/>
    </x:row>
    <x:row r="445" ht="15.75" customHeight="1">
      <x:c r="C445" s="62"/>
      <x:c r="G445" s="84"/>
    </x:row>
    <x:row r="446" ht="15.75" customHeight="1">
      <x:c r="C446" s="62"/>
      <x:c r="G446" s="84"/>
    </x:row>
    <x:row r="447" ht="15.75" customHeight="1">
      <x:c r="C447" s="62"/>
      <x:c r="G447" s="84"/>
    </x:row>
    <x:row r="448" ht="15.75" customHeight="1">
      <x:c r="C448" s="62"/>
      <x:c r="G448" s="84"/>
    </x:row>
    <x:row r="449" ht="15.75" customHeight="1">
      <x:c r="C449" s="62"/>
      <x:c r="G449" s="84"/>
    </x:row>
    <x:row r="450" ht="15.75" customHeight="1">
      <x:c r="C450" s="62"/>
      <x:c r="G450" s="84"/>
    </x:row>
    <x:row r="451" ht="15.75" customHeight="1">
      <x:c r="C451" s="62"/>
      <x:c r="G451" s="84"/>
    </x:row>
    <x:row r="452" ht="15.75" customHeight="1">
      <x:c r="C452" s="62"/>
      <x:c r="G452" s="84"/>
    </x:row>
    <x:row r="453" ht="15.75" customHeight="1">
      <x:c r="C453" s="62"/>
      <x:c r="G453" s="84"/>
    </x:row>
    <x:row r="454" ht="15.75" customHeight="1">
      <x:c r="C454" s="62"/>
      <x:c r="G454" s="84"/>
    </x:row>
    <x:row r="455" ht="15.75" customHeight="1">
      <x:c r="C455" s="62"/>
      <x:c r="G455" s="84"/>
    </x:row>
    <x:row r="456" ht="15.75" customHeight="1">
      <x:c r="C456" s="62"/>
      <x:c r="G456" s="84"/>
    </x:row>
    <x:row r="457" ht="15.75" customHeight="1">
      <x:c r="C457" s="62"/>
      <x:c r="G457" s="84"/>
    </x:row>
    <x:row r="458" ht="15.75" customHeight="1">
      <x:c r="C458" s="62"/>
      <x:c r="G458" s="84"/>
    </x:row>
    <x:row r="459" ht="15.75" customHeight="1">
      <x:c r="C459" s="62"/>
      <x:c r="G459" s="84"/>
    </x:row>
    <x:row r="460" ht="15.75" customHeight="1">
      <x:c r="C460" s="62"/>
      <x:c r="G460" s="84"/>
    </x:row>
    <x:row r="461" ht="15.75" customHeight="1">
      <x:c r="C461" s="62"/>
      <x:c r="G461" s="84"/>
    </x:row>
    <x:row r="462" ht="15.75" customHeight="1">
      <x:c r="C462" s="62"/>
      <x:c r="G462" s="84"/>
    </x:row>
    <x:row r="463" ht="15.75" customHeight="1">
      <x:c r="C463" s="62"/>
      <x:c r="G463" s="84"/>
    </x:row>
    <x:row r="464" ht="15.75" customHeight="1">
      <x:c r="C464" s="62"/>
      <x:c r="G464" s="84"/>
    </x:row>
    <x:row r="465" ht="15.75" customHeight="1">
      <x:c r="C465" s="62"/>
      <x:c r="G465" s="84"/>
    </x:row>
    <x:row r="466" ht="15.75" customHeight="1">
      <x:c r="C466" s="62"/>
      <x:c r="G466" s="84"/>
    </x:row>
    <x:row r="467" ht="15.75" customHeight="1">
      <x:c r="C467" s="62"/>
      <x:c r="G467" s="84"/>
    </x:row>
    <x:row r="468" ht="15.75" customHeight="1">
      <x:c r="C468" s="62"/>
      <x:c r="G468" s="84"/>
    </x:row>
    <x:row r="469" ht="15.75" customHeight="1">
      <x:c r="C469" s="62"/>
      <x:c r="G469" s="84"/>
    </x:row>
    <x:row r="470" ht="15.75" customHeight="1">
      <x:c r="C470" s="62"/>
      <x:c r="G470" s="84"/>
    </x:row>
    <x:row r="471" ht="15.75" customHeight="1">
      <x:c r="C471" s="62"/>
      <x:c r="G471" s="84"/>
    </x:row>
    <x:row r="472" ht="15.75" customHeight="1">
      <x:c r="C472" s="62"/>
      <x:c r="G472" s="84"/>
    </x:row>
    <x:row r="473" ht="15.75" customHeight="1">
      <x:c r="C473" s="62"/>
      <x:c r="G473" s="84"/>
    </x:row>
    <x:row r="474" ht="15.75" customHeight="1">
      <x:c r="C474" s="62"/>
      <x:c r="G474" s="84"/>
    </x:row>
    <x:row r="475" ht="15.75" customHeight="1">
      <x:c r="C475" s="62"/>
      <x:c r="G475" s="84"/>
    </x:row>
    <x:row r="476" ht="15.75" customHeight="1">
      <x:c r="C476" s="62"/>
      <x:c r="G476" s="84"/>
    </x:row>
    <x:row r="477" ht="15.75" customHeight="1">
      <x:c r="C477" s="62"/>
      <x:c r="G477" s="84"/>
    </x:row>
    <x:row r="478" ht="15.75" customHeight="1">
      <x:c r="C478" s="62"/>
      <x:c r="G478" s="84"/>
    </x:row>
    <x:row r="479" ht="15.75" customHeight="1">
      <x:c r="C479" s="62"/>
      <x:c r="G479" s="84"/>
    </x:row>
    <x:row r="480" ht="15.75" customHeight="1">
      <x:c r="C480" s="62"/>
      <x:c r="G480" s="84"/>
    </x:row>
    <x:row r="481" ht="15.75" customHeight="1">
      <x:c r="C481" s="62"/>
      <x:c r="G481" s="84"/>
    </x:row>
    <x:row r="482" ht="15.75" customHeight="1">
      <x:c r="C482" s="62"/>
      <x:c r="G482" s="84"/>
    </x:row>
    <x:row r="483" ht="15.75" customHeight="1">
      <x:c r="C483" s="62"/>
      <x:c r="G483" s="84"/>
    </x:row>
    <x:row r="484" ht="15.75" customHeight="1">
      <x:c r="C484" s="62"/>
      <x:c r="G484" s="84"/>
    </x:row>
    <x:row r="485" ht="15.75" customHeight="1">
      <x:c r="C485" s="62"/>
      <x:c r="G485" s="84"/>
    </x:row>
    <x:row r="486" ht="15.75" customHeight="1">
      <x:c r="C486" s="62"/>
      <x:c r="G486" s="84"/>
    </x:row>
    <x:row r="487" ht="15.75" customHeight="1">
      <x:c r="C487" s="62"/>
      <x:c r="G487" s="84"/>
    </x:row>
    <x:row r="488" ht="15.75" customHeight="1">
      <x:c r="C488" s="62"/>
      <x:c r="G488" s="84"/>
    </x:row>
    <x:row r="489" ht="15.75" customHeight="1">
      <x:c r="C489" s="62"/>
      <x:c r="G489" s="84"/>
    </x:row>
    <x:row r="490" ht="15.75" customHeight="1">
      <x:c r="C490" s="62"/>
      <x:c r="G490" s="84"/>
    </x:row>
    <x:row r="491" ht="15.75" customHeight="1">
      <x:c r="C491" s="62"/>
      <x:c r="G491" s="84"/>
    </x:row>
    <x:row r="492" ht="15.75" customHeight="1">
      <x:c r="C492" s="62"/>
      <x:c r="G492" s="84"/>
    </x:row>
    <x:row r="493" ht="15.75" customHeight="1">
      <x:c r="C493" s="62"/>
      <x:c r="G493" s="84"/>
    </x:row>
    <x:row r="494" ht="15.75" customHeight="1">
      <x:c r="C494" s="62"/>
      <x:c r="G494" s="84"/>
    </x:row>
    <x:row r="495" ht="15.75" customHeight="1">
      <x:c r="C495" s="62"/>
      <x:c r="G495" s="84"/>
    </x:row>
    <x:row r="496" ht="15.75" customHeight="1">
      <x:c r="C496" s="62"/>
      <x:c r="G496" s="84"/>
    </x:row>
    <x:row r="497" ht="15.75" customHeight="1">
      <x:c r="C497" s="62"/>
      <x:c r="G497" s="84"/>
    </x:row>
    <x:row r="498" ht="15.75" customHeight="1">
      <x:c r="C498" s="62"/>
      <x:c r="G498" s="84"/>
    </x:row>
    <x:row r="499" ht="15.75" customHeight="1">
      <x:c r="C499" s="62"/>
      <x:c r="G499" s="84"/>
    </x:row>
    <x:row r="500" ht="15.75" customHeight="1">
      <x:c r="C500" s="62"/>
      <x:c r="G500" s="84"/>
    </x:row>
    <x:row r="501" ht="15.75" customHeight="1">
      <x:c r="C501" s="62"/>
      <x:c r="G501" s="84"/>
    </x:row>
    <x:row r="502" ht="15.75" customHeight="1">
      <x:c r="C502" s="62"/>
      <x:c r="G502" s="84"/>
    </x:row>
    <x:row r="503" ht="15.75" customHeight="1">
      <x:c r="C503" s="62"/>
      <x:c r="G503" s="84"/>
    </x:row>
    <x:row r="504" ht="15.75" customHeight="1">
      <x:c r="C504" s="62"/>
      <x:c r="G504" s="84"/>
    </x:row>
    <x:row r="505" ht="15.75" customHeight="1">
      <x:c r="C505" s="62"/>
      <x:c r="G505" s="84"/>
    </x:row>
    <x:row r="506" ht="15.75" customHeight="1">
      <x:c r="C506" s="62"/>
      <x:c r="G506" s="84"/>
    </x:row>
    <x:row r="507" ht="15.75" customHeight="1">
      <x:c r="C507" s="62"/>
      <x:c r="G507" s="84"/>
    </x:row>
    <x:row r="508" ht="15.75" customHeight="1">
      <x:c r="C508" s="62"/>
      <x:c r="G508" s="84"/>
    </x:row>
    <x:row r="509" ht="15.75" customHeight="1">
      <x:c r="C509" s="62"/>
      <x:c r="G509" s="84"/>
    </x:row>
    <x:row r="510" ht="15.75" customHeight="1">
      <x:c r="C510" s="62"/>
      <x:c r="G510" s="84"/>
    </x:row>
    <x:row r="511" ht="15.75" customHeight="1">
      <x:c r="C511" s="62"/>
      <x:c r="G511" s="84"/>
    </x:row>
    <x:row r="512" ht="15.75" customHeight="1">
      <x:c r="C512" s="62"/>
      <x:c r="G512" s="84"/>
    </x:row>
    <x:row r="513" ht="15.75" customHeight="1">
      <x:c r="C513" s="62"/>
      <x:c r="G513" s="84"/>
    </x:row>
    <x:row r="514" ht="15.75" customHeight="1">
      <x:c r="C514" s="62"/>
      <x:c r="G514" s="84"/>
    </x:row>
    <x:row r="515" ht="15.75" customHeight="1">
      <x:c r="C515" s="62"/>
      <x:c r="G515" s="84"/>
    </x:row>
    <x:row r="516" ht="15.75" customHeight="1">
      <x:c r="C516" s="62"/>
      <x:c r="G516" s="84"/>
    </x:row>
    <x:row r="517" ht="15.75" customHeight="1">
      <x:c r="C517" s="62"/>
      <x:c r="G517" s="84"/>
    </x:row>
    <x:row r="518" ht="15.75" customHeight="1">
      <x:c r="C518" s="62"/>
      <x:c r="G518" s="84"/>
    </x:row>
    <x:row r="519" ht="15.75" customHeight="1">
      <x:c r="C519" s="62"/>
      <x:c r="G519" s="84"/>
    </x:row>
    <x:row r="520" ht="15.75" customHeight="1">
      <x:c r="C520" s="62"/>
      <x:c r="G520" s="84"/>
    </x:row>
    <x:row r="521" ht="15.75" customHeight="1">
      <x:c r="C521" s="62"/>
      <x:c r="G521" s="84"/>
    </x:row>
    <x:row r="522" ht="15.75" customHeight="1">
      <x:c r="C522" s="62"/>
      <x:c r="G522" s="84"/>
    </x:row>
    <x:row r="523" ht="15.75" customHeight="1">
      <x:c r="C523" s="62"/>
      <x:c r="G523" s="84"/>
    </x:row>
    <x:row r="524" ht="15.75" customHeight="1">
      <x:c r="C524" s="62"/>
      <x:c r="G524" s="84"/>
    </x:row>
    <x:row r="525" ht="15.75" customHeight="1">
      <x:c r="C525" s="62"/>
      <x:c r="G525" s="84"/>
    </x:row>
    <x:row r="526" ht="15.75" customHeight="1">
      <x:c r="C526" s="62"/>
      <x:c r="G526" s="84"/>
    </x:row>
    <x:row r="527" ht="15.75" customHeight="1">
      <x:c r="C527" s="62"/>
      <x:c r="G527" s="84"/>
    </x:row>
    <x:row r="528" ht="15.75" customHeight="1">
      <x:c r="C528" s="62"/>
      <x:c r="G528" s="84"/>
    </x:row>
    <x:row r="529" ht="15.75" customHeight="1">
      <x:c r="C529" s="62"/>
      <x:c r="G529" s="84"/>
    </x:row>
    <x:row r="530" ht="15.75" customHeight="1">
      <x:c r="C530" s="62"/>
      <x:c r="G530" s="84"/>
    </x:row>
    <x:row r="531" ht="15.75" customHeight="1">
      <x:c r="C531" s="62"/>
      <x:c r="G531" s="84"/>
    </x:row>
    <x:row r="532" ht="15.75" customHeight="1">
      <x:c r="C532" s="62"/>
      <x:c r="G532" s="84"/>
    </x:row>
    <x:row r="533" ht="15.75" customHeight="1">
      <x:c r="C533" s="62"/>
      <x:c r="G533" s="84"/>
    </x:row>
    <x:row r="534" ht="15.75" customHeight="1">
      <x:c r="C534" s="62"/>
      <x:c r="G534" s="84"/>
    </x:row>
    <x:row r="535" ht="15.75" customHeight="1">
      <x:c r="C535" s="62"/>
      <x:c r="G535" s="84"/>
    </x:row>
    <x:row r="536" ht="15.75" customHeight="1">
      <x:c r="C536" s="62"/>
      <x:c r="G536" s="84"/>
    </x:row>
    <x:row r="537" ht="15.75" customHeight="1">
      <x:c r="C537" s="62"/>
      <x:c r="G537" s="84"/>
    </x:row>
    <x:row r="538" ht="15.75" customHeight="1">
      <x:c r="C538" s="62"/>
      <x:c r="G538" s="84"/>
    </x:row>
    <x:row r="539" ht="15.75" customHeight="1">
      <x:c r="C539" s="62"/>
      <x:c r="G539" s="84"/>
    </x:row>
    <x:row r="540" ht="15.75" customHeight="1">
      <x:c r="C540" s="62"/>
      <x:c r="G540" s="84"/>
    </x:row>
    <x:row r="541" ht="15.75" customHeight="1">
      <x:c r="C541" s="62"/>
      <x:c r="G541" s="84"/>
    </x:row>
    <x:row r="542" ht="15.75" customHeight="1">
      <x:c r="C542" s="62"/>
      <x:c r="G542" s="84"/>
    </x:row>
    <x:row r="543" ht="15.75" customHeight="1">
      <x:c r="C543" s="62"/>
      <x:c r="G543" s="84"/>
    </x:row>
    <x:row r="544" ht="15.75" customHeight="1">
      <x:c r="C544" s="62"/>
      <x:c r="G544" s="84"/>
    </x:row>
    <x:row r="545" ht="15.75" customHeight="1">
      <x:c r="C545" s="62"/>
      <x:c r="G545" s="84"/>
    </x:row>
    <x:row r="546" ht="15.75" customHeight="1">
      <x:c r="C546" s="62"/>
      <x:c r="G546" s="84"/>
    </x:row>
    <x:row r="547" ht="15.75" customHeight="1">
      <x:c r="C547" s="62"/>
      <x:c r="G547" s="84"/>
    </x:row>
    <x:row r="548" ht="15.75" customHeight="1">
      <x:c r="C548" s="62"/>
      <x:c r="G548" s="84"/>
    </x:row>
    <x:row r="549" ht="15.75" customHeight="1">
      <x:c r="C549" s="62"/>
      <x:c r="G549" s="84"/>
    </x:row>
    <x:row r="550" ht="15.75" customHeight="1">
      <x:c r="C550" s="62"/>
      <x:c r="G550" s="84"/>
    </x:row>
    <x:row r="551" ht="15.75" customHeight="1">
      <x:c r="C551" s="62"/>
      <x:c r="G551" s="84"/>
    </x:row>
    <x:row r="552" ht="15.75" customHeight="1">
      <x:c r="C552" s="62"/>
      <x:c r="G552" s="84"/>
    </x:row>
    <x:row r="553" ht="15.75" customHeight="1">
      <x:c r="C553" s="62"/>
      <x:c r="G553" s="84"/>
    </x:row>
    <x:row r="554" ht="15.75" customHeight="1">
      <x:c r="C554" s="62"/>
      <x:c r="G554" s="84"/>
    </x:row>
    <x:row r="555" ht="15.75" customHeight="1">
      <x:c r="C555" s="62"/>
      <x:c r="G555" s="84"/>
    </x:row>
    <x:row r="556" ht="15.75" customHeight="1">
      <x:c r="C556" s="62"/>
      <x:c r="G556" s="84"/>
    </x:row>
    <x:row r="557" ht="15.75" customHeight="1">
      <x:c r="C557" s="62"/>
      <x:c r="G557" s="84"/>
    </x:row>
    <x:row r="558" ht="15.75" customHeight="1">
      <x:c r="C558" s="62"/>
      <x:c r="G558" s="84"/>
    </x:row>
    <x:row r="559" ht="15.75" customHeight="1">
      <x:c r="C559" s="62"/>
      <x:c r="G559" s="84"/>
    </x:row>
    <x:row r="560" ht="15.75" customHeight="1">
      <x:c r="C560" s="62"/>
      <x:c r="G560" s="84"/>
    </x:row>
    <x:row r="561" ht="15.75" customHeight="1">
      <x:c r="C561" s="62"/>
      <x:c r="G561" s="84"/>
    </x:row>
    <x:row r="562" ht="15.75" customHeight="1">
      <x:c r="C562" s="62"/>
      <x:c r="G562" s="84"/>
    </x:row>
    <x:row r="563" ht="15.75" customHeight="1">
      <x:c r="C563" s="62"/>
      <x:c r="G563" s="84"/>
    </x:row>
    <x:row r="564" ht="15.75" customHeight="1">
      <x:c r="C564" s="62"/>
      <x:c r="G564" s="84"/>
    </x:row>
    <x:row r="565" ht="15.75" customHeight="1">
      <x:c r="C565" s="62"/>
      <x:c r="G565" s="84"/>
    </x:row>
    <x:row r="566" ht="15.75" customHeight="1">
      <x:c r="C566" s="62"/>
      <x:c r="G566" s="84"/>
    </x:row>
    <x:row r="567" ht="15.75" customHeight="1">
      <x:c r="C567" s="62"/>
      <x:c r="G567" s="84"/>
    </x:row>
    <x:row r="568" ht="15.75" customHeight="1">
      <x:c r="C568" s="62"/>
      <x:c r="G568" s="84"/>
    </x:row>
    <x:row r="569" ht="15.75" customHeight="1">
      <x:c r="C569" s="62"/>
      <x:c r="G569" s="84"/>
    </x:row>
    <x:row r="570" ht="15.75" customHeight="1">
      <x:c r="C570" s="62"/>
      <x:c r="G570" s="84"/>
    </x:row>
    <x:row r="571" ht="15.75" customHeight="1">
      <x:c r="C571" s="62"/>
      <x:c r="G571" s="84"/>
    </x:row>
    <x:row r="572" ht="15.75" customHeight="1">
      <x:c r="C572" s="62"/>
      <x:c r="G572" s="84"/>
    </x:row>
    <x:row r="573" ht="15.75" customHeight="1">
      <x:c r="C573" s="62"/>
      <x:c r="G573" s="84"/>
    </x:row>
    <x:row r="574" ht="15.75" customHeight="1">
      <x:c r="C574" s="62"/>
      <x:c r="G574" s="84"/>
    </x:row>
    <x:row r="575" ht="15.75" customHeight="1">
      <x:c r="C575" s="62"/>
      <x:c r="G575" s="84"/>
    </x:row>
    <x:row r="576" ht="15.75" customHeight="1">
      <x:c r="C576" s="62"/>
      <x:c r="G576" s="84"/>
    </x:row>
    <x:row r="577" ht="15.75" customHeight="1">
      <x:c r="C577" s="62"/>
      <x:c r="G577" s="84"/>
    </x:row>
    <x:row r="578" ht="15.75" customHeight="1">
      <x:c r="C578" s="62"/>
      <x:c r="G578" s="84"/>
    </x:row>
    <x:row r="579" ht="15.75" customHeight="1">
      <x:c r="C579" s="62"/>
      <x:c r="G579" s="84"/>
    </x:row>
    <x:row r="580" ht="15.75" customHeight="1">
      <x:c r="C580" s="62"/>
      <x:c r="G580" s="84"/>
    </x:row>
    <x:row r="581" ht="15.75" customHeight="1">
      <x:c r="C581" s="62"/>
      <x:c r="G581" s="84"/>
    </x:row>
    <x:row r="582" ht="15.75" customHeight="1">
      <x:c r="C582" s="62"/>
      <x:c r="G582" s="84"/>
    </x:row>
    <x:row r="583" ht="15.75" customHeight="1">
      <x:c r="C583" s="62"/>
      <x:c r="G583" s="84"/>
    </x:row>
    <x:row r="584" ht="15.75" customHeight="1">
      <x:c r="C584" s="62"/>
      <x:c r="G584" s="84"/>
    </x:row>
    <x:row r="585" ht="15.75" customHeight="1">
      <x:c r="C585" s="62"/>
      <x:c r="G585" s="84"/>
    </x:row>
    <x:row r="586" ht="15.75" customHeight="1">
      <x:c r="C586" s="62"/>
      <x:c r="G586" s="84"/>
    </x:row>
    <x:row r="587" ht="15.75" customHeight="1">
      <x:c r="C587" s="62"/>
      <x:c r="G587" s="84"/>
    </x:row>
    <x:row r="588" ht="15.75" customHeight="1">
      <x:c r="C588" s="62"/>
      <x:c r="G588" s="84"/>
    </x:row>
    <x:row r="589" ht="15.75" customHeight="1">
      <x:c r="C589" s="62"/>
      <x:c r="G589" s="84"/>
    </x:row>
    <x:row r="590" ht="15.75" customHeight="1">
      <x:c r="C590" s="62"/>
      <x:c r="G590" s="84"/>
    </x:row>
    <x:row r="591" ht="15.75" customHeight="1">
      <x:c r="C591" s="62"/>
      <x:c r="G591" s="84"/>
    </x:row>
    <x:row r="592" ht="15.75" customHeight="1">
      <x:c r="C592" s="62"/>
      <x:c r="G592" s="84"/>
    </x:row>
    <x:row r="593" ht="15.75" customHeight="1">
      <x:c r="C593" s="62"/>
      <x:c r="G593" s="84"/>
    </x:row>
    <x:row r="594" ht="15.75" customHeight="1">
      <x:c r="C594" s="62"/>
      <x:c r="G594" s="84"/>
    </x:row>
    <x:row r="595" ht="15.75" customHeight="1">
      <x:c r="C595" s="62"/>
      <x:c r="G595" s="84"/>
    </x:row>
    <x:row r="596" ht="15.75" customHeight="1">
      <x:c r="C596" s="62"/>
      <x:c r="G596" s="84"/>
    </x:row>
    <x:row r="597" ht="15.75" customHeight="1">
      <x:c r="C597" s="62"/>
      <x:c r="G597" s="84"/>
    </x:row>
    <x:row r="598" ht="15.75" customHeight="1">
      <x:c r="C598" s="62"/>
      <x:c r="G598" s="84"/>
    </x:row>
    <x:row r="599" ht="15.75" customHeight="1">
      <x:c r="C599" s="62"/>
      <x:c r="G599" s="84"/>
    </x:row>
    <x:row r="600" ht="15.75" customHeight="1">
      <x:c r="C600" s="62"/>
      <x:c r="G600" s="84"/>
    </x:row>
    <x:row r="601" ht="15.75" customHeight="1">
      <x:c r="C601" s="62"/>
      <x:c r="G601" s="84"/>
    </x:row>
    <x:row r="602" ht="15.75" customHeight="1">
      <x:c r="C602" s="62"/>
      <x:c r="G602" s="84"/>
    </x:row>
    <x:row r="603" ht="15.75" customHeight="1">
      <x:c r="C603" s="62"/>
      <x:c r="G603" s="84"/>
    </x:row>
    <x:row r="604" ht="15.75" customHeight="1">
      <x:c r="C604" s="62"/>
      <x:c r="G604" s="84"/>
    </x:row>
    <x:row r="605" ht="15.75" customHeight="1">
      <x:c r="C605" s="62"/>
      <x:c r="G605" s="84"/>
    </x:row>
    <x:row r="606" ht="15.75" customHeight="1">
      <x:c r="C606" s="62"/>
      <x:c r="G606" s="84"/>
    </x:row>
    <x:row r="607" ht="15.75" customHeight="1">
      <x:c r="C607" s="62"/>
      <x:c r="G607" s="84"/>
    </x:row>
    <x:row r="608" ht="15.75" customHeight="1">
      <x:c r="C608" s="62"/>
      <x:c r="G608" s="84"/>
    </x:row>
    <x:row r="609" ht="15.75" customHeight="1">
      <x:c r="C609" s="62"/>
      <x:c r="G609" s="84"/>
    </x:row>
    <x:row r="610" ht="15.75" customHeight="1">
      <x:c r="C610" s="62"/>
      <x:c r="G610" s="84"/>
    </x:row>
    <x:row r="611" ht="15.75" customHeight="1">
      <x:c r="C611" s="62"/>
      <x:c r="G611" s="84"/>
    </x:row>
    <x:row r="612" ht="15.75" customHeight="1">
      <x:c r="C612" s="62"/>
      <x:c r="G612" s="84"/>
    </x:row>
    <x:row r="613" ht="15.75" customHeight="1">
      <x:c r="C613" s="62"/>
      <x:c r="G613" s="84"/>
    </x:row>
    <x:row r="614" ht="15.75" customHeight="1">
      <x:c r="C614" s="62"/>
      <x:c r="G614" s="84"/>
    </x:row>
    <x:row r="615" ht="15.75" customHeight="1">
      <x:c r="C615" s="62"/>
      <x:c r="G615" s="84"/>
    </x:row>
    <x:row r="616" ht="15.75" customHeight="1">
      <x:c r="C616" s="62"/>
      <x:c r="G616" s="84"/>
    </x:row>
    <x:row r="617" ht="15.75" customHeight="1">
      <x:c r="C617" s="62"/>
      <x:c r="G617" s="84"/>
    </x:row>
    <x:row r="618" ht="15.75" customHeight="1">
      <x:c r="C618" s="62"/>
      <x:c r="G618" s="84"/>
    </x:row>
    <x:row r="619" ht="15.75" customHeight="1">
      <x:c r="C619" s="62"/>
      <x:c r="G619" s="84"/>
    </x:row>
    <x:row r="620" ht="15.75" customHeight="1">
      <x:c r="C620" s="62"/>
      <x:c r="G620" s="84"/>
    </x:row>
    <x:row r="621" ht="15.75" customHeight="1">
      <x:c r="C621" s="62"/>
      <x:c r="G621" s="84"/>
    </x:row>
    <x:row r="622" ht="15.75" customHeight="1">
      <x:c r="C622" s="62"/>
      <x:c r="G622" s="84"/>
    </x:row>
    <x:row r="623" ht="15.75" customHeight="1">
      <x:c r="C623" s="62"/>
      <x:c r="G623" s="84"/>
    </x:row>
    <x:row r="624" ht="15.75" customHeight="1">
      <x:c r="C624" s="62"/>
      <x:c r="G624" s="84"/>
    </x:row>
    <x:row r="625" ht="15.75" customHeight="1">
      <x:c r="C625" s="62"/>
      <x:c r="G625" s="84"/>
    </x:row>
    <x:row r="626" ht="15.75" customHeight="1">
      <x:c r="C626" s="62"/>
      <x:c r="G626" s="84"/>
    </x:row>
    <x:row r="627" ht="15.75" customHeight="1">
      <x:c r="C627" s="62"/>
      <x:c r="G627" s="84"/>
    </x:row>
    <x:row r="628" ht="15.75" customHeight="1">
      <x:c r="C628" s="62"/>
      <x:c r="G628" s="84"/>
    </x:row>
    <x:row r="629" ht="15.75" customHeight="1">
      <x:c r="C629" s="62"/>
      <x:c r="G629" s="84"/>
    </x:row>
    <x:row r="630" ht="15.75" customHeight="1">
      <x:c r="C630" s="62"/>
      <x:c r="G630" s="84"/>
    </x:row>
    <x:row r="631" ht="15.75" customHeight="1">
      <x:c r="C631" s="62"/>
      <x:c r="G631" s="84"/>
    </x:row>
    <x:row r="632" ht="15.75" customHeight="1">
      <x:c r="C632" s="62"/>
      <x:c r="G632" s="84"/>
    </x:row>
    <x:row r="633" ht="15.75" customHeight="1">
      <x:c r="C633" s="62"/>
      <x:c r="G633" s="84"/>
    </x:row>
    <x:row r="634" ht="15.75" customHeight="1">
      <x:c r="C634" s="62"/>
      <x:c r="G634" s="84"/>
    </x:row>
    <x:row r="635" ht="15.75" customHeight="1">
      <x:c r="C635" s="62"/>
      <x:c r="G635" s="84"/>
    </x:row>
    <x:row r="636" ht="15.75" customHeight="1">
      <x:c r="C636" s="62"/>
      <x:c r="G636" s="84"/>
    </x:row>
    <x:row r="637" ht="15.75" customHeight="1">
      <x:c r="C637" s="62"/>
      <x:c r="G637" s="84"/>
    </x:row>
    <x:row r="638" ht="15.75" customHeight="1">
      <x:c r="C638" s="62"/>
      <x:c r="G638" s="84"/>
    </x:row>
    <x:row r="639" ht="15.75" customHeight="1">
      <x:c r="C639" s="62"/>
      <x:c r="G639" s="84"/>
    </x:row>
    <x:row r="640" ht="15.75" customHeight="1">
      <x:c r="C640" s="62"/>
      <x:c r="G640" s="84"/>
    </x:row>
    <x:row r="641" ht="15.75" customHeight="1">
      <x:c r="C641" s="62"/>
      <x:c r="G641" s="84"/>
    </x:row>
    <x:row r="642" ht="15.75" customHeight="1">
      <x:c r="C642" s="62"/>
      <x:c r="G642" s="84"/>
    </x:row>
    <x:row r="643" ht="15.75" customHeight="1">
      <x:c r="C643" s="62"/>
      <x:c r="G643" s="84"/>
    </x:row>
    <x:row r="644" ht="15.75" customHeight="1">
      <x:c r="C644" s="62"/>
      <x:c r="G644" s="84"/>
    </x:row>
    <x:row r="645" ht="15.75" customHeight="1">
      <x:c r="C645" s="62"/>
      <x:c r="G645" s="84"/>
    </x:row>
    <x:row r="646" ht="15.75" customHeight="1">
      <x:c r="C646" s="62"/>
      <x:c r="G646" s="84"/>
    </x:row>
    <x:row r="647" ht="15.75" customHeight="1">
      <x:c r="C647" s="62"/>
      <x:c r="G647" s="84"/>
    </x:row>
    <x:row r="648" ht="15.75" customHeight="1">
      <x:c r="C648" s="62"/>
      <x:c r="G648" s="84"/>
    </x:row>
    <x:row r="649" ht="15.75" customHeight="1">
      <x:c r="C649" s="62"/>
      <x:c r="G649" s="84"/>
    </x:row>
    <x:row r="650" ht="15.75" customHeight="1">
      <x:c r="C650" s="62"/>
      <x:c r="G650" s="84"/>
    </x:row>
    <x:row r="651" ht="15.75" customHeight="1">
      <x:c r="C651" s="62"/>
      <x:c r="G651" s="84"/>
    </x:row>
    <x:row r="652" ht="15.75" customHeight="1">
      <x:c r="C652" s="62"/>
      <x:c r="G652" s="84"/>
    </x:row>
    <x:row r="653" ht="15.75" customHeight="1">
      <x:c r="C653" s="62"/>
      <x:c r="G653" s="84"/>
    </x:row>
    <x:row r="654" ht="15.75" customHeight="1">
      <x:c r="C654" s="62"/>
      <x:c r="G654" s="84"/>
    </x:row>
    <x:row r="655" ht="15.75" customHeight="1">
      <x:c r="C655" s="62"/>
      <x:c r="G655" s="84"/>
    </x:row>
    <x:row r="656" ht="15.75" customHeight="1">
      <x:c r="C656" s="62"/>
      <x:c r="G656" s="84"/>
    </x:row>
    <x:row r="657" ht="15.75" customHeight="1">
      <x:c r="C657" s="62"/>
      <x:c r="G657" s="84"/>
    </x:row>
    <x:row r="658" ht="15.75" customHeight="1">
      <x:c r="C658" s="62"/>
      <x:c r="G658" s="84"/>
    </x:row>
    <x:row r="659" ht="15.75" customHeight="1">
      <x:c r="C659" s="62"/>
      <x:c r="G659" s="84"/>
    </x:row>
    <x:row r="660" ht="15.75" customHeight="1">
      <x:c r="C660" s="62"/>
      <x:c r="G660" s="84"/>
    </x:row>
    <x:row r="661" ht="15.75" customHeight="1">
      <x:c r="C661" s="62"/>
      <x:c r="G661" s="84"/>
    </x:row>
    <x:row r="662" ht="15.75" customHeight="1">
      <x:c r="C662" s="62"/>
      <x:c r="G662" s="84"/>
    </x:row>
    <x:row r="663" ht="15.75" customHeight="1">
      <x:c r="C663" s="62"/>
      <x:c r="G663" s="84"/>
    </x:row>
    <x:row r="664" ht="15.75" customHeight="1">
      <x:c r="C664" s="62"/>
      <x:c r="G664" s="84"/>
    </x:row>
    <x:row r="665" ht="15.75" customHeight="1">
      <x:c r="C665" s="62"/>
      <x:c r="G665" s="84"/>
    </x:row>
    <x:row r="666" ht="15.75" customHeight="1">
      <x:c r="C666" s="62"/>
      <x:c r="G666" s="84"/>
    </x:row>
    <x:row r="667" ht="15.75" customHeight="1">
      <x:c r="C667" s="62"/>
      <x:c r="G667" s="84"/>
    </x:row>
    <x:row r="668" ht="15.75" customHeight="1">
      <x:c r="C668" s="62"/>
      <x:c r="G668" s="84"/>
    </x:row>
    <x:row r="669" ht="15.75" customHeight="1">
      <x:c r="C669" s="62"/>
      <x:c r="G669" s="84"/>
    </x:row>
    <x:row r="670" ht="15.75" customHeight="1">
      <x:c r="C670" s="62"/>
      <x:c r="G670" s="84"/>
    </x:row>
    <x:row r="671" ht="15.75" customHeight="1">
      <x:c r="C671" s="62"/>
      <x:c r="G671" s="84"/>
    </x:row>
    <x:row r="672" ht="15.75" customHeight="1">
      <x:c r="C672" s="62"/>
      <x:c r="G672" s="84"/>
    </x:row>
    <x:row r="673" ht="15.75" customHeight="1">
      <x:c r="C673" s="62"/>
      <x:c r="G673" s="84"/>
    </x:row>
    <x:row r="674" ht="15.75" customHeight="1">
      <x:c r="C674" s="62"/>
      <x:c r="G674" s="84"/>
    </x:row>
    <x:row r="675" ht="15.75" customHeight="1">
      <x:c r="C675" s="62"/>
      <x:c r="G675" s="84"/>
    </x:row>
    <x:row r="676" ht="15.75" customHeight="1">
      <x:c r="C676" s="62"/>
      <x:c r="G676" s="84"/>
    </x:row>
    <x:row r="677" ht="15.75" customHeight="1">
      <x:c r="C677" s="62"/>
      <x:c r="G677" s="84"/>
    </x:row>
    <x:row r="678" ht="15.75" customHeight="1">
      <x:c r="C678" s="62"/>
      <x:c r="G678" s="84"/>
    </x:row>
    <x:row r="679" ht="15.75" customHeight="1">
      <x:c r="C679" s="62"/>
      <x:c r="G679" s="84"/>
    </x:row>
    <x:row r="680" ht="15.75" customHeight="1">
      <x:c r="C680" s="62"/>
      <x:c r="G680" s="84"/>
    </x:row>
    <x:row r="681" ht="15.75" customHeight="1">
      <x:c r="C681" s="62"/>
      <x:c r="G681" s="84"/>
    </x:row>
    <x:row r="682" ht="15.75" customHeight="1">
      <x:c r="C682" s="62"/>
      <x:c r="G682" s="84"/>
    </x:row>
    <x:row r="683" ht="15.75" customHeight="1">
      <x:c r="C683" s="62"/>
      <x:c r="G683" s="84"/>
    </x:row>
    <x:row r="684" ht="15.75" customHeight="1">
      <x:c r="C684" s="62"/>
      <x:c r="G684" s="84"/>
    </x:row>
    <x:row r="685" ht="15.75" customHeight="1">
      <x:c r="C685" s="62"/>
      <x:c r="G685" s="84"/>
    </x:row>
    <x:row r="686" ht="15.75" customHeight="1">
      <x:c r="C686" s="62"/>
      <x:c r="G686" s="84"/>
    </x:row>
    <x:row r="687" ht="15.75" customHeight="1">
      <x:c r="C687" s="62"/>
      <x:c r="G687" s="84"/>
    </x:row>
    <x:row r="688" ht="15.75" customHeight="1">
      <x:c r="C688" s="62"/>
      <x:c r="G688" s="84"/>
    </x:row>
    <x:row r="689" ht="15.75" customHeight="1">
      <x:c r="C689" s="62"/>
      <x:c r="G689" s="84"/>
    </x:row>
    <x:row r="690" ht="15.75" customHeight="1">
      <x:c r="C690" s="62"/>
      <x:c r="G690" s="84"/>
    </x:row>
    <x:row r="691" ht="15.75" customHeight="1">
      <x:c r="C691" s="62"/>
      <x:c r="G691" s="84"/>
    </x:row>
    <x:row r="692" ht="15.75" customHeight="1">
      <x:c r="C692" s="62"/>
      <x:c r="G692" s="84"/>
    </x:row>
    <x:row r="693" ht="15.75" customHeight="1">
      <x:c r="C693" s="62"/>
      <x:c r="G693" s="84"/>
    </x:row>
    <x:row r="694" ht="15.75" customHeight="1">
      <x:c r="C694" s="62"/>
      <x:c r="G694" s="84"/>
    </x:row>
    <x:row r="695" ht="15.75" customHeight="1">
      <x:c r="C695" s="62"/>
      <x:c r="G695" s="84"/>
    </x:row>
    <x:row r="696" ht="15.75" customHeight="1">
      <x:c r="C696" s="62"/>
      <x:c r="G696" s="84"/>
    </x:row>
    <x:row r="697" ht="15.75" customHeight="1">
      <x:c r="C697" s="62"/>
      <x:c r="G697" s="84"/>
    </x:row>
    <x:row r="698" ht="15.75" customHeight="1">
      <x:c r="C698" s="62"/>
      <x:c r="G698" s="84"/>
    </x:row>
    <x:row r="699" ht="15.75" customHeight="1">
      <x:c r="C699" s="62"/>
      <x:c r="G699" s="84"/>
    </x:row>
    <x:row r="700" ht="15.75" customHeight="1">
      <x:c r="C700" s="62"/>
      <x:c r="G700" s="84"/>
    </x:row>
    <x:row r="701" ht="15.75" customHeight="1">
      <x:c r="C701" s="62"/>
      <x:c r="G701" s="84"/>
    </x:row>
    <x:row r="702" ht="15.75" customHeight="1">
      <x:c r="C702" s="62"/>
      <x:c r="G702" s="84"/>
    </x:row>
    <x:row r="703" ht="15.75" customHeight="1">
      <x:c r="C703" s="62"/>
      <x:c r="G703" s="84"/>
    </x:row>
    <x:row r="704" ht="15.75" customHeight="1">
      <x:c r="C704" s="62"/>
      <x:c r="G704" s="84"/>
    </x:row>
    <x:row r="705" ht="15.75" customHeight="1">
      <x:c r="C705" s="62"/>
      <x:c r="G705" s="84"/>
    </x:row>
    <x:row r="706" ht="15.75" customHeight="1">
      <x:c r="C706" s="62"/>
      <x:c r="G706" s="84"/>
    </x:row>
    <x:row r="707" ht="15.75" customHeight="1">
      <x:c r="C707" s="62"/>
      <x:c r="G707" s="84"/>
    </x:row>
    <x:row r="708" ht="15.75" customHeight="1">
      <x:c r="C708" s="62"/>
      <x:c r="G708" s="84"/>
    </x:row>
    <x:row r="709" ht="15.75" customHeight="1">
      <x:c r="C709" s="62"/>
      <x:c r="G709" s="84"/>
    </x:row>
    <x:row r="710" ht="15.75" customHeight="1">
      <x:c r="C710" s="62"/>
      <x:c r="G710" s="84"/>
    </x:row>
    <x:row r="711" ht="15.75" customHeight="1">
      <x:c r="C711" s="62"/>
      <x:c r="G711" s="84"/>
    </x:row>
    <x:row r="712" ht="15.75" customHeight="1">
      <x:c r="C712" s="62"/>
      <x:c r="G712" s="84"/>
    </x:row>
    <x:row r="713" ht="15.75" customHeight="1">
      <x:c r="C713" s="62"/>
      <x:c r="G713" s="84"/>
    </x:row>
    <x:row r="714" ht="15.75" customHeight="1">
      <x:c r="C714" s="62"/>
      <x:c r="G714" s="84"/>
    </x:row>
    <x:row r="715" ht="15.75" customHeight="1">
      <x:c r="C715" s="62"/>
      <x:c r="G715" s="84"/>
    </x:row>
    <x:row r="716" ht="15.75" customHeight="1">
      <x:c r="C716" s="62"/>
      <x:c r="G716" s="84"/>
    </x:row>
    <x:row r="717" ht="15.75" customHeight="1">
      <x:c r="C717" s="62"/>
      <x:c r="G717" s="84"/>
    </x:row>
    <x:row r="718" ht="15.75" customHeight="1">
      <x:c r="C718" s="62"/>
      <x:c r="G718" s="84"/>
    </x:row>
    <x:row r="719" ht="15.75" customHeight="1">
      <x:c r="C719" s="62"/>
      <x:c r="G719" s="84"/>
    </x:row>
    <x:row r="720" ht="15.75" customHeight="1">
      <x:c r="C720" s="62"/>
      <x:c r="G720" s="84"/>
    </x:row>
    <x:row r="721" ht="15.75" customHeight="1">
      <x:c r="C721" s="62"/>
      <x:c r="G721" s="84"/>
    </x:row>
    <x:row r="722" ht="15.75" customHeight="1">
      <x:c r="C722" s="62"/>
      <x:c r="G722" s="84"/>
    </x:row>
    <x:row r="723" ht="15.75" customHeight="1">
      <x:c r="C723" s="62"/>
      <x:c r="G723" s="84"/>
    </x:row>
    <x:row r="724" ht="15.75" customHeight="1">
      <x:c r="C724" s="62"/>
      <x:c r="G724" s="84"/>
    </x:row>
    <x:row r="725" ht="15.75" customHeight="1">
      <x:c r="C725" s="62"/>
      <x:c r="G725" s="84"/>
    </x:row>
    <x:row r="726" ht="15.75" customHeight="1">
      <x:c r="C726" s="62"/>
      <x:c r="G726" s="84"/>
    </x:row>
    <x:row r="727" ht="15.75" customHeight="1">
      <x:c r="C727" s="62"/>
      <x:c r="G727" s="84"/>
    </x:row>
    <x:row r="728" ht="15.75" customHeight="1">
      <x:c r="C728" s="62"/>
      <x:c r="G728" s="84"/>
    </x:row>
    <x:row r="729" ht="15.75" customHeight="1">
      <x:c r="C729" s="62"/>
      <x:c r="G729" s="84"/>
    </x:row>
    <x:row r="730" ht="15.75" customHeight="1">
      <x:c r="C730" s="62"/>
      <x:c r="G730" s="84"/>
    </x:row>
    <x:row r="731" ht="15.75" customHeight="1">
      <x:c r="C731" s="62"/>
      <x:c r="G731" s="84"/>
    </x:row>
    <x:row r="732" ht="15.75" customHeight="1">
      <x:c r="C732" s="62"/>
      <x:c r="G732" s="84"/>
    </x:row>
    <x:row r="733" ht="15.75" customHeight="1">
      <x:c r="C733" s="62"/>
      <x:c r="G733" s="84"/>
    </x:row>
    <x:row r="734" ht="15.75" customHeight="1">
      <x:c r="C734" s="62"/>
      <x:c r="G734" s="84"/>
    </x:row>
    <x:row r="735" ht="15.75" customHeight="1">
      <x:c r="C735" s="62"/>
      <x:c r="G735" s="84"/>
    </x:row>
    <x:row r="736" ht="15.75" customHeight="1">
      <x:c r="C736" s="62"/>
      <x:c r="G736" s="84"/>
    </x:row>
    <x:row r="737" ht="15.75" customHeight="1">
      <x:c r="C737" s="62"/>
      <x:c r="G737" s="84"/>
    </x:row>
    <x:row r="738" ht="15.75" customHeight="1">
      <x:c r="C738" s="62"/>
      <x:c r="G738" s="84"/>
    </x:row>
    <x:row r="739" ht="15.75" customHeight="1">
      <x:c r="C739" s="62"/>
      <x:c r="G739" s="84"/>
    </x:row>
    <x:row r="740" ht="15.75" customHeight="1">
      <x:c r="C740" s="62"/>
      <x:c r="G740" s="84"/>
    </x:row>
    <x:row r="741" ht="15.75" customHeight="1">
      <x:c r="C741" s="62"/>
      <x:c r="G741" s="84"/>
    </x:row>
    <x:row r="742" ht="15.75" customHeight="1">
      <x:c r="C742" s="62"/>
      <x:c r="G742" s="84"/>
    </x:row>
    <x:row r="743" ht="15.75" customHeight="1">
      <x:c r="C743" s="62"/>
      <x:c r="G743" s="84"/>
    </x:row>
    <x:row r="744" ht="15.75" customHeight="1">
      <x:c r="C744" s="62"/>
      <x:c r="G744" s="84"/>
    </x:row>
    <x:row r="745" ht="15.75" customHeight="1">
      <x:c r="C745" s="62"/>
      <x:c r="G745" s="84"/>
    </x:row>
    <x:row r="746" ht="15.75" customHeight="1">
      <x:c r="C746" s="62"/>
      <x:c r="G746" s="84"/>
    </x:row>
    <x:row r="747" ht="15.75" customHeight="1">
      <x:c r="C747" s="62"/>
      <x:c r="G747" s="84"/>
    </x:row>
    <x:row r="748" ht="15.75" customHeight="1">
      <x:c r="C748" s="62"/>
      <x:c r="G748" s="84"/>
    </x:row>
    <x:row r="749" ht="15.75" customHeight="1">
      <x:c r="C749" s="62"/>
      <x:c r="G749" s="84"/>
    </x:row>
    <x:row r="750" ht="15.75" customHeight="1">
      <x:c r="C750" s="62"/>
      <x:c r="G750" s="84"/>
    </x:row>
    <x:row r="751" ht="15.75" customHeight="1">
      <x:c r="C751" s="62"/>
      <x:c r="G751" s="84"/>
    </x:row>
    <x:row r="752" ht="15.75" customHeight="1">
      <x:c r="C752" s="62"/>
      <x:c r="G752" s="84"/>
    </x:row>
    <x:row r="753" ht="15.75" customHeight="1">
      <x:c r="C753" s="62"/>
      <x:c r="G753" s="84"/>
    </x:row>
    <x:row r="754" ht="15.75" customHeight="1">
      <x:c r="C754" s="62"/>
      <x:c r="G754" s="84"/>
    </x:row>
    <x:row r="755" ht="15.75" customHeight="1">
      <x:c r="C755" s="62"/>
      <x:c r="G755" s="84"/>
    </x:row>
    <x:row r="756" ht="15.75" customHeight="1">
      <x:c r="C756" s="62"/>
      <x:c r="G756" s="84"/>
    </x:row>
    <x:row r="757" ht="15.75" customHeight="1">
      <x:c r="C757" s="62"/>
      <x:c r="G757" s="84"/>
    </x:row>
    <x:row r="758" ht="15.75" customHeight="1">
      <x:c r="C758" s="62"/>
      <x:c r="G758" s="84"/>
    </x:row>
    <x:row r="759" ht="15.75" customHeight="1">
      <x:c r="C759" s="62"/>
      <x:c r="G759" s="84"/>
    </x:row>
    <x:row r="760" ht="15.75" customHeight="1">
      <x:c r="C760" s="62"/>
      <x:c r="G760" s="84"/>
    </x:row>
    <x:row r="761" ht="15.75" customHeight="1">
      <x:c r="C761" s="62"/>
      <x:c r="G761" s="84"/>
    </x:row>
    <x:row r="762" ht="15.75" customHeight="1">
      <x:c r="C762" s="62"/>
      <x:c r="G762" s="84"/>
    </x:row>
    <x:row r="763" ht="15.75" customHeight="1">
      <x:c r="C763" s="62"/>
      <x:c r="G763" s="84"/>
    </x:row>
    <x:row r="764" ht="15.75" customHeight="1">
      <x:c r="C764" s="62"/>
      <x:c r="G764" s="84"/>
    </x:row>
    <x:row r="765" ht="15.75" customHeight="1">
      <x:c r="C765" s="62"/>
      <x:c r="G765" s="84"/>
    </x:row>
    <x:row r="766" ht="15.75" customHeight="1">
      <x:c r="C766" s="62"/>
      <x:c r="G766" s="84"/>
    </x:row>
    <x:row r="767" ht="15.75" customHeight="1">
      <x:c r="C767" s="62"/>
      <x:c r="G767" s="84"/>
    </x:row>
    <x:row r="768" ht="15.75" customHeight="1">
      <x:c r="C768" s="62"/>
      <x:c r="G768" s="84"/>
    </x:row>
    <x:row r="769" ht="15.75" customHeight="1">
      <x:c r="C769" s="62"/>
      <x:c r="G769" s="84"/>
    </x:row>
    <x:row r="770" ht="15.75" customHeight="1">
      <x:c r="C770" s="62"/>
      <x:c r="G770" s="84"/>
    </x:row>
    <x:row r="771" ht="15.75" customHeight="1">
      <x:c r="C771" s="62"/>
      <x:c r="G771" s="84"/>
    </x:row>
    <x:row r="772" ht="15.75" customHeight="1">
      <x:c r="C772" s="62"/>
      <x:c r="G772" s="84"/>
    </x:row>
    <x:row r="773" ht="15.75" customHeight="1">
      <x:c r="C773" s="62"/>
      <x:c r="G773" s="84"/>
    </x:row>
    <x:row r="774" ht="15.75" customHeight="1">
      <x:c r="C774" s="62"/>
      <x:c r="G774" s="84"/>
    </x:row>
    <x:row r="775" ht="15.75" customHeight="1">
      <x:c r="C775" s="62"/>
      <x:c r="G775" s="84"/>
    </x:row>
    <x:row r="776" ht="15.75" customHeight="1">
      <x:c r="C776" s="62"/>
      <x:c r="G776" s="84"/>
    </x:row>
    <x:row r="777" ht="15.75" customHeight="1">
      <x:c r="C777" s="62"/>
      <x:c r="G777" s="84"/>
    </x:row>
    <x:row r="778" ht="15.75" customHeight="1">
      <x:c r="C778" s="62"/>
      <x:c r="G778" s="84"/>
    </x:row>
    <x:row r="779" ht="15.75" customHeight="1">
      <x:c r="C779" s="62"/>
      <x:c r="G779" s="84"/>
    </x:row>
    <x:row r="780" ht="15.75" customHeight="1">
      <x:c r="C780" s="62"/>
      <x:c r="G780" s="84"/>
    </x:row>
    <x:row r="781" ht="15.75" customHeight="1">
      <x:c r="C781" s="62"/>
      <x:c r="G781" s="84"/>
    </x:row>
    <x:row r="782" ht="15.75" customHeight="1">
      <x:c r="C782" s="62"/>
      <x:c r="G782" s="84"/>
    </x:row>
    <x:row r="783" ht="15.75" customHeight="1">
      <x:c r="C783" s="62"/>
      <x:c r="G783" s="84"/>
    </x:row>
    <x:row r="784" ht="15.75" customHeight="1">
      <x:c r="C784" s="62"/>
      <x:c r="G784" s="84"/>
    </x:row>
    <x:row r="785" ht="15.75" customHeight="1">
      <x:c r="C785" s="62"/>
      <x:c r="G785" s="84"/>
    </x:row>
    <x:row r="786" ht="15.75" customHeight="1">
      <x:c r="C786" s="62"/>
      <x:c r="G786" s="84"/>
    </x:row>
    <x:row r="787" ht="15.75" customHeight="1">
      <x:c r="C787" s="62"/>
      <x:c r="G787" s="84"/>
    </x:row>
    <x:row r="788" ht="15.75" customHeight="1">
      <x:c r="C788" s="62"/>
      <x:c r="G788" s="84"/>
    </x:row>
    <x:row r="789" ht="15.75" customHeight="1">
      <x:c r="C789" s="62"/>
      <x:c r="G789" s="84"/>
    </x:row>
    <x:row r="790" ht="15.75" customHeight="1">
      <x:c r="C790" s="62"/>
      <x:c r="G790" s="84"/>
    </x:row>
    <x:row r="791" ht="15.75" customHeight="1">
      <x:c r="C791" s="62"/>
      <x:c r="G791" s="84"/>
    </x:row>
    <x:row r="792" ht="15.75" customHeight="1">
      <x:c r="C792" s="62"/>
      <x:c r="G792" s="84"/>
    </x:row>
    <x:row r="793" ht="15.75" customHeight="1">
      <x:c r="C793" s="62"/>
      <x:c r="G793" s="84"/>
    </x:row>
    <x:row r="794" ht="15.75" customHeight="1">
      <x:c r="C794" s="62"/>
      <x:c r="G794" s="84"/>
    </x:row>
    <x:row r="795" ht="15.75" customHeight="1">
      <x:c r="C795" s="62"/>
      <x:c r="G795" s="84"/>
    </x:row>
    <x:row r="796" ht="15.75" customHeight="1">
      <x:c r="C796" s="62"/>
      <x:c r="G796" s="84"/>
    </x:row>
    <x:row r="797" ht="15.75" customHeight="1">
      <x:c r="C797" s="62"/>
      <x:c r="G797" s="84"/>
    </x:row>
    <x:row r="798" ht="15.75" customHeight="1">
      <x:c r="C798" s="62"/>
      <x:c r="G798" s="84"/>
    </x:row>
    <x:row r="799" ht="15.75" customHeight="1">
      <x:c r="C799" s="62"/>
      <x:c r="G799" s="84"/>
    </x:row>
    <x:row r="800" ht="15.75" customHeight="1">
      <x:c r="C800" s="62"/>
      <x:c r="G800" s="84"/>
    </x:row>
    <x:row r="801" ht="15.75" customHeight="1">
      <x:c r="C801" s="62"/>
      <x:c r="G801" s="84"/>
    </x:row>
    <x:row r="802" ht="15.75" customHeight="1">
      <x:c r="C802" s="62"/>
      <x:c r="G802" s="84"/>
    </x:row>
    <x:row r="803" ht="15.75" customHeight="1">
      <x:c r="C803" s="62"/>
      <x:c r="G803" s="84"/>
    </x:row>
    <x:row r="804" ht="15.75" customHeight="1">
      <x:c r="C804" s="62"/>
      <x:c r="G804" s="84"/>
    </x:row>
    <x:row r="805" ht="15.75" customHeight="1">
      <x:c r="C805" s="62"/>
      <x:c r="G805" s="84"/>
    </x:row>
    <x:row r="806" ht="15.75" customHeight="1">
      <x:c r="C806" s="62"/>
      <x:c r="G806" s="84"/>
    </x:row>
    <x:row r="807" ht="15.75" customHeight="1">
      <x:c r="C807" s="62"/>
      <x:c r="G807" s="84"/>
    </x:row>
    <x:row r="808" ht="15.75" customHeight="1">
      <x:c r="C808" s="62"/>
      <x:c r="G808" s="84"/>
    </x:row>
    <x:row r="809" ht="15.75" customHeight="1">
      <x:c r="C809" s="62"/>
      <x:c r="G809" s="84"/>
    </x:row>
    <x:row r="810" ht="15.75" customHeight="1">
      <x:c r="C810" s="62"/>
      <x:c r="G810" s="84"/>
    </x:row>
    <x:row r="811" ht="15.75" customHeight="1">
      <x:c r="C811" s="62"/>
      <x:c r="G811" s="84"/>
    </x:row>
    <x:row r="812" ht="15.75" customHeight="1">
      <x:c r="C812" s="62"/>
      <x:c r="G812" s="84"/>
    </x:row>
    <x:row r="813" ht="15.75" customHeight="1">
      <x:c r="C813" s="62"/>
      <x:c r="G813" s="84"/>
    </x:row>
    <x:row r="814" ht="15.75" customHeight="1">
      <x:c r="C814" s="62"/>
      <x:c r="G814" s="84"/>
    </x:row>
    <x:row r="815" ht="15.75" customHeight="1">
      <x:c r="C815" s="62"/>
      <x:c r="G815" s="84"/>
    </x:row>
    <x:row r="816" ht="15.75" customHeight="1">
      <x:c r="C816" s="62"/>
      <x:c r="G816" s="84"/>
    </x:row>
    <x:row r="817" ht="15.75" customHeight="1">
      <x:c r="C817" s="62"/>
      <x:c r="G817" s="84"/>
    </x:row>
    <x:row r="818" ht="15.75" customHeight="1">
      <x:c r="C818" s="62"/>
      <x:c r="G818" s="84"/>
    </x:row>
    <x:row r="819" ht="15.75" customHeight="1">
      <x:c r="C819" s="62"/>
      <x:c r="G819" s="84"/>
    </x:row>
    <x:row r="820" ht="15.75" customHeight="1">
      <x:c r="C820" s="62"/>
      <x:c r="G820" s="84"/>
    </x:row>
    <x:row r="821" ht="15.75" customHeight="1">
      <x:c r="C821" s="62"/>
      <x:c r="G821" s="84"/>
    </x:row>
    <x:row r="822" ht="15.75" customHeight="1">
      <x:c r="C822" s="62"/>
      <x:c r="G822" s="84"/>
    </x:row>
    <x:row r="823" ht="15.75" customHeight="1">
      <x:c r="C823" s="62"/>
      <x:c r="G823" s="84"/>
    </x:row>
    <x:row r="824" ht="15.75" customHeight="1">
      <x:c r="C824" s="62"/>
      <x:c r="G824" s="84"/>
    </x:row>
    <x:row r="825" ht="15.75" customHeight="1">
      <x:c r="C825" s="62"/>
      <x:c r="G825" s="84"/>
    </x:row>
    <x:row r="826" ht="15.75" customHeight="1">
      <x:c r="C826" s="62"/>
      <x:c r="G826" s="84"/>
    </x:row>
    <x:row r="827" ht="15.75" customHeight="1">
      <x:c r="C827" s="62"/>
      <x:c r="G827" s="84"/>
    </x:row>
    <x:row r="828" ht="15.75" customHeight="1">
      <x:c r="C828" s="62"/>
      <x:c r="G828" s="84"/>
    </x:row>
    <x:row r="829" ht="15.75" customHeight="1">
      <x:c r="C829" s="62"/>
      <x:c r="G829" s="84"/>
    </x:row>
    <x:row r="830" ht="15.75" customHeight="1">
      <x:c r="C830" s="62"/>
      <x:c r="G830" s="84"/>
    </x:row>
    <x:row r="831" ht="15.75" customHeight="1">
      <x:c r="C831" s="62"/>
      <x:c r="G831" s="84"/>
    </x:row>
    <x:row r="832" ht="15.75" customHeight="1">
      <x:c r="C832" s="62"/>
      <x:c r="G832" s="84"/>
    </x:row>
    <x:row r="833" ht="15.75" customHeight="1">
      <x:c r="C833" s="62"/>
      <x:c r="G833" s="84"/>
    </x:row>
    <x:row r="834" ht="15.75" customHeight="1">
      <x:c r="C834" s="62"/>
      <x:c r="G834" s="84"/>
    </x:row>
    <x:row r="835" ht="15.75" customHeight="1">
      <x:c r="C835" s="62"/>
      <x:c r="G835" s="84"/>
    </x:row>
    <x:row r="836" ht="15.75" customHeight="1">
      <x:c r="C836" s="62"/>
      <x:c r="G836" s="84"/>
    </x:row>
    <x:row r="837" ht="15.75" customHeight="1">
      <x:c r="C837" s="62"/>
      <x:c r="G837" s="84"/>
    </x:row>
    <x:row r="838" ht="15.75" customHeight="1">
      <x:c r="C838" s="62"/>
      <x:c r="G838" s="84"/>
    </x:row>
    <x:row r="839" ht="15.75" customHeight="1">
      <x:c r="C839" s="62"/>
      <x:c r="G839" s="84"/>
    </x:row>
    <x:row r="840" ht="15.75" customHeight="1">
      <x:c r="C840" s="62"/>
      <x:c r="G840" s="84"/>
    </x:row>
    <x:row r="841" ht="15.75" customHeight="1">
      <x:c r="C841" s="62"/>
      <x:c r="G841" s="84"/>
    </x:row>
    <x:row r="842" ht="15.75" customHeight="1">
      <x:c r="C842" s="62"/>
      <x:c r="G842" s="84"/>
    </x:row>
    <x:row r="843" ht="15.75" customHeight="1">
      <x:c r="C843" s="62"/>
      <x:c r="G843" s="84"/>
    </x:row>
    <x:row r="844" ht="15.75" customHeight="1">
      <x:c r="C844" s="62"/>
      <x:c r="G844" s="84"/>
    </x:row>
    <x:row r="845" ht="15.75" customHeight="1">
      <x:c r="C845" s="62"/>
      <x:c r="G845" s="84"/>
    </x:row>
    <x:row r="846" ht="15.75" customHeight="1">
      <x:c r="C846" s="62"/>
      <x:c r="G846" s="84"/>
    </x:row>
    <x:row r="847" ht="15.75" customHeight="1">
      <x:c r="C847" s="62"/>
      <x:c r="G847" s="84"/>
    </x:row>
    <x:row r="848" ht="15.75" customHeight="1">
      <x:c r="C848" s="62"/>
      <x:c r="G848" s="84"/>
    </x:row>
    <x:row r="849" ht="15.75" customHeight="1">
      <x:c r="C849" s="62"/>
      <x:c r="G849" s="84"/>
    </x:row>
    <x:row r="850" ht="15.75" customHeight="1">
      <x:c r="C850" s="62"/>
      <x:c r="G850" s="84"/>
    </x:row>
    <x:row r="851" ht="15.75" customHeight="1">
      <x:c r="C851" s="62"/>
      <x:c r="G851" s="84"/>
    </x:row>
    <x:row r="852" ht="15.75" customHeight="1">
      <x:c r="C852" s="62"/>
      <x:c r="G852" s="84"/>
    </x:row>
    <x:row r="853" ht="15.75" customHeight="1">
      <x:c r="C853" s="62"/>
      <x:c r="G853" s="84"/>
    </x:row>
    <x:row r="854" ht="15.75" customHeight="1">
      <x:c r="C854" s="62"/>
      <x:c r="G854" s="84"/>
    </x:row>
    <x:row r="855" ht="15.75" customHeight="1">
      <x:c r="C855" s="62"/>
      <x:c r="G855" s="84"/>
    </x:row>
    <x:row r="856" ht="15.75" customHeight="1">
      <x:c r="C856" s="62"/>
      <x:c r="G856" s="84"/>
    </x:row>
    <x:row r="857" ht="15.75" customHeight="1">
      <x:c r="C857" s="62"/>
      <x:c r="G857" s="84"/>
    </x:row>
    <x:row r="858" ht="15.75" customHeight="1">
      <x:c r="C858" s="62"/>
      <x:c r="G858" s="84"/>
    </x:row>
    <x:row r="859" ht="15.75" customHeight="1">
      <x:c r="C859" s="62"/>
      <x:c r="G859" s="84"/>
    </x:row>
    <x:row r="860" ht="15.75" customHeight="1">
      <x:c r="C860" s="62"/>
      <x:c r="G860" s="84"/>
    </x:row>
    <x:row r="861" ht="15.75" customHeight="1">
      <x:c r="C861" s="62"/>
      <x:c r="G861" s="84"/>
    </x:row>
    <x:row r="862" ht="15.75" customHeight="1">
      <x:c r="C862" s="62"/>
      <x:c r="G862" s="84"/>
    </x:row>
    <x:row r="863" ht="15.75" customHeight="1">
      <x:c r="C863" s="62"/>
      <x:c r="G863" s="84"/>
    </x:row>
    <x:row r="864" ht="15.75" customHeight="1">
      <x:c r="C864" s="62"/>
      <x:c r="G864" s="84"/>
    </x:row>
    <x:row r="865" ht="15.75" customHeight="1">
      <x:c r="C865" s="62"/>
      <x:c r="G865" s="84"/>
    </x:row>
    <x:row r="866" ht="15.75" customHeight="1">
      <x:c r="C866" s="62"/>
      <x:c r="G866" s="84"/>
    </x:row>
    <x:row r="867" ht="15.75" customHeight="1">
      <x:c r="C867" s="62"/>
      <x:c r="G867" s="84"/>
    </x:row>
    <x:row r="868" ht="15.75" customHeight="1">
      <x:c r="C868" s="62"/>
      <x:c r="G868" s="84"/>
    </x:row>
    <x:row r="869" ht="15.75" customHeight="1">
      <x:c r="C869" s="62"/>
      <x:c r="G869" s="84"/>
    </x:row>
    <x:row r="870" ht="15.75" customHeight="1">
      <x:c r="C870" s="62"/>
      <x:c r="G870" s="84"/>
    </x:row>
    <x:row r="871" ht="15.75" customHeight="1">
      <x:c r="C871" s="62"/>
      <x:c r="G871" s="84"/>
    </x:row>
    <x:row r="872" ht="15.75" customHeight="1">
      <x:c r="C872" s="62"/>
      <x:c r="G872" s="84"/>
    </x:row>
    <x:row r="873" ht="15.75" customHeight="1">
      <x:c r="C873" s="62"/>
      <x:c r="G873" s="84"/>
    </x:row>
    <x:row r="874" ht="15.75" customHeight="1">
      <x:c r="C874" s="62"/>
      <x:c r="G874" s="84"/>
    </x:row>
    <x:row r="875" ht="15.75" customHeight="1">
      <x:c r="C875" s="62"/>
      <x:c r="G875" s="84"/>
    </x:row>
    <x:row r="876" ht="15.75" customHeight="1">
      <x:c r="C876" s="62"/>
      <x:c r="G876" s="84"/>
    </x:row>
    <x:row r="877" ht="15.75" customHeight="1">
      <x:c r="C877" s="62"/>
      <x:c r="G877" s="84"/>
    </x:row>
    <x:row r="878" ht="15.75" customHeight="1">
      <x:c r="C878" s="62"/>
      <x:c r="G878" s="84"/>
    </x:row>
    <x:row r="879" ht="15.75" customHeight="1">
      <x:c r="C879" s="62"/>
      <x:c r="G879" s="84"/>
    </x:row>
    <x:row r="880" ht="15.75" customHeight="1">
      <x:c r="C880" s="62"/>
      <x:c r="G880" s="84"/>
    </x:row>
    <x:row r="881" ht="15.75" customHeight="1">
      <x:c r="C881" s="62"/>
      <x:c r="G881" s="84"/>
    </x:row>
    <x:row r="882" ht="15.75" customHeight="1">
      <x:c r="C882" s="62"/>
      <x:c r="G882" s="84"/>
    </x:row>
    <x:row r="883" ht="15.75" customHeight="1">
      <x:c r="C883" s="62"/>
      <x:c r="G883" s="84"/>
    </x:row>
    <x:row r="884" ht="15.75" customHeight="1">
      <x:c r="C884" s="62"/>
      <x:c r="G884" s="84"/>
    </x:row>
    <x:row r="885" ht="15.75" customHeight="1">
      <x:c r="C885" s="62"/>
      <x:c r="G885" s="84"/>
    </x:row>
    <x:row r="886" ht="15.75" customHeight="1">
      <x:c r="C886" s="62"/>
      <x:c r="G886" s="84"/>
    </x:row>
    <x:row r="887" ht="15.75" customHeight="1">
      <x:c r="C887" s="62"/>
      <x:c r="G887" s="84"/>
    </x:row>
    <x:row r="888" ht="15.75" customHeight="1">
      <x:c r="C888" s="62"/>
      <x:c r="G888" s="84"/>
    </x:row>
    <x:row r="889" ht="15.75" customHeight="1">
      <x:c r="C889" s="62"/>
      <x:c r="G889" s="84"/>
    </x:row>
    <x:row r="890" ht="15.75" customHeight="1">
      <x:c r="C890" s="62"/>
      <x:c r="G890" s="84"/>
    </x:row>
    <x:row r="891" ht="15.75" customHeight="1">
      <x:c r="C891" s="62"/>
      <x:c r="G891" s="84"/>
    </x:row>
    <x:row r="892" ht="15.75" customHeight="1">
      <x:c r="C892" s="62"/>
      <x:c r="G892" s="84"/>
    </x:row>
    <x:row r="893" ht="15.75" customHeight="1">
      <x:c r="C893" s="62"/>
      <x:c r="G893" s="84"/>
    </x:row>
    <x:row r="894" ht="15.75" customHeight="1">
      <x:c r="C894" s="62"/>
      <x:c r="G894" s="84"/>
    </x:row>
    <x:row r="895" ht="15.75" customHeight="1">
      <x:c r="C895" s="62"/>
      <x:c r="G895" s="84"/>
    </x:row>
    <x:row r="896" ht="15.75" customHeight="1">
      <x:c r="C896" s="62"/>
      <x:c r="G896" s="84"/>
    </x:row>
    <x:row r="897" ht="15.75" customHeight="1">
      <x:c r="C897" s="62"/>
      <x:c r="G897" s="84"/>
    </x:row>
    <x:row r="898" ht="15.75" customHeight="1">
      <x:c r="C898" s="62"/>
      <x:c r="G898" s="84"/>
    </x:row>
    <x:row r="899" ht="15.75" customHeight="1">
      <x:c r="C899" s="62"/>
      <x:c r="G899" s="84"/>
    </x:row>
    <x:row r="900" ht="15.75" customHeight="1">
      <x:c r="C900" s="62"/>
      <x:c r="G900" s="84"/>
    </x:row>
    <x:row r="901" ht="15.75" customHeight="1">
      <x:c r="C901" s="62"/>
      <x:c r="G901" s="84"/>
    </x:row>
    <x:row r="902" ht="15.75" customHeight="1">
      <x:c r="C902" s="62"/>
      <x:c r="G902" s="84"/>
    </x:row>
    <x:row r="903" ht="15.75" customHeight="1">
      <x:c r="C903" s="62"/>
      <x:c r="G903" s="84"/>
    </x:row>
    <x:row r="904" ht="15.75" customHeight="1">
      <x:c r="C904" s="62"/>
      <x:c r="G904" s="84"/>
    </x:row>
    <x:row r="905" ht="15.75" customHeight="1">
      <x:c r="C905" s="62"/>
      <x:c r="G905" s="84"/>
    </x:row>
    <x:row r="906" ht="15.75" customHeight="1">
      <x:c r="C906" s="62"/>
      <x:c r="G906" s="84"/>
    </x:row>
    <x:row r="907" ht="15.75" customHeight="1">
      <x:c r="C907" s="62"/>
      <x:c r="G907" s="84"/>
    </x:row>
    <x:row r="908" ht="15.75" customHeight="1">
      <x:c r="C908" s="62"/>
      <x:c r="G908" s="84"/>
    </x:row>
    <x:row r="909" ht="15.75" customHeight="1">
      <x:c r="C909" s="62"/>
      <x:c r="G909" s="84"/>
    </x:row>
    <x:row r="910" ht="15.75" customHeight="1">
      <x:c r="C910" s="62"/>
      <x:c r="G910" s="84"/>
    </x:row>
    <x:row r="911" ht="15.75" customHeight="1">
      <x:c r="C911" s="62"/>
      <x:c r="G911" s="84"/>
    </x:row>
    <x:row r="912" ht="15.75" customHeight="1">
      <x:c r="C912" s="62"/>
      <x:c r="G912" s="84"/>
    </x:row>
    <x:row r="913" ht="15.75" customHeight="1">
      <x:c r="C913" s="62"/>
      <x:c r="G913" s="84"/>
    </x:row>
    <x:row r="914" ht="15.75" customHeight="1">
      <x:c r="C914" s="62"/>
      <x:c r="G914" s="84"/>
    </x:row>
    <x:row r="915" ht="15.75" customHeight="1">
      <x:c r="C915" s="62"/>
      <x:c r="G915" s="84"/>
    </x:row>
    <x:row r="916" ht="15.75" customHeight="1">
      <x:c r="C916" s="62"/>
      <x:c r="G916" s="84"/>
    </x:row>
    <x:row r="917" ht="15.75" customHeight="1">
      <x:c r="C917" s="62"/>
      <x:c r="G917" s="84"/>
    </x:row>
    <x:row r="918" ht="15.75" customHeight="1">
      <x:c r="C918" s="62"/>
      <x:c r="G918" s="84"/>
    </x:row>
    <x:row r="919" ht="15.75" customHeight="1">
      <x:c r="C919" s="62"/>
      <x:c r="G919" s="84"/>
    </x:row>
    <x:row r="920" ht="15.75" customHeight="1">
      <x:c r="C920" s="62"/>
      <x:c r="G920" s="84"/>
    </x:row>
    <x:row r="921" ht="15.75" customHeight="1">
      <x:c r="C921" s="62"/>
      <x:c r="G921" s="84"/>
    </x:row>
    <x:row r="922" ht="15.75" customHeight="1">
      <x:c r="C922" s="62"/>
      <x:c r="G922" s="84"/>
    </x:row>
    <x:row r="923" ht="15.75" customHeight="1">
      <x:c r="C923" s="62"/>
      <x:c r="G923" s="84"/>
    </x:row>
    <x:row r="924" ht="15.75" customHeight="1">
      <x:c r="C924" s="62"/>
      <x:c r="G924" s="84"/>
    </x:row>
    <x:row r="925" ht="15.75" customHeight="1">
      <x:c r="C925" s="62"/>
      <x:c r="G925" s="84"/>
    </x:row>
    <x:row r="926" ht="15.75" customHeight="1">
      <x:c r="C926" s="62"/>
      <x:c r="G926" s="84"/>
    </x:row>
    <x:row r="927" ht="15.75" customHeight="1">
      <x:c r="C927" s="62"/>
      <x:c r="G927" s="84"/>
    </x:row>
    <x:row r="928" ht="15.75" customHeight="1">
      <x:c r="C928" s="62"/>
      <x:c r="G928" s="84"/>
    </x:row>
    <x:row r="929" ht="15.75" customHeight="1">
      <x:c r="C929" s="62"/>
      <x:c r="G929" s="84"/>
    </x:row>
    <x:row r="930" ht="15.75" customHeight="1">
      <x:c r="C930" s="62"/>
      <x:c r="G930" s="84"/>
    </x:row>
    <x:row r="931" ht="15.75" customHeight="1">
      <x:c r="C931" s="62"/>
      <x:c r="G931" s="84"/>
    </x:row>
    <x:row r="932" ht="15.75" customHeight="1">
      <x:c r="C932" s="62"/>
      <x:c r="G932" s="84"/>
    </x:row>
    <x:row r="933" ht="15.75" customHeight="1">
      <x:c r="C933" s="62"/>
      <x:c r="G933" s="84"/>
    </x:row>
    <x:row r="934" ht="15.75" customHeight="1">
      <x:c r="C934" s="62"/>
      <x:c r="G934" s="84"/>
    </x:row>
    <x:row r="935" ht="15.75" customHeight="1">
      <x:c r="C935" s="62"/>
      <x:c r="G935" s="84"/>
    </x:row>
    <x:row r="936" ht="15.75" customHeight="1">
      <x:c r="C936" s="62"/>
      <x:c r="G936" s="84"/>
    </x:row>
    <x:row r="937" ht="15.75" customHeight="1">
      <x:c r="C937" s="62"/>
      <x:c r="G937" s="84"/>
    </x:row>
    <x:row r="938" ht="15.75" customHeight="1">
      <x:c r="C938" s="62"/>
      <x:c r="G938" s="84"/>
    </x:row>
    <x:row r="939" ht="15.75" customHeight="1">
      <x:c r="C939" s="62"/>
      <x:c r="G939" s="84"/>
    </x:row>
    <x:row r="940" ht="15.75" customHeight="1">
      <x:c r="C940" s="62"/>
      <x:c r="G940" s="84"/>
    </x:row>
    <x:row r="941" ht="15.75" customHeight="1">
      <x:c r="C941" s="62"/>
      <x:c r="G941" s="84"/>
    </x:row>
    <x:row r="942" ht="15.75" customHeight="1">
      <x:c r="C942" s="62"/>
      <x:c r="G942" s="84"/>
    </x:row>
    <x:row r="943" ht="15.75" customHeight="1">
      <x:c r="C943" s="62"/>
      <x:c r="G943" s="84"/>
    </x:row>
    <x:row r="944" ht="15.75" customHeight="1">
      <x:c r="C944" s="62"/>
      <x:c r="G944" s="84"/>
    </x:row>
    <x:row r="945" ht="15.75" customHeight="1">
      <x:c r="C945" s="62"/>
      <x:c r="G945" s="84"/>
    </x:row>
    <x:row r="946" ht="15.75" customHeight="1">
      <x:c r="C946" s="62"/>
      <x:c r="G946" s="84"/>
    </x:row>
    <x:row r="947" ht="15.75" customHeight="1">
      <x:c r="C947" s="62"/>
      <x:c r="G947" s="84"/>
    </x:row>
    <x:row r="948" ht="15.75" customHeight="1">
      <x:c r="C948" s="62"/>
      <x:c r="G948" s="84"/>
    </x:row>
    <x:row r="949" ht="15.75" customHeight="1">
      <x:c r="C949" s="62"/>
      <x:c r="G949" s="84"/>
    </x:row>
    <x:row r="950" ht="15.75" customHeight="1">
      <x:c r="C950" s="62"/>
      <x:c r="G950" s="84"/>
    </x:row>
    <x:row r="951" ht="15.75" customHeight="1">
      <x:c r="C951" s="62"/>
      <x:c r="G951" s="84"/>
    </x:row>
    <x:row r="952" ht="15.75" customHeight="1">
      <x:c r="C952" s="62"/>
      <x:c r="G952" s="84"/>
    </x:row>
    <x:row r="953" ht="15.75" customHeight="1">
      <x:c r="C953" s="62"/>
      <x:c r="G953" s="84"/>
    </x:row>
    <x:row r="954" ht="15.75" customHeight="1">
      <x:c r="C954" s="62"/>
      <x:c r="G954" s="84"/>
    </x:row>
    <x:row r="955" ht="15.75" customHeight="1">
      <x:c r="C955" s="62"/>
      <x:c r="G955" s="84"/>
    </x:row>
    <x:row r="956" ht="15.75" customHeight="1">
      <x:c r="C956" s="62"/>
      <x:c r="G956" s="84"/>
    </x:row>
    <x:row r="957" ht="15.75" customHeight="1">
      <x:c r="C957" s="62"/>
      <x:c r="G957" s="84"/>
    </x:row>
    <x:row r="958" ht="15.75" customHeight="1">
      <x:c r="C958" s="62"/>
      <x:c r="G958" s="84"/>
    </x:row>
    <x:row r="959" ht="15.75" customHeight="1">
      <x:c r="C959" s="62"/>
      <x:c r="G959" s="84"/>
    </x:row>
    <x:row r="960" ht="15.75" customHeight="1">
      <x:c r="C960" s="62"/>
      <x:c r="G960" s="84"/>
    </x:row>
    <x:row r="961" ht="15.75" customHeight="1">
      <x:c r="C961" s="62"/>
      <x:c r="G961" s="84"/>
    </x:row>
    <x:row r="962" ht="15.75" customHeight="1">
      <x:c r="C962" s="62"/>
      <x:c r="G962" s="84"/>
    </x:row>
    <x:row r="963" ht="15.75" customHeight="1">
      <x:c r="C963" s="62"/>
      <x:c r="G963" s="84"/>
    </x:row>
    <x:row r="964" ht="15.75" customHeight="1">
      <x:c r="C964" s="62"/>
      <x:c r="G964" s="84"/>
    </x:row>
    <x:row r="965" ht="15.75" customHeight="1">
      <x:c r="C965" s="62"/>
      <x:c r="G965" s="84"/>
    </x:row>
    <x:row r="966" ht="15.75" customHeight="1">
      <x:c r="C966" s="62"/>
      <x:c r="G966" s="84"/>
    </x:row>
    <x:row r="967" ht="15.75" customHeight="1">
      <x:c r="C967" s="62"/>
      <x:c r="G967" s="84"/>
    </x:row>
    <x:row r="968" ht="15.75" customHeight="1">
      <x:c r="C968" s="62"/>
      <x:c r="G968" s="84"/>
    </x:row>
    <x:row r="969" ht="15.75" customHeight="1">
      <x:c r="C969" s="62"/>
      <x:c r="G969" s="84"/>
    </x:row>
    <x:row r="970" ht="15.75" customHeight="1">
      <x:c r="C970" s="62"/>
      <x:c r="G970" s="84"/>
    </x:row>
    <x:row r="971" ht="15.75" customHeight="1">
      <x:c r="C971" s="62"/>
      <x:c r="G971" s="84"/>
    </x:row>
    <x:row r="972" ht="15.75" customHeight="1">
      <x:c r="C972" s="62"/>
      <x:c r="G972" s="84"/>
    </x:row>
    <x:row r="973" ht="15.75" customHeight="1">
      <x:c r="C973" s="62"/>
      <x:c r="G973" s="84"/>
    </x:row>
    <x:row r="974" ht="15.75" customHeight="1">
      <x:c r="C974" s="62"/>
      <x:c r="G974" s="84"/>
    </x:row>
    <x:row r="975" ht="15.75" customHeight="1">
      <x:c r="C975" s="62"/>
      <x:c r="G975" s="84"/>
    </x:row>
    <x:row r="976" ht="15.75" customHeight="1">
      <x:c r="C976" s="62"/>
      <x:c r="G976" s="84"/>
    </x:row>
    <x:row r="977" ht="15.75" customHeight="1">
      <x:c r="C977" s="62"/>
      <x:c r="G977" s="84"/>
    </x:row>
    <x:row r="978" ht="15.75" customHeight="1">
      <x:c r="C978" s="62"/>
      <x:c r="G978" s="84"/>
    </x:row>
    <x:row r="979" ht="15.75" customHeight="1">
      <x:c r="C979" s="62"/>
      <x:c r="G979" s="84"/>
    </x:row>
    <x:row r="980" ht="15.75" customHeight="1">
      <x:c r="C980" s="62"/>
      <x:c r="G980" s="84"/>
    </x:row>
    <x:row r="981" ht="15.75" customHeight="1">
      <x:c r="C981" s="62"/>
      <x:c r="G981" s="84"/>
    </x:row>
    <x:row r="982" ht="15.75" customHeight="1">
      <x:c r="C982" s="62"/>
      <x:c r="G982" s="84"/>
    </x:row>
    <x:row r="983" ht="15.75" customHeight="1">
      <x:c r="C983" s="62"/>
      <x:c r="G983" s="84"/>
    </x:row>
    <x:row r="984" ht="15.75" customHeight="1">
      <x:c r="C984" s="62"/>
      <x:c r="G984" s="84"/>
    </x:row>
    <x:row r="985" ht="15.75" customHeight="1">
      <x:c r="C985" s="62"/>
      <x:c r="G985" s="84"/>
    </x:row>
    <x:row r="986" ht="15.75" customHeight="1">
      <x:c r="C986" s="62"/>
      <x:c r="G986" s="84"/>
    </x:row>
    <x:row r="987" ht="15.75" customHeight="1">
      <x:c r="C987" s="62"/>
      <x:c r="G987" s="84"/>
    </x:row>
    <x:row r="988" ht="15.75" customHeight="1">
      <x:c r="C988" s="62"/>
      <x:c r="G988" s="84"/>
    </x:row>
    <x:row r="989" ht="15.75" customHeight="1">
      <x:c r="C989" s="62"/>
      <x:c r="G989" s="84"/>
    </x:row>
    <x:row r="990" ht="15.75" customHeight="1">
      <x:c r="C990" s="62"/>
      <x:c r="G990" s="84"/>
    </x:row>
    <x:row r="991" ht="15.75" customHeight="1">
      <x:c r="C991" s="62"/>
      <x:c r="G991" s="84"/>
    </x:row>
    <x:row r="992" ht="15.75" customHeight="1">
      <x:c r="C992" s="62"/>
      <x:c r="G992" s="84"/>
    </x:row>
    <x:row r="993" ht="15.75" customHeight="1">
      <x:c r="C993" s="62"/>
      <x:c r="G993" s="84"/>
    </x:row>
    <x:row r="994" ht="15.75" customHeight="1">
      <x:c r="C994" s="62"/>
      <x:c r="G994" s="84"/>
    </x:row>
    <x:row r="995" ht="15.75" customHeight="1">
      <x:c r="C995" s="62"/>
      <x:c r="G995" s="84"/>
    </x:row>
    <x:row r="996" ht="15.75" customHeight="1">
      <x:c r="C996" s="62"/>
      <x:c r="G996" s="84"/>
    </x:row>
    <x:row r="997" ht="15.75" customHeight="1">
      <x:c r="C997" s="62"/>
      <x:c r="G997" s="84"/>
    </x:row>
    <x:row r="998" ht="15.75" customHeight="1">
      <x:c r="C998" s="62"/>
      <x:c r="G998" s="84"/>
    </x:row>
    <x:row r="999" ht="15.75" customHeight="1">
      <x:c r="C999" s="62"/>
      <x:c r="G999" s="84"/>
    </x:row>
    <x:row r="1000" ht="15.75" customHeight="1">
      <x:c r="C1000" s="62"/>
      <x:c r="G1000" s="84"/>
    </x:row>
  </x:sheetData>
  <x:mergeCells>
    <x:mergeCell ref="U1:V1"/>
    <x:mergeCell ref="X1:Y1"/>
    <x:mergeCell ref="X15:Z15"/>
  </x:mergeCells>
  <x:conditionalFormatting sqref="K2:K400">
    <x:cfRule type="cellIs" dxfId="2" priority="1" operator="equal">
      <x:formula>"Alta"</x:formula>
    </x:cfRule>
  </x:conditionalFormatting>
  <x:conditionalFormatting sqref="K2:K400">
    <x:cfRule type="cellIs" dxfId="1" priority="2" operator="equal">
      <x:formula>"Media"</x:formula>
    </x:cfRule>
  </x:conditionalFormatting>
  <x:conditionalFormatting sqref="K2:K400">
    <x:cfRule type="cellIs" dxfId="0" priority="3" operator="equal">
      <x:formula>"Baixa"</x:formula>
    </x:cfRule>
  </x:conditionalFormatting>
  <x:conditionalFormatting sqref="L2:L400">
    <x:cfRule type="cellIs" dxfId="0" priority="4" operator="equal">
      <x:formula>"Resolvido"</x:formula>
    </x:cfRule>
  </x:conditionalFormatting>
  <x:conditionalFormatting sqref="L2:L400">
    <x:cfRule type="cellIs" dxfId="2" priority="5" operator="equal">
      <x:formula>"Aberto"</x:formula>
    </x:cfRule>
  </x:conditionalFormatting>
  <x:conditionalFormatting sqref="L2:L400">
    <x:cfRule type="expression" dxfId="1" priority="6">
      <x:formula>OR(L2="Em andamento",L2="Aguardando cliente")</x:formula>
    </x:cfRule>
  </x:conditionalFormatting>
  <x:conditionalFormatting sqref="G2:G1000">
    <x:cfRule type="colorScale" priority="7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dataValidations count="8">
    <x:dataValidation type="list" allowBlank="1" sqref="L2:L400">
      <x:formula1>"Aberto,Em andamento,Aguardando cliente,Resolvido,Cancelado"</x:formula1>
    </x:dataValidation>
    <x:dataValidation type="list" allowBlank="1" sqref="F2:F400">
      <x:formula1>"Cadeira de cabelo,Lavatorio/Shampoo,Carrinho auxiliar,Espelho/Estacao,Recepcao/Sofa,Maca,Outro"</x:formula1>
    </x:dataValidation>
    <x:dataValidation type="list" allowBlank="1" sqref="E2:E400">
      <x:formula1>"Telefone,WhatsApp,E-mail,Site,Loja fisica,Rede social"</x:formula1>
    </x:dataValidation>
    <x:dataValidation type="list" allowBlank="1" sqref="K2:K400">
      <x:formula1>"Alta,Media,Baixa"</x:formula1>
    </x:dataValidation>
    <x:dataValidation type="list" allowBlank="1" sqref="J2:J400">
      <x:formula1>"Acabamento,Embalagem,Material,Hidraulica,Costura,Montagem,Peca faltante,Peca quebrada,Dificuldade de montagem,Outros"</x:formula1>
    </x:dataValidation>
    <x:dataValidation type="list" allowBlank="1" sqref="H2:H400">
      <x:formula1>"Reclamacao,Troca,Devolucao,Peca faltante,Avaria,Duvida tecnica,Elogio,Outro"</x:formula1>
    </x:dataValidation>
    <x:dataValidation type="list" sqref="F2:F1000">
      <x:formula1>"Telefone,WhatsApp,E-mail,Site,Loja fisica,Rede social"</x:formula1>
    </x:dataValidation>
    <x:dataValidation operator="between" sqref="G2:G1000">
      <x:formula1>1</x:formula1>
      <x:formula2>5</x:formula2>
    </x:dataValidation>
  </x:dataValidations>
  <x:pageMargins left="0.7" right="0.7" top="0.75" bottom="0.75" header="0.3" footer="0.3"/>
  <x:drawing xmlns:r="http://schemas.openxmlformats.org/officeDocument/2006/relationships" r:id="R7b15ec3ef1ac4363"/>
  <x:tableParts count="1">
    <x:tablePart xmlns:r="http://schemas.openxmlformats.org/officeDocument/2006/relationships" r:id="Rf201a780890e4b1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18" hidden="0" customWidth="1"/>
    <x:col min="2" max="3" width="18" customWidth="1"/>
    <x:col min="4" max="4" width="18" hidden="0" customWidth="1"/>
    <x:col min="5" max="5" width="22" hidden="0" customWidth="1"/>
    <x:col min="6" max="6" width="18" hidden="0" customWidth="1"/>
    <x:col min="7" max="7" width="14" hidden="0" customWidth="1"/>
    <x:col min="8" max="8" width="42" hidden="0" customWidth="1"/>
    <x:col min="9" max="10" width="14" customWidth="1"/>
    <x:col min="11" max="11" width="8.75" customWidth="1"/>
    <x:col min="12" max="12" width="24.25" customWidth="1"/>
    <x:col min="13" max="13" width="4.130000114440918" customWidth="1"/>
    <x:col min="14" max="26" width="14.380000114440918" customWidth="1"/>
    <x:col min="2" max="2" width="24" hidden="0" customWidth="1"/>
    <x:col min="3" max="3" width="24" hidden="0" customWidth="1"/>
    <x:col min="9" max="9" width="18" hidden="0" customWidth="1"/>
    <x:col min="10" max="10" width="18" hidden="0" customWidth="1"/>
  </x:cols>
  <x:sheetData>
    <x:row r="1" ht="30" customHeight="1">
      <x:c r="A1" s="166" t="str">
        <x:v>Data do contato</x:v>
      </x:c>
      <x:c r="B1" s="166" t="str">
        <x:v>Cliente</x:v>
      </x:c>
      <x:c r="C1" s="166" t="str">
        <x:v>Produto comprado</x:v>
      </x:c>
      <x:c r="D1" s="166" t="str">
        <x:v>Data da compra</x:v>
      </x:c>
      <x:c r="E1" s="166" t="str">
        <x:v>Tipo de contato</x:v>
      </x:c>
      <x:c r="F1" s="166" t="str">
        <x:v>Satisfação (1-5)</x:v>
      </x:c>
      <x:c r="G1" s="166" t="str">
        <x:v>NPS (0-10)</x:v>
      </x:c>
      <x:c r="H1" s="166" t="str">
        <x:v>Comentários do cliente</x:v>
      </x:c>
      <x:c r="I1" s="166" t="str">
        <x:v>Recompra prevista</x:v>
      </x:c>
      <x:c r="J1" s="166" t="str">
        <x:v>Responsável</x:v>
      </x:c>
      <x:c r="L1"/>
    </x:row>
    <x:row r="2" ht="30" customHeight="1">
      <x:c r="A2" s="164" t="n">
        <x:v>46266</x:v>
      </x:c>
      <x:c r="B2" s="140" t="str">
        <x:v>Studio Hair Design</x:v>
      </x:c>
      <x:c r="C2" s="140" t="str">
        <x:v>Kit 3 cadeiras</x:v>
      </x:c>
      <x:c r="D2" s="164" t="n">
        <x:v>46235</x:v>
      </x:c>
      <x:c r="E2" s="140" t="str">
        <x:v>Follow-up 30 dias</x:v>
      </x:c>
      <x:c r="F2" s="143" t="n">
        <x:v>5</x:v>
      </x:c>
      <x:c r="G2" s="143" t="n">
        <x:v>9</x:v>
      </x:c>
      <x:c r="H2" s="140" t="str">
        <x:v>Muito satisfeita, elogiou o acabamento</x:v>
      </x:c>
      <x:c r="I2" s="140" t="str">
        <x:v>Sim</x:v>
      </x:c>
      <x:c r="J2" s="140" t="str">
        <x:v>Ana</x:v>
      </x:c>
      <x:c r="L2"/>
      <x:c r="M2"/>
    </x:row>
    <x:row r="3">
      <x:c r="A3" s="62"/>
      <x:c r="B3"/>
      <x:c r="C3"/>
      <x:c r="D3" s="62"/>
      <x:c r="E3"/>
      <x:c r="F3" s="84"/>
      <x:c r="G3" s="84"/>
      <x:c r="H3"/>
      <x:c r="I3"/>
      <x:c r="J3"/>
      <x:c r="L3"/>
      <x:c r="M3"/>
    </x:row>
    <x:row r="4">
      <x:c r="A4" s="62"/>
      <x:c r="B4"/>
      <x:c r="C4"/>
      <x:c r="D4" s="62"/>
      <x:c r="E4"/>
      <x:c r="F4" s="84"/>
      <x:c r="G4" s="84"/>
      <x:c r="H4"/>
      <x:c r="I4"/>
      <x:c r="J4"/>
      <x:c r="L4"/>
      <x:c r="M4"/>
    </x:row>
    <x:row r="5">
      <x:c r="A5" s="62"/>
      <x:c r="B5"/>
      <x:c r="C5"/>
      <x:c r="D5" s="62"/>
      <x:c r="E5"/>
      <x:c r="F5" s="84"/>
      <x:c r="G5" s="84"/>
      <x:c r="H5"/>
      <x:c r="I5"/>
      <x:c r="J5"/>
      <x:c r="L5"/>
      <x:c r="M5"/>
    </x:row>
    <x:row r="6">
      <x:c r="A6" s="62"/>
      <x:c r="B6"/>
      <x:c r="C6"/>
      <x:c r="D6" s="62"/>
      <x:c r="E6"/>
      <x:c r="F6" s="84"/>
      <x:c r="G6" s="84"/>
      <x:c r="H6"/>
      <x:c r="I6"/>
      <x:c r="J6"/>
      <x:c r="L6"/>
      <x:c r="M6"/>
    </x:row>
    <x:row r="7">
      <x:c r="A7" s="62"/>
      <x:c r="B7"/>
      <x:c r="C7"/>
      <x:c r="D7" s="62"/>
      <x:c r="E7"/>
      <x:c r="F7" s="84"/>
      <x:c r="G7" s="84"/>
      <x:c r="H7"/>
      <x:c r="I7"/>
      <x:c r="J7"/>
      <x:c r="L7"/>
      <x:c r="M7"/>
    </x:row>
    <x:row r="8">
      <x:c r="A8" s="62"/>
      <x:c r="B8"/>
      <x:c r="C8"/>
      <x:c r="D8" s="62"/>
      <x:c r="E8"/>
      <x:c r="F8" s="84"/>
      <x:c r="G8" s="84"/>
      <x:c r="H8"/>
      <x:c r="I8"/>
      <x:c r="J8"/>
    </x:row>
    <x:row r="9">
      <x:c r="A9" s="62"/>
      <x:c r="B9"/>
      <x:c r="C9"/>
      <x:c r="D9" s="62"/>
      <x:c r="E9"/>
      <x:c r="F9" s="84"/>
      <x:c r="G9" s="84"/>
      <x:c r="H9"/>
      <x:c r="I9"/>
      <x:c r="J9"/>
    </x:row>
    <x:row r="10">
      <x:c r="A10" s="62"/>
      <x:c r="B10"/>
      <x:c r="C10"/>
      <x:c r="D10" s="62"/>
      <x:c r="E10"/>
      <x:c r="F10" s="84"/>
      <x:c r="G10" s="84"/>
      <x:c r="H10"/>
      <x:c r="I10"/>
      <x:c r="J10"/>
    </x:row>
    <x:row r="11">
      <x:c r="A11" s="62"/>
      <x:c r="B11"/>
      <x:c r="C11"/>
      <x:c r="D11" s="62"/>
      <x:c r="E11"/>
      <x:c r="F11" s="84"/>
      <x:c r="G11" s="84"/>
      <x:c r="H11"/>
      <x:c r="I11"/>
      <x:c r="J11"/>
    </x:row>
    <x:row r="12">
      <x:c r="A12" s="62"/>
      <x:c r="B12"/>
      <x:c r="C12"/>
      <x:c r="D12" s="62"/>
      <x:c r="E12"/>
      <x:c r="F12" s="84"/>
      <x:c r="G12" s="84"/>
      <x:c r="H12"/>
      <x:c r="I12"/>
      <x:c r="J12"/>
    </x:row>
    <x:row r="13">
      <x:c r="A13" s="62"/>
      <x:c r="B13"/>
      <x:c r="C13"/>
      <x:c r="D13" s="62"/>
      <x:c r="E13"/>
      <x:c r="F13" s="84"/>
      <x:c r="G13" s="84"/>
      <x:c r="H13"/>
      <x:c r="I13"/>
      <x:c r="J13"/>
    </x:row>
    <x:row r="14">
      <x:c r="A14" s="62"/>
      <x:c r="B14"/>
      <x:c r="C14"/>
      <x:c r="D14" s="62"/>
      <x:c r="E14"/>
      <x:c r="F14" s="84"/>
      <x:c r="G14" s="84"/>
      <x:c r="H14"/>
      <x:c r="I14"/>
      <x:c r="J14"/>
    </x:row>
    <x:row r="15">
      <x:c r="A15" s="62"/>
      <x:c r="B15"/>
      <x:c r="C15"/>
      <x:c r="D15" s="62"/>
      <x:c r="E15"/>
      <x:c r="F15" s="84"/>
      <x:c r="G15" s="84"/>
      <x:c r="H15"/>
      <x:c r="I15"/>
      <x:c r="J15"/>
    </x:row>
    <x:row r="16">
      <x:c r="A16" s="62"/>
      <x:c r="B16"/>
      <x:c r="C16"/>
      <x:c r="D16" s="62"/>
      <x:c r="E16"/>
      <x:c r="F16" s="84"/>
      <x:c r="G16" s="84"/>
      <x:c r="H16"/>
      <x:c r="I16"/>
      <x:c r="J16"/>
    </x:row>
    <x:row r="17">
      <x:c r="A17" s="62"/>
      <x:c r="B17"/>
      <x:c r="C17"/>
      <x:c r="D17" s="62"/>
      <x:c r="E17"/>
      <x:c r="F17" s="84"/>
      <x:c r="G17" s="84"/>
      <x:c r="H17"/>
      <x:c r="I17"/>
      <x:c r="J17"/>
    </x:row>
    <x:row r="18">
      <x:c r="A18" s="62"/>
      <x:c r="B18"/>
      <x:c r="C18"/>
      <x:c r="D18" s="62"/>
      <x:c r="E18"/>
      <x:c r="F18" s="84"/>
      <x:c r="G18" s="84"/>
      <x:c r="H18"/>
      <x:c r="I18"/>
      <x:c r="J18"/>
    </x:row>
    <x:row r="19">
      <x:c r="A19" s="62"/>
      <x:c r="B19"/>
      <x:c r="C19"/>
      <x:c r="D19" s="62"/>
      <x:c r="E19"/>
      <x:c r="F19" s="84"/>
      <x:c r="G19" s="84"/>
      <x:c r="H19"/>
      <x:c r="I19"/>
      <x:c r="J19"/>
    </x:row>
    <x:row r="20">
      <x:c r="A20" s="62"/>
      <x:c r="B20"/>
      <x:c r="C20"/>
      <x:c r="D20" s="62"/>
      <x:c r="E20"/>
      <x:c r="F20" s="84"/>
      <x:c r="G20" s="84"/>
      <x:c r="H20"/>
      <x:c r="I20"/>
      <x:c r="J20"/>
    </x:row>
    <x:row r="21" ht="15.75" customHeight="1">
      <x:c r="A21" s="62"/>
      <x:c r="B21"/>
      <x:c r="C21"/>
      <x:c r="D21" s="62"/>
      <x:c r="E21"/>
      <x:c r="F21" s="84"/>
      <x:c r="G21" s="84"/>
      <x:c r="H21"/>
      <x:c r="I21"/>
      <x:c r="J21"/>
    </x:row>
    <x:row r="22" ht="15.75" customHeight="1">
      <x:c r="A22" s="62"/>
      <x:c r="B22"/>
      <x:c r="C22"/>
      <x:c r="D22" s="62"/>
      <x:c r="E22"/>
      <x:c r="F22" s="84"/>
      <x:c r="G22" s="84"/>
      <x:c r="H22"/>
      <x:c r="I22"/>
      <x:c r="J22"/>
    </x:row>
    <x:row r="23" ht="15.75" customHeight="1">
      <x:c r="A23" s="62"/>
      <x:c r="B23"/>
      <x:c r="C23"/>
      <x:c r="D23" s="62"/>
      <x:c r="E23"/>
      <x:c r="F23" s="84"/>
      <x:c r="G23" s="84"/>
      <x:c r="H23"/>
      <x:c r="I23"/>
      <x:c r="J23"/>
    </x:row>
    <x:row r="24" ht="15.75" customHeight="1">
      <x:c r="A24" s="62"/>
      <x:c r="B24"/>
      <x:c r="C24"/>
      <x:c r="D24" s="62"/>
      <x:c r="E24"/>
      <x:c r="F24" s="84"/>
      <x:c r="G24" s="84"/>
      <x:c r="H24"/>
      <x:c r="I24"/>
      <x:c r="J24"/>
    </x:row>
    <x:row r="25" ht="15.75" customHeight="1">
      <x:c r="A25" s="62"/>
      <x:c r="B25"/>
      <x:c r="C25"/>
      <x:c r="D25" s="62"/>
      <x:c r="E25"/>
      <x:c r="F25" s="84"/>
      <x:c r="G25" s="84"/>
      <x:c r="H25"/>
      <x:c r="I25"/>
      <x:c r="J25"/>
    </x:row>
    <x:row r="26" ht="15.75" customHeight="1">
      <x:c r="A26" s="62"/>
      <x:c r="B26"/>
      <x:c r="C26"/>
      <x:c r="D26" s="62"/>
      <x:c r="E26"/>
      <x:c r="F26" s="84"/>
      <x:c r="G26" s="84"/>
      <x:c r="H26"/>
      <x:c r="I26"/>
      <x:c r="J26"/>
    </x:row>
    <x:row r="27" ht="15.75" customHeight="1">
      <x:c r="A27" s="62"/>
      <x:c r="B27"/>
      <x:c r="C27"/>
      <x:c r="D27" s="62"/>
      <x:c r="E27"/>
      <x:c r="F27" s="84"/>
      <x:c r="G27" s="84"/>
      <x:c r="H27"/>
      <x:c r="I27"/>
      <x:c r="J27"/>
    </x:row>
    <x:row r="28" ht="15.75" customHeight="1">
      <x:c r="A28" s="62"/>
      <x:c r="B28"/>
      <x:c r="C28"/>
      <x:c r="D28" s="62"/>
      <x:c r="E28"/>
      <x:c r="F28" s="84"/>
      <x:c r="G28" s="84"/>
      <x:c r="H28"/>
      <x:c r="I28"/>
      <x:c r="J28"/>
    </x:row>
    <x:row r="29" ht="15.75" customHeight="1">
      <x:c r="A29" s="62"/>
      <x:c r="B29"/>
      <x:c r="C29"/>
      <x:c r="D29" s="62"/>
      <x:c r="E29"/>
      <x:c r="F29" s="84"/>
      <x:c r="G29" s="84"/>
      <x:c r="H29"/>
      <x:c r="I29"/>
      <x:c r="J29"/>
    </x:row>
    <x:row r="30" ht="15.75" customHeight="1">
      <x:c r="A30" s="62"/>
      <x:c r="B30"/>
      <x:c r="C30"/>
      <x:c r="D30" s="62"/>
      <x:c r="E30"/>
      <x:c r="F30" s="84"/>
      <x:c r="G30" s="84"/>
      <x:c r="H30"/>
      <x:c r="I30"/>
      <x:c r="J30"/>
    </x:row>
    <x:row r="31" ht="15.75" customHeight="1">
      <x:c r="A31" s="62"/>
      <x:c r="B31"/>
      <x:c r="C31"/>
      <x:c r="D31" s="62"/>
      <x:c r="E31"/>
      <x:c r="F31" s="84"/>
      <x:c r="G31" s="84"/>
      <x:c r="H31"/>
      <x:c r="I31"/>
      <x:c r="J31"/>
    </x:row>
    <x:row r="32" ht="15.75" customHeight="1">
      <x:c r="A32" s="62"/>
      <x:c r="B32"/>
      <x:c r="C32"/>
      <x:c r="D32" s="62"/>
      <x:c r="E32"/>
      <x:c r="F32" s="84"/>
      <x:c r="G32" s="84"/>
      <x:c r="H32"/>
      <x:c r="I32"/>
      <x:c r="J32"/>
    </x:row>
    <x:row r="33" ht="15.75" customHeight="1">
      <x:c r="A33" s="62"/>
      <x:c r="B33"/>
      <x:c r="C33"/>
      <x:c r="D33" s="62"/>
      <x:c r="E33"/>
      <x:c r="F33" s="84"/>
      <x:c r="G33" s="84"/>
      <x:c r="H33"/>
      <x:c r="I33"/>
      <x:c r="J33"/>
    </x:row>
    <x:row r="34" ht="15.75" customHeight="1">
      <x:c r="A34" s="62"/>
      <x:c r="B34"/>
      <x:c r="C34"/>
      <x:c r="D34" s="62"/>
      <x:c r="E34"/>
      <x:c r="F34" s="84"/>
      <x:c r="G34" s="84"/>
      <x:c r="H34"/>
      <x:c r="I34"/>
      <x:c r="J34"/>
    </x:row>
    <x:row r="35" ht="15.75" customHeight="1">
      <x:c r="A35" s="62"/>
      <x:c r="B35"/>
      <x:c r="C35"/>
      <x:c r="D35" s="62"/>
      <x:c r="E35"/>
      <x:c r="F35" s="84"/>
      <x:c r="G35" s="84"/>
      <x:c r="H35"/>
      <x:c r="I35"/>
      <x:c r="J35"/>
    </x:row>
    <x:row r="36" ht="15.75" customHeight="1">
      <x:c r="A36" s="62"/>
      <x:c r="B36"/>
      <x:c r="C36"/>
      <x:c r="D36" s="62"/>
      <x:c r="E36"/>
      <x:c r="F36" s="84"/>
      <x:c r="G36" s="84"/>
      <x:c r="H36"/>
      <x:c r="I36"/>
      <x:c r="J36"/>
    </x:row>
    <x:row r="37" ht="15.75" customHeight="1">
      <x:c r="A37" s="62"/>
      <x:c r="B37"/>
      <x:c r="C37"/>
      <x:c r="D37" s="62"/>
      <x:c r="E37"/>
      <x:c r="F37" s="84"/>
      <x:c r="G37" s="84"/>
      <x:c r="H37"/>
      <x:c r="I37"/>
      <x:c r="J37"/>
    </x:row>
    <x:row r="38" ht="15.75" customHeight="1">
      <x:c r="A38" s="62"/>
      <x:c r="B38"/>
      <x:c r="C38"/>
      <x:c r="D38" s="62"/>
      <x:c r="E38"/>
      <x:c r="F38" s="84"/>
      <x:c r="G38" s="84"/>
      <x:c r="H38"/>
      <x:c r="I38"/>
      <x:c r="J38"/>
    </x:row>
    <x:row r="39" ht="15.75" customHeight="1">
      <x:c r="A39" s="62"/>
      <x:c r="B39"/>
      <x:c r="C39"/>
      <x:c r="D39" s="62"/>
      <x:c r="E39"/>
      <x:c r="F39" s="84"/>
      <x:c r="G39" s="84"/>
      <x:c r="H39"/>
      <x:c r="I39"/>
      <x:c r="J39"/>
    </x:row>
    <x:row r="40" ht="15.75" customHeight="1">
      <x:c r="A40" s="62"/>
      <x:c r="B40"/>
      <x:c r="C40"/>
      <x:c r="D40" s="62"/>
      <x:c r="E40"/>
      <x:c r="F40" s="84"/>
      <x:c r="G40" s="84"/>
      <x:c r="H40"/>
      <x:c r="I40"/>
      <x:c r="J40"/>
    </x:row>
    <x:row r="41" ht="15.75" customHeight="1">
      <x:c r="A41" s="62"/>
      <x:c r="B41"/>
      <x:c r="C41"/>
      <x:c r="D41" s="62"/>
      <x:c r="E41"/>
      <x:c r="F41" s="84"/>
      <x:c r="G41" s="84"/>
      <x:c r="H41"/>
      <x:c r="I41"/>
      <x:c r="J41"/>
    </x:row>
    <x:row r="42" ht="15.75" customHeight="1">
      <x:c r="A42" s="62"/>
      <x:c r="B42"/>
      <x:c r="C42"/>
      <x:c r="D42" s="62"/>
      <x:c r="E42"/>
      <x:c r="F42" s="84"/>
      <x:c r="G42" s="84"/>
      <x:c r="H42"/>
      <x:c r="I42"/>
      <x:c r="J42"/>
    </x:row>
    <x:row r="43" ht="15.75" customHeight="1">
      <x:c r="A43" s="62"/>
      <x:c r="B43"/>
      <x:c r="C43"/>
      <x:c r="D43" s="62"/>
      <x:c r="E43"/>
      <x:c r="F43" s="84"/>
      <x:c r="G43" s="84"/>
      <x:c r="H43"/>
      <x:c r="I43"/>
      <x:c r="J43"/>
    </x:row>
    <x:row r="44" ht="15.75" customHeight="1">
      <x:c r="A44" s="62"/>
      <x:c r="B44"/>
      <x:c r="C44"/>
      <x:c r="D44" s="62"/>
      <x:c r="E44"/>
      <x:c r="F44" s="84"/>
      <x:c r="G44" s="84"/>
      <x:c r="H44"/>
      <x:c r="I44"/>
      <x:c r="J44"/>
    </x:row>
    <x:row r="45" ht="15.75" customHeight="1">
      <x:c r="A45" s="62"/>
      <x:c r="B45"/>
      <x:c r="C45"/>
      <x:c r="D45" s="62"/>
      <x:c r="E45"/>
      <x:c r="F45" s="84"/>
      <x:c r="G45" s="84"/>
      <x:c r="H45"/>
      <x:c r="I45"/>
      <x:c r="J45"/>
    </x:row>
    <x:row r="46" ht="15.75" customHeight="1">
      <x:c r="A46" s="62"/>
      <x:c r="B46"/>
      <x:c r="C46"/>
      <x:c r="D46" s="62"/>
      <x:c r="E46"/>
      <x:c r="F46" s="84"/>
      <x:c r="G46" s="84"/>
      <x:c r="H46"/>
      <x:c r="I46"/>
      <x:c r="J46"/>
    </x:row>
    <x:row r="47" ht="15.75" customHeight="1">
      <x:c r="A47" s="62"/>
      <x:c r="B47"/>
      <x:c r="C47"/>
      <x:c r="D47" s="62"/>
      <x:c r="E47"/>
      <x:c r="F47" s="84"/>
      <x:c r="G47" s="84"/>
      <x:c r="H47"/>
      <x:c r="I47"/>
      <x:c r="J47"/>
    </x:row>
    <x:row r="48" ht="15.75" customHeight="1">
      <x:c r="A48" s="62"/>
      <x:c r="B48"/>
      <x:c r="C48"/>
      <x:c r="D48" s="62"/>
      <x:c r="E48"/>
      <x:c r="F48" s="84"/>
      <x:c r="G48" s="84"/>
      <x:c r="H48"/>
      <x:c r="I48"/>
      <x:c r="J48"/>
    </x:row>
    <x:row r="49" ht="15.75" customHeight="1">
      <x:c r="A49" s="62"/>
      <x:c r="B49"/>
      <x:c r="C49"/>
      <x:c r="D49" s="62"/>
      <x:c r="E49"/>
      <x:c r="F49" s="84"/>
      <x:c r="G49" s="84"/>
      <x:c r="H49"/>
      <x:c r="I49"/>
      <x:c r="J49"/>
    </x:row>
    <x:row r="50" ht="15.75" customHeight="1">
      <x:c r="A50" s="62"/>
      <x:c r="B50"/>
      <x:c r="C50"/>
      <x:c r="D50" s="62"/>
      <x:c r="E50"/>
      <x:c r="F50" s="84"/>
      <x:c r="G50" s="84"/>
      <x:c r="H50"/>
      <x:c r="I50"/>
      <x:c r="J50"/>
    </x:row>
    <x:row r="51" ht="15.75" customHeight="1">
      <x:c r="A51" s="62"/>
      <x:c r="B51"/>
      <x:c r="C51"/>
      <x:c r="D51" s="62"/>
      <x:c r="E51"/>
      <x:c r="F51" s="84"/>
      <x:c r="G51" s="84"/>
      <x:c r="H51"/>
      <x:c r="I51"/>
      <x:c r="J51"/>
    </x:row>
    <x:row r="52" ht="15.75" customHeight="1">
      <x:c r="A52" s="62"/>
      <x:c r="B52"/>
      <x:c r="C52"/>
      <x:c r="D52" s="62"/>
      <x:c r="E52"/>
      <x:c r="F52" s="84"/>
      <x:c r="G52" s="84"/>
      <x:c r="H52"/>
      <x:c r="I52"/>
      <x:c r="J52"/>
    </x:row>
    <x:row r="53" ht="15.75" customHeight="1">
      <x:c r="A53" s="62"/>
      <x:c r="B53"/>
      <x:c r="C53"/>
      <x:c r="D53" s="62"/>
      <x:c r="E53"/>
      <x:c r="F53" s="84"/>
      <x:c r="G53" s="84"/>
      <x:c r="H53"/>
      <x:c r="I53"/>
      <x:c r="J53"/>
    </x:row>
    <x:row r="54" ht="15.75" customHeight="1">
      <x:c r="A54" s="62"/>
      <x:c r="B54"/>
      <x:c r="C54"/>
      <x:c r="D54" s="62"/>
      <x:c r="E54"/>
      <x:c r="F54" s="84"/>
      <x:c r="G54" s="84"/>
      <x:c r="H54"/>
      <x:c r="I54"/>
      <x:c r="J54"/>
    </x:row>
    <x:row r="55" ht="15.75" customHeight="1">
      <x:c r="A55" s="62"/>
      <x:c r="B55"/>
      <x:c r="C55"/>
      <x:c r="D55" s="62"/>
      <x:c r="E55"/>
      <x:c r="F55" s="84"/>
      <x:c r="G55" s="84"/>
      <x:c r="H55"/>
      <x:c r="I55"/>
      <x:c r="J55"/>
    </x:row>
    <x:row r="56" ht="15.75" customHeight="1">
      <x:c r="A56" s="62"/>
      <x:c r="B56"/>
      <x:c r="C56"/>
      <x:c r="D56" s="62"/>
      <x:c r="E56"/>
      <x:c r="F56" s="84"/>
      <x:c r="G56" s="84"/>
      <x:c r="H56"/>
      <x:c r="I56"/>
      <x:c r="J56"/>
    </x:row>
    <x:row r="57" ht="15.75" customHeight="1">
      <x:c r="A57" s="62"/>
      <x:c r="B57"/>
      <x:c r="C57"/>
      <x:c r="D57" s="62"/>
      <x:c r="E57"/>
      <x:c r="F57" s="84"/>
      <x:c r="G57" s="84"/>
      <x:c r="H57"/>
      <x:c r="I57"/>
      <x:c r="J57"/>
    </x:row>
    <x:row r="58" ht="15.75" customHeight="1">
      <x:c r="A58" s="62"/>
      <x:c r="B58"/>
      <x:c r="C58"/>
      <x:c r="D58" s="62"/>
      <x:c r="E58"/>
      <x:c r="F58" s="84"/>
      <x:c r="G58" s="84"/>
      <x:c r="H58"/>
      <x:c r="I58"/>
      <x:c r="J58"/>
    </x:row>
    <x:row r="59" ht="15.75" customHeight="1">
      <x:c r="A59" s="62"/>
      <x:c r="B59"/>
      <x:c r="C59"/>
      <x:c r="D59" s="62"/>
      <x:c r="E59"/>
      <x:c r="F59" s="84"/>
      <x:c r="G59" s="84"/>
      <x:c r="H59"/>
      <x:c r="I59"/>
      <x:c r="J59"/>
    </x:row>
    <x:row r="60" ht="15.75" customHeight="1">
      <x:c r="A60" s="62"/>
      <x:c r="B60"/>
      <x:c r="C60"/>
      <x:c r="D60" s="62"/>
      <x:c r="E60"/>
      <x:c r="F60" s="84"/>
      <x:c r="G60" s="84"/>
      <x:c r="H60"/>
      <x:c r="I60"/>
      <x:c r="J60"/>
    </x:row>
    <x:row r="61" ht="15.75" customHeight="1">
      <x:c r="A61" s="62"/>
      <x:c r="B61"/>
      <x:c r="C61"/>
      <x:c r="D61" s="62"/>
      <x:c r="E61"/>
      <x:c r="F61" s="84"/>
      <x:c r="G61" s="84"/>
      <x:c r="H61"/>
      <x:c r="I61"/>
      <x:c r="J61"/>
    </x:row>
    <x:row r="62" ht="15.75" customHeight="1">
      <x:c r="A62" s="62"/>
      <x:c r="B62"/>
      <x:c r="C62"/>
      <x:c r="D62" s="62"/>
      <x:c r="E62"/>
      <x:c r="F62" s="84"/>
      <x:c r="G62" s="84"/>
      <x:c r="H62"/>
      <x:c r="I62"/>
      <x:c r="J62"/>
    </x:row>
    <x:row r="63" ht="15.75" customHeight="1">
      <x:c r="A63" s="62"/>
      <x:c r="B63"/>
      <x:c r="C63"/>
      <x:c r="D63" s="62"/>
      <x:c r="E63"/>
      <x:c r="F63" s="84"/>
      <x:c r="G63" s="84"/>
      <x:c r="H63"/>
      <x:c r="I63"/>
      <x:c r="J63"/>
    </x:row>
    <x:row r="64" ht="15.75" customHeight="1">
      <x:c r="A64" s="62"/>
      <x:c r="B64"/>
      <x:c r="C64"/>
      <x:c r="D64" s="62"/>
      <x:c r="E64"/>
      <x:c r="F64" s="84"/>
      <x:c r="G64" s="84"/>
      <x:c r="H64"/>
      <x:c r="I64"/>
      <x:c r="J64"/>
    </x:row>
    <x:row r="65" ht="15.75" customHeight="1">
      <x:c r="A65" s="62"/>
      <x:c r="B65"/>
      <x:c r="C65"/>
      <x:c r="D65" s="62"/>
      <x:c r="E65"/>
      <x:c r="F65" s="84"/>
      <x:c r="G65" s="84"/>
      <x:c r="H65"/>
      <x:c r="I65"/>
      <x:c r="J65"/>
    </x:row>
    <x:row r="66" ht="15.75" customHeight="1">
      <x:c r="A66" s="62"/>
      <x:c r="B66"/>
      <x:c r="C66"/>
      <x:c r="D66" s="62"/>
      <x:c r="E66"/>
      <x:c r="F66" s="84"/>
      <x:c r="G66" s="84"/>
      <x:c r="H66"/>
      <x:c r="I66"/>
      <x:c r="J66"/>
    </x:row>
    <x:row r="67" ht="15.75" customHeight="1">
      <x:c r="A67" s="62"/>
      <x:c r="B67"/>
      <x:c r="C67"/>
      <x:c r="D67" s="62"/>
      <x:c r="E67"/>
      <x:c r="F67" s="84"/>
      <x:c r="G67" s="84"/>
      <x:c r="H67"/>
      <x:c r="I67"/>
      <x:c r="J67"/>
    </x:row>
    <x:row r="68" ht="15.75" customHeight="1">
      <x:c r="A68" s="62"/>
      <x:c r="B68"/>
      <x:c r="C68"/>
      <x:c r="D68" s="62"/>
      <x:c r="E68"/>
      <x:c r="F68" s="84"/>
      <x:c r="G68" s="84"/>
      <x:c r="H68"/>
      <x:c r="I68"/>
      <x:c r="J68"/>
    </x:row>
    <x:row r="69" ht="15.75" customHeight="1">
      <x:c r="A69" s="62"/>
      <x:c r="B69"/>
      <x:c r="C69"/>
      <x:c r="D69" s="62"/>
      <x:c r="E69"/>
      <x:c r="F69" s="84"/>
      <x:c r="G69" s="84"/>
      <x:c r="H69"/>
      <x:c r="I69"/>
      <x:c r="J69"/>
    </x:row>
    <x:row r="70" ht="15.75" customHeight="1">
      <x:c r="A70" s="62"/>
      <x:c r="B70"/>
      <x:c r="C70"/>
      <x:c r="D70" s="62"/>
      <x:c r="E70"/>
      <x:c r="F70" s="84"/>
      <x:c r="G70" s="84"/>
      <x:c r="H70"/>
      <x:c r="I70"/>
      <x:c r="J70"/>
    </x:row>
    <x:row r="71" ht="15.75" customHeight="1">
      <x:c r="A71" s="62"/>
      <x:c r="B71"/>
      <x:c r="C71"/>
      <x:c r="D71" s="62"/>
      <x:c r="E71"/>
      <x:c r="F71" s="84"/>
      <x:c r="G71" s="84"/>
      <x:c r="H71"/>
      <x:c r="I71"/>
      <x:c r="J71"/>
    </x:row>
    <x:row r="72" ht="15.75" customHeight="1">
      <x:c r="A72" s="62"/>
      <x:c r="B72"/>
      <x:c r="C72"/>
      <x:c r="D72" s="62"/>
      <x:c r="E72"/>
      <x:c r="F72" s="84"/>
      <x:c r="G72" s="84"/>
      <x:c r="H72"/>
      <x:c r="I72"/>
      <x:c r="J72"/>
    </x:row>
    <x:row r="73" ht="15.75" customHeight="1">
      <x:c r="A73" s="62"/>
      <x:c r="B73"/>
      <x:c r="C73"/>
      <x:c r="D73" s="62"/>
      <x:c r="E73"/>
      <x:c r="F73" s="84"/>
      <x:c r="G73" s="84"/>
      <x:c r="H73"/>
      <x:c r="I73"/>
      <x:c r="J73"/>
    </x:row>
    <x:row r="74" ht="15.75" customHeight="1">
      <x:c r="A74" s="62"/>
      <x:c r="B74"/>
      <x:c r="C74"/>
      <x:c r="D74" s="62"/>
      <x:c r="E74"/>
      <x:c r="F74" s="84"/>
      <x:c r="G74" s="84"/>
      <x:c r="H74"/>
      <x:c r="I74"/>
      <x:c r="J74"/>
    </x:row>
    <x:row r="75" ht="15.75" customHeight="1">
      <x:c r="A75" s="62"/>
      <x:c r="B75"/>
      <x:c r="C75"/>
      <x:c r="D75" s="62"/>
      <x:c r="E75"/>
      <x:c r="F75" s="84"/>
      <x:c r="G75" s="84"/>
      <x:c r="H75"/>
      <x:c r="I75"/>
      <x:c r="J75"/>
    </x:row>
    <x:row r="76" ht="15.75" customHeight="1">
      <x:c r="A76" s="62"/>
      <x:c r="B76"/>
      <x:c r="C76"/>
      <x:c r="D76" s="62"/>
      <x:c r="E76"/>
      <x:c r="F76" s="84"/>
      <x:c r="G76" s="84"/>
      <x:c r="H76"/>
      <x:c r="I76"/>
      <x:c r="J76"/>
    </x:row>
    <x:row r="77" ht="15.75" customHeight="1">
      <x:c r="A77" s="62"/>
      <x:c r="B77"/>
      <x:c r="C77"/>
      <x:c r="D77" s="62"/>
      <x:c r="E77"/>
      <x:c r="F77" s="84"/>
      <x:c r="G77" s="84"/>
      <x:c r="H77"/>
      <x:c r="I77"/>
      <x:c r="J77"/>
    </x:row>
    <x:row r="78" ht="15.75" customHeight="1">
      <x:c r="A78" s="62"/>
      <x:c r="B78"/>
      <x:c r="C78"/>
      <x:c r="D78" s="62"/>
      <x:c r="E78"/>
      <x:c r="F78" s="84"/>
      <x:c r="G78" s="84"/>
      <x:c r="H78"/>
      <x:c r="I78"/>
      <x:c r="J78"/>
    </x:row>
    <x:row r="79" ht="15.75" customHeight="1">
      <x:c r="A79" s="62"/>
      <x:c r="B79"/>
      <x:c r="C79"/>
      <x:c r="D79" s="62"/>
      <x:c r="E79"/>
      <x:c r="F79" s="84"/>
      <x:c r="G79" s="84"/>
      <x:c r="H79"/>
      <x:c r="I79"/>
      <x:c r="J79"/>
    </x:row>
    <x:row r="80" ht="15.75" customHeight="1">
      <x:c r="A80" s="62"/>
      <x:c r="B80"/>
      <x:c r="C80"/>
      <x:c r="D80" s="62"/>
      <x:c r="E80"/>
      <x:c r="F80" s="84"/>
      <x:c r="G80" s="84"/>
      <x:c r="H80"/>
      <x:c r="I80"/>
      <x:c r="J80"/>
    </x:row>
    <x:row r="81" ht="15.75" customHeight="1">
      <x:c r="A81" s="62"/>
      <x:c r="B81"/>
      <x:c r="C81"/>
      <x:c r="D81" s="62"/>
      <x:c r="E81"/>
      <x:c r="F81" s="84"/>
      <x:c r="G81" s="84"/>
      <x:c r="H81"/>
      <x:c r="I81"/>
      <x:c r="J81"/>
    </x:row>
    <x:row r="82" ht="15.75" customHeight="1">
      <x:c r="A82" s="62"/>
      <x:c r="B82"/>
      <x:c r="C82"/>
      <x:c r="D82" s="62"/>
      <x:c r="E82"/>
      <x:c r="F82" s="84"/>
      <x:c r="G82" s="84"/>
      <x:c r="H82"/>
      <x:c r="I82"/>
      <x:c r="J82"/>
    </x:row>
    <x:row r="83" ht="15.75" customHeight="1">
      <x:c r="A83" s="62"/>
      <x:c r="B83"/>
      <x:c r="C83"/>
      <x:c r="D83" s="62"/>
      <x:c r="E83"/>
      <x:c r="F83" s="84"/>
      <x:c r="G83" s="84"/>
      <x:c r="H83"/>
      <x:c r="I83"/>
      <x:c r="J83"/>
    </x:row>
    <x:row r="84" ht="15.75" customHeight="1">
      <x:c r="A84" s="62"/>
      <x:c r="B84"/>
      <x:c r="C84"/>
      <x:c r="D84" s="62"/>
      <x:c r="E84"/>
      <x:c r="F84" s="84"/>
      <x:c r="G84" s="84"/>
      <x:c r="H84"/>
      <x:c r="I84"/>
      <x:c r="J84"/>
    </x:row>
    <x:row r="85" ht="15.75" customHeight="1">
      <x:c r="A85" s="62"/>
      <x:c r="B85"/>
      <x:c r="C85"/>
      <x:c r="D85" s="62"/>
      <x:c r="E85"/>
      <x:c r="F85" s="84"/>
      <x:c r="G85" s="84"/>
      <x:c r="H85"/>
      <x:c r="I85"/>
      <x:c r="J85"/>
    </x:row>
    <x:row r="86" ht="15.75" customHeight="1">
      <x:c r="A86" s="62"/>
      <x:c r="B86"/>
      <x:c r="C86"/>
      <x:c r="D86" s="62"/>
      <x:c r="E86"/>
      <x:c r="F86" s="84"/>
      <x:c r="G86" s="84"/>
      <x:c r="H86"/>
      <x:c r="I86"/>
      <x:c r="J86"/>
    </x:row>
    <x:row r="87" ht="15.75" customHeight="1">
      <x:c r="A87" s="62"/>
      <x:c r="B87"/>
      <x:c r="C87"/>
      <x:c r="D87" s="62"/>
      <x:c r="E87"/>
      <x:c r="F87" s="84"/>
      <x:c r="G87" s="84"/>
      <x:c r="H87"/>
      <x:c r="I87"/>
      <x:c r="J87"/>
    </x:row>
    <x:row r="88" ht="15.75" customHeight="1">
      <x:c r="A88" s="62"/>
      <x:c r="B88"/>
      <x:c r="C88"/>
      <x:c r="D88" s="62"/>
      <x:c r="E88"/>
      <x:c r="F88" s="84"/>
      <x:c r="G88" s="84"/>
      <x:c r="H88"/>
      <x:c r="I88"/>
      <x:c r="J88"/>
    </x:row>
    <x:row r="89" ht="15.75" customHeight="1">
      <x:c r="A89" s="62"/>
      <x:c r="B89"/>
      <x:c r="C89"/>
      <x:c r="D89" s="62"/>
      <x:c r="E89"/>
      <x:c r="F89" s="84"/>
      <x:c r="G89" s="84"/>
      <x:c r="H89"/>
      <x:c r="I89"/>
      <x:c r="J89"/>
    </x:row>
    <x:row r="90" ht="15.75" customHeight="1">
      <x:c r="A90" s="62"/>
      <x:c r="B90"/>
      <x:c r="C90"/>
      <x:c r="D90" s="62"/>
      <x:c r="E90"/>
      <x:c r="F90" s="84"/>
      <x:c r="G90" s="84"/>
      <x:c r="H90"/>
      <x:c r="I90"/>
      <x:c r="J90"/>
    </x:row>
    <x:row r="91" ht="15.75" customHeight="1">
      <x:c r="A91" s="62"/>
      <x:c r="B91"/>
      <x:c r="C91"/>
      <x:c r="D91" s="62"/>
      <x:c r="E91"/>
      <x:c r="F91" s="84"/>
      <x:c r="G91" s="84"/>
      <x:c r="H91"/>
      <x:c r="I91"/>
      <x:c r="J91"/>
    </x:row>
    <x:row r="92" ht="15.75" customHeight="1">
      <x:c r="A92" s="62"/>
      <x:c r="B92"/>
      <x:c r="C92"/>
      <x:c r="D92" s="62"/>
      <x:c r="E92"/>
      <x:c r="F92" s="84"/>
      <x:c r="G92" s="84"/>
      <x:c r="H92"/>
      <x:c r="I92"/>
      <x:c r="J92"/>
    </x:row>
    <x:row r="93" ht="15.75" customHeight="1">
      <x:c r="A93" s="62"/>
      <x:c r="B93"/>
      <x:c r="C93"/>
      <x:c r="D93" s="62"/>
      <x:c r="E93"/>
      <x:c r="F93" s="84"/>
      <x:c r="G93" s="84"/>
      <x:c r="H93"/>
      <x:c r="I93"/>
      <x:c r="J93"/>
    </x:row>
    <x:row r="94" ht="15.75" customHeight="1">
      <x:c r="A94" s="62"/>
      <x:c r="B94"/>
      <x:c r="C94"/>
      <x:c r="D94" s="62"/>
      <x:c r="E94"/>
      <x:c r="F94" s="84"/>
      <x:c r="G94" s="84"/>
      <x:c r="H94"/>
      <x:c r="I94"/>
      <x:c r="J94"/>
    </x:row>
    <x:row r="95" ht="15.75" customHeight="1">
      <x:c r="A95" s="62"/>
      <x:c r="B95"/>
      <x:c r="C95"/>
      <x:c r="D95" s="62"/>
      <x:c r="E95"/>
      <x:c r="F95" s="84"/>
      <x:c r="G95" s="84"/>
      <x:c r="H95"/>
      <x:c r="I95"/>
      <x:c r="J95"/>
    </x:row>
    <x:row r="96" ht="15.75" customHeight="1">
      <x:c r="A96" s="62"/>
      <x:c r="B96"/>
      <x:c r="C96"/>
      <x:c r="D96" s="62"/>
      <x:c r="E96"/>
      <x:c r="F96" s="84"/>
      <x:c r="G96" s="84"/>
      <x:c r="H96"/>
      <x:c r="I96"/>
      <x:c r="J96"/>
    </x:row>
    <x:row r="97" ht="15.75" customHeight="1">
      <x:c r="A97" s="62"/>
      <x:c r="B97"/>
      <x:c r="C97"/>
      <x:c r="D97" s="62"/>
      <x:c r="E97"/>
      <x:c r="F97" s="84"/>
      <x:c r="G97" s="84"/>
      <x:c r="H97"/>
      <x:c r="I97"/>
      <x:c r="J97"/>
    </x:row>
    <x:row r="98" ht="15.75" customHeight="1">
      <x:c r="A98" s="62"/>
      <x:c r="B98"/>
      <x:c r="C98"/>
      <x:c r="D98" s="62"/>
      <x:c r="E98"/>
      <x:c r="F98" s="84"/>
      <x:c r="G98" s="84"/>
      <x:c r="H98"/>
      <x:c r="I98"/>
      <x:c r="J98"/>
    </x:row>
    <x:row r="99" ht="15.75" customHeight="1">
      <x:c r="A99" s="62"/>
      <x:c r="B99"/>
      <x:c r="C99"/>
      <x:c r="D99" s="62"/>
      <x:c r="E99"/>
      <x:c r="F99" s="84"/>
      <x:c r="G99" s="84"/>
      <x:c r="H99"/>
      <x:c r="I99"/>
      <x:c r="J99"/>
    </x:row>
    <x:row r="100" ht="15.75" customHeight="1">
      <x:c r="A100" s="62"/>
      <x:c r="B100"/>
      <x:c r="C100"/>
      <x:c r="D100" s="62"/>
      <x:c r="E100"/>
      <x:c r="F100" s="84"/>
      <x:c r="G100" s="84"/>
      <x:c r="H100"/>
      <x:c r="I100"/>
      <x:c r="J100"/>
    </x:row>
    <x:row r="101" ht="15.75" customHeight="1">
      <x:c r="A101" s="62"/>
      <x:c r="B101"/>
      <x:c r="C101"/>
      <x:c r="D101" s="62"/>
      <x:c r="E101"/>
      <x:c r="F101" s="84"/>
      <x:c r="G101" s="84"/>
      <x:c r="H101"/>
      <x:c r="I101"/>
      <x:c r="J101"/>
    </x:row>
    <x:row r="102" ht="15.75" customHeight="1">
      <x:c r="A102" s="62"/>
      <x:c r="B102"/>
      <x:c r="C102"/>
      <x:c r="D102" s="62"/>
      <x:c r="E102"/>
      <x:c r="F102" s="84"/>
      <x:c r="G102" s="84"/>
      <x:c r="H102"/>
      <x:c r="I102"/>
      <x:c r="J102"/>
    </x:row>
    <x:row r="103" ht="15.75" customHeight="1">
      <x:c r="A103" s="62"/>
      <x:c r="B103"/>
      <x:c r="C103"/>
      <x:c r="D103" s="62"/>
      <x:c r="E103"/>
      <x:c r="F103" s="84"/>
      <x:c r="G103" s="84"/>
      <x:c r="H103"/>
      <x:c r="I103"/>
      <x:c r="J103"/>
    </x:row>
    <x:row r="104" ht="15.75" customHeight="1">
      <x:c r="A104" s="62"/>
      <x:c r="B104"/>
      <x:c r="C104"/>
      <x:c r="D104" s="62"/>
      <x:c r="E104"/>
      <x:c r="F104" s="84"/>
      <x:c r="G104" s="84"/>
      <x:c r="H104"/>
      <x:c r="I104"/>
      <x:c r="J104"/>
    </x:row>
    <x:row r="105" ht="15.75" customHeight="1">
      <x:c r="A105" s="62"/>
      <x:c r="B105"/>
      <x:c r="C105"/>
      <x:c r="D105" s="62"/>
      <x:c r="E105"/>
      <x:c r="F105" s="84"/>
      <x:c r="G105" s="84"/>
      <x:c r="H105"/>
      <x:c r="I105"/>
      <x:c r="J105"/>
    </x:row>
    <x:row r="106" ht="15.75" customHeight="1">
      <x:c r="A106" s="62"/>
      <x:c r="B106"/>
      <x:c r="C106"/>
      <x:c r="D106" s="62"/>
      <x:c r="E106"/>
      <x:c r="F106" s="84"/>
      <x:c r="G106" s="84"/>
      <x:c r="H106"/>
      <x:c r="I106"/>
      <x:c r="J106"/>
    </x:row>
    <x:row r="107" ht="15.75" customHeight="1">
      <x:c r="A107" s="62"/>
      <x:c r="B107"/>
      <x:c r="C107"/>
      <x:c r="D107" s="62"/>
      <x:c r="E107"/>
      <x:c r="F107" s="84"/>
      <x:c r="G107" s="84"/>
      <x:c r="H107"/>
      <x:c r="I107"/>
      <x:c r="J107"/>
    </x:row>
    <x:row r="108" ht="15.75" customHeight="1">
      <x:c r="A108" s="62"/>
      <x:c r="B108"/>
      <x:c r="C108"/>
      <x:c r="D108" s="62"/>
      <x:c r="E108"/>
      <x:c r="F108" s="84"/>
      <x:c r="G108" s="84"/>
      <x:c r="H108"/>
      <x:c r="I108"/>
      <x:c r="J108"/>
    </x:row>
    <x:row r="109" ht="15.75" customHeight="1">
      <x:c r="A109" s="62"/>
      <x:c r="B109"/>
      <x:c r="C109"/>
      <x:c r="D109" s="62"/>
      <x:c r="E109"/>
      <x:c r="F109" s="84"/>
      <x:c r="G109" s="84"/>
      <x:c r="H109"/>
      <x:c r="I109"/>
      <x:c r="J109"/>
    </x:row>
    <x:row r="110" ht="15.75" customHeight="1">
      <x:c r="A110" s="62"/>
      <x:c r="B110"/>
      <x:c r="C110"/>
      <x:c r="D110" s="62"/>
      <x:c r="E110"/>
      <x:c r="F110" s="84"/>
      <x:c r="G110" s="84"/>
      <x:c r="H110"/>
      <x:c r="I110"/>
      <x:c r="J110"/>
    </x:row>
    <x:row r="111" ht="15.75" customHeight="1">
      <x:c r="A111" s="62"/>
      <x:c r="B111"/>
      <x:c r="C111"/>
      <x:c r="D111" s="62"/>
      <x:c r="E111"/>
      <x:c r="F111" s="84"/>
      <x:c r="G111" s="84"/>
      <x:c r="H111"/>
      <x:c r="I111"/>
      <x:c r="J111"/>
    </x:row>
    <x:row r="112" ht="15.75" customHeight="1">
      <x:c r="A112" s="62"/>
      <x:c r="B112"/>
      <x:c r="C112"/>
      <x:c r="D112" s="62"/>
      <x:c r="E112"/>
      <x:c r="F112" s="84"/>
      <x:c r="G112" s="84"/>
      <x:c r="H112"/>
      <x:c r="I112"/>
      <x:c r="J112"/>
    </x:row>
    <x:row r="113" ht="15.75" customHeight="1">
      <x:c r="A113" s="62"/>
      <x:c r="B113"/>
      <x:c r="C113"/>
      <x:c r="D113" s="62"/>
      <x:c r="E113"/>
      <x:c r="F113" s="84"/>
      <x:c r="G113" s="84"/>
      <x:c r="H113"/>
      <x:c r="I113"/>
      <x:c r="J113"/>
    </x:row>
    <x:row r="114" ht="15.75" customHeight="1">
      <x:c r="A114" s="62"/>
      <x:c r="B114"/>
      <x:c r="C114"/>
      <x:c r="D114" s="62"/>
      <x:c r="E114"/>
      <x:c r="F114" s="84"/>
      <x:c r="G114" s="84"/>
      <x:c r="H114"/>
      <x:c r="I114"/>
      <x:c r="J114"/>
    </x:row>
    <x:row r="115" ht="15.75" customHeight="1">
      <x:c r="A115" s="62"/>
      <x:c r="B115"/>
      <x:c r="C115"/>
      <x:c r="D115" s="62"/>
      <x:c r="E115"/>
      <x:c r="F115" s="84"/>
      <x:c r="G115" s="84"/>
      <x:c r="H115"/>
      <x:c r="I115"/>
      <x:c r="J115"/>
    </x:row>
    <x:row r="116" ht="15.75" customHeight="1">
      <x:c r="A116" s="62"/>
      <x:c r="B116"/>
      <x:c r="C116"/>
      <x:c r="D116" s="62"/>
      <x:c r="E116"/>
      <x:c r="F116" s="84"/>
      <x:c r="G116" s="84"/>
      <x:c r="H116"/>
      <x:c r="I116"/>
      <x:c r="J116"/>
    </x:row>
    <x:row r="117" ht="15.75" customHeight="1">
      <x:c r="A117" s="62"/>
      <x:c r="B117"/>
      <x:c r="C117"/>
      <x:c r="D117" s="62"/>
      <x:c r="E117"/>
      <x:c r="F117" s="84"/>
      <x:c r="G117" s="84"/>
      <x:c r="H117"/>
      <x:c r="I117"/>
      <x:c r="J117"/>
    </x:row>
    <x:row r="118" ht="15.75" customHeight="1">
      <x:c r="A118" s="62"/>
      <x:c r="B118"/>
      <x:c r="C118"/>
      <x:c r="D118" s="62"/>
      <x:c r="E118"/>
      <x:c r="F118" s="84"/>
      <x:c r="G118" s="84"/>
      <x:c r="H118"/>
      <x:c r="I118"/>
      <x:c r="J118"/>
    </x:row>
    <x:row r="119" ht="15.75" customHeight="1">
      <x:c r="A119" s="62"/>
      <x:c r="B119"/>
      <x:c r="C119"/>
      <x:c r="D119" s="62"/>
      <x:c r="E119"/>
      <x:c r="F119" s="84"/>
      <x:c r="G119" s="84"/>
      <x:c r="H119"/>
      <x:c r="I119"/>
      <x:c r="J119"/>
    </x:row>
    <x:row r="120" ht="15.75" customHeight="1">
      <x:c r="A120" s="62"/>
      <x:c r="B120"/>
      <x:c r="C120"/>
      <x:c r="D120" s="62"/>
      <x:c r="E120"/>
      <x:c r="F120" s="84"/>
      <x:c r="G120" s="84"/>
      <x:c r="H120"/>
      <x:c r="I120"/>
      <x:c r="J120"/>
    </x:row>
    <x:row r="121" ht="15.75" customHeight="1">
      <x:c r="A121" s="62"/>
      <x:c r="B121"/>
      <x:c r="C121"/>
      <x:c r="D121" s="62"/>
      <x:c r="E121"/>
      <x:c r="F121" s="84"/>
      <x:c r="G121" s="84"/>
      <x:c r="H121"/>
      <x:c r="I121"/>
      <x:c r="J121"/>
    </x:row>
    <x:row r="122" ht="15.75" customHeight="1">
      <x:c r="A122" s="62"/>
      <x:c r="B122"/>
      <x:c r="C122"/>
      <x:c r="D122" s="62"/>
      <x:c r="E122"/>
      <x:c r="F122" s="84"/>
      <x:c r="G122" s="84"/>
      <x:c r="H122"/>
      <x:c r="I122"/>
      <x:c r="J122"/>
    </x:row>
    <x:row r="123" ht="15.75" customHeight="1">
      <x:c r="A123" s="62"/>
      <x:c r="B123"/>
      <x:c r="C123"/>
      <x:c r="D123" s="62"/>
      <x:c r="E123"/>
      <x:c r="F123" s="84"/>
      <x:c r="G123" s="84"/>
      <x:c r="H123"/>
      <x:c r="I123"/>
      <x:c r="J123"/>
    </x:row>
    <x:row r="124" ht="15.75" customHeight="1">
      <x:c r="A124" s="62"/>
      <x:c r="B124"/>
      <x:c r="C124"/>
      <x:c r="D124" s="62"/>
      <x:c r="E124"/>
      <x:c r="F124" s="84"/>
      <x:c r="G124" s="84"/>
      <x:c r="H124"/>
      <x:c r="I124"/>
      <x:c r="J124"/>
    </x:row>
    <x:row r="125" ht="15.75" customHeight="1">
      <x:c r="A125" s="62"/>
      <x:c r="B125"/>
      <x:c r="C125"/>
      <x:c r="D125" s="62"/>
      <x:c r="E125"/>
      <x:c r="F125" s="84"/>
      <x:c r="G125" s="84"/>
      <x:c r="H125"/>
      <x:c r="I125"/>
      <x:c r="J125"/>
    </x:row>
    <x:row r="126" ht="15.75" customHeight="1">
      <x:c r="A126" s="62"/>
      <x:c r="B126"/>
      <x:c r="C126"/>
      <x:c r="D126" s="62"/>
      <x:c r="E126"/>
      <x:c r="F126" s="84"/>
      <x:c r="G126" s="84"/>
      <x:c r="H126"/>
      <x:c r="I126"/>
      <x:c r="J126"/>
    </x:row>
    <x:row r="127" ht="15.75" customHeight="1">
      <x:c r="A127" s="62"/>
      <x:c r="B127"/>
      <x:c r="C127"/>
      <x:c r="D127" s="62"/>
      <x:c r="E127"/>
      <x:c r="F127" s="84"/>
      <x:c r="G127" s="84"/>
      <x:c r="H127"/>
      <x:c r="I127"/>
      <x:c r="J127"/>
    </x:row>
    <x:row r="128" ht="15.75" customHeight="1">
      <x:c r="A128" s="62"/>
      <x:c r="B128"/>
      <x:c r="C128"/>
      <x:c r="D128" s="62"/>
      <x:c r="E128"/>
      <x:c r="F128" s="84"/>
      <x:c r="G128" s="84"/>
      <x:c r="H128"/>
      <x:c r="I128"/>
      <x:c r="J128"/>
    </x:row>
    <x:row r="129" ht="15.75" customHeight="1">
      <x:c r="A129" s="62"/>
      <x:c r="B129"/>
      <x:c r="C129"/>
      <x:c r="D129" s="62"/>
      <x:c r="E129"/>
      <x:c r="F129" s="84"/>
      <x:c r="G129" s="84"/>
      <x:c r="H129"/>
      <x:c r="I129"/>
      <x:c r="J129"/>
    </x:row>
    <x:row r="130" ht="15.75" customHeight="1">
      <x:c r="A130" s="62"/>
      <x:c r="B130"/>
      <x:c r="C130"/>
      <x:c r="D130" s="62"/>
      <x:c r="E130"/>
      <x:c r="F130" s="84"/>
      <x:c r="G130" s="84"/>
      <x:c r="H130"/>
      <x:c r="I130"/>
      <x:c r="J130"/>
    </x:row>
    <x:row r="131" ht="15.75" customHeight="1">
      <x:c r="A131" s="62"/>
      <x:c r="B131"/>
      <x:c r="C131"/>
      <x:c r="D131" s="62"/>
      <x:c r="E131"/>
      <x:c r="F131" s="84"/>
      <x:c r="G131" s="84"/>
      <x:c r="H131"/>
      <x:c r="I131"/>
      <x:c r="J131"/>
    </x:row>
    <x:row r="132" ht="15.75" customHeight="1">
      <x:c r="A132" s="62"/>
      <x:c r="B132"/>
      <x:c r="C132"/>
      <x:c r="D132" s="62"/>
      <x:c r="E132"/>
      <x:c r="F132" s="84"/>
      <x:c r="G132" s="84"/>
      <x:c r="H132"/>
      <x:c r="I132"/>
      <x:c r="J132"/>
    </x:row>
    <x:row r="133" ht="15.75" customHeight="1">
      <x:c r="A133" s="62"/>
      <x:c r="B133"/>
      <x:c r="C133"/>
      <x:c r="D133" s="62"/>
      <x:c r="E133"/>
      <x:c r="F133" s="84"/>
      <x:c r="G133" s="84"/>
      <x:c r="H133"/>
      <x:c r="I133"/>
      <x:c r="J133"/>
    </x:row>
    <x:row r="134" ht="15.75" customHeight="1">
      <x:c r="A134" s="62"/>
      <x:c r="B134"/>
      <x:c r="C134"/>
      <x:c r="D134" s="62"/>
      <x:c r="E134"/>
      <x:c r="F134" s="84"/>
      <x:c r="G134" s="84"/>
      <x:c r="H134"/>
      <x:c r="I134"/>
      <x:c r="J134"/>
    </x:row>
    <x:row r="135" ht="15.75" customHeight="1">
      <x:c r="A135" s="62"/>
      <x:c r="B135"/>
      <x:c r="C135"/>
      <x:c r="D135" s="62"/>
      <x:c r="E135"/>
      <x:c r="F135" s="84"/>
      <x:c r="G135" s="84"/>
      <x:c r="H135"/>
      <x:c r="I135"/>
      <x:c r="J135"/>
    </x:row>
    <x:row r="136" ht="15.75" customHeight="1">
      <x:c r="A136" s="62"/>
      <x:c r="B136"/>
      <x:c r="C136"/>
      <x:c r="D136" s="62"/>
      <x:c r="E136"/>
      <x:c r="F136" s="84"/>
      <x:c r="G136" s="84"/>
      <x:c r="H136"/>
      <x:c r="I136"/>
      <x:c r="J136"/>
    </x:row>
    <x:row r="137" ht="15.75" customHeight="1">
      <x:c r="A137" s="62"/>
      <x:c r="B137"/>
      <x:c r="C137"/>
      <x:c r="D137" s="62"/>
      <x:c r="E137"/>
      <x:c r="F137" s="84"/>
      <x:c r="G137" s="84"/>
      <x:c r="H137"/>
      <x:c r="I137"/>
      <x:c r="J137"/>
    </x:row>
    <x:row r="138" ht="15.75" customHeight="1">
      <x:c r="A138" s="62"/>
      <x:c r="B138"/>
      <x:c r="C138"/>
      <x:c r="D138" s="62"/>
      <x:c r="E138"/>
      <x:c r="F138" s="84"/>
      <x:c r="G138" s="84"/>
      <x:c r="H138"/>
      <x:c r="I138"/>
      <x:c r="J138"/>
    </x:row>
    <x:row r="139" ht="15.75" customHeight="1">
      <x:c r="A139" s="62"/>
      <x:c r="B139"/>
      <x:c r="C139"/>
      <x:c r="D139" s="62"/>
      <x:c r="E139"/>
      <x:c r="F139" s="84"/>
      <x:c r="G139" s="84"/>
      <x:c r="H139"/>
      <x:c r="I139"/>
      <x:c r="J139"/>
    </x:row>
    <x:row r="140" ht="15.75" customHeight="1">
      <x:c r="A140" s="62"/>
      <x:c r="B140"/>
      <x:c r="C140"/>
      <x:c r="D140" s="62"/>
      <x:c r="E140"/>
      <x:c r="F140" s="84"/>
      <x:c r="G140" s="84"/>
      <x:c r="H140"/>
      <x:c r="I140"/>
      <x:c r="J140"/>
    </x:row>
    <x:row r="141" ht="15.75" customHeight="1">
      <x:c r="A141" s="62"/>
      <x:c r="B141"/>
      <x:c r="C141"/>
      <x:c r="D141" s="62"/>
      <x:c r="E141"/>
      <x:c r="F141" s="84"/>
      <x:c r="G141" s="84"/>
      <x:c r="H141"/>
      <x:c r="I141"/>
      <x:c r="J141"/>
    </x:row>
    <x:row r="142" ht="15.75" customHeight="1">
      <x:c r="A142" s="62"/>
      <x:c r="B142"/>
      <x:c r="C142"/>
      <x:c r="D142" s="62"/>
      <x:c r="E142"/>
      <x:c r="F142" s="84"/>
      <x:c r="G142" s="84"/>
      <x:c r="H142"/>
      <x:c r="I142"/>
      <x:c r="J142"/>
    </x:row>
    <x:row r="143" ht="15.75" customHeight="1">
      <x:c r="A143" s="62"/>
      <x:c r="B143"/>
      <x:c r="C143"/>
      <x:c r="D143" s="62"/>
      <x:c r="E143"/>
      <x:c r="F143" s="84"/>
      <x:c r="G143" s="84"/>
      <x:c r="H143"/>
      <x:c r="I143"/>
      <x:c r="J143"/>
    </x:row>
    <x:row r="144" ht="15.75" customHeight="1">
      <x:c r="A144" s="62"/>
      <x:c r="B144"/>
      <x:c r="C144"/>
      <x:c r="D144" s="62"/>
      <x:c r="E144"/>
      <x:c r="F144" s="84"/>
      <x:c r="G144" s="84"/>
      <x:c r="H144"/>
      <x:c r="I144"/>
      <x:c r="J144"/>
    </x:row>
    <x:row r="145" ht="15.75" customHeight="1">
      <x:c r="A145" s="62"/>
      <x:c r="B145"/>
      <x:c r="C145"/>
      <x:c r="D145" s="62"/>
      <x:c r="E145"/>
      <x:c r="F145" s="84"/>
      <x:c r="G145" s="84"/>
      <x:c r="H145"/>
      <x:c r="I145"/>
      <x:c r="J145"/>
    </x:row>
    <x:row r="146" ht="15.75" customHeight="1">
      <x:c r="A146" s="62"/>
      <x:c r="B146"/>
      <x:c r="C146"/>
      <x:c r="D146" s="62"/>
      <x:c r="E146"/>
      <x:c r="F146" s="84"/>
      <x:c r="G146" s="84"/>
      <x:c r="H146"/>
      <x:c r="I146"/>
      <x:c r="J146"/>
    </x:row>
    <x:row r="147" ht="15.75" customHeight="1">
      <x:c r="A147" s="62"/>
      <x:c r="B147"/>
      <x:c r="C147"/>
      <x:c r="D147" s="62"/>
      <x:c r="E147"/>
      <x:c r="F147" s="84"/>
      <x:c r="G147" s="84"/>
      <x:c r="H147"/>
      <x:c r="I147"/>
      <x:c r="J147"/>
    </x:row>
    <x:row r="148" ht="15.75" customHeight="1">
      <x:c r="A148" s="62"/>
      <x:c r="B148"/>
      <x:c r="C148"/>
      <x:c r="D148" s="62"/>
      <x:c r="E148"/>
      <x:c r="F148" s="84"/>
      <x:c r="G148" s="84"/>
      <x:c r="H148"/>
      <x:c r="I148"/>
      <x:c r="J148"/>
    </x:row>
    <x:row r="149" ht="15.75" customHeight="1">
      <x:c r="A149" s="62"/>
      <x:c r="B149"/>
      <x:c r="C149"/>
      <x:c r="D149" s="62"/>
      <x:c r="E149"/>
      <x:c r="F149" s="84"/>
      <x:c r="G149" s="84"/>
      <x:c r="H149"/>
      <x:c r="I149"/>
      <x:c r="J149"/>
    </x:row>
    <x:row r="150" ht="15.75" customHeight="1">
      <x:c r="A150" s="62"/>
      <x:c r="B150"/>
      <x:c r="C150"/>
      <x:c r="D150" s="62"/>
      <x:c r="E150"/>
      <x:c r="F150" s="84"/>
      <x:c r="G150" s="84"/>
      <x:c r="H150"/>
      <x:c r="I150"/>
      <x:c r="J150"/>
    </x:row>
    <x:row r="151" ht="15.75" customHeight="1">
      <x:c r="A151" s="62"/>
      <x:c r="D151" s="62"/>
      <x:c r="F151" s="84"/>
      <x:c r="G151" s="84"/>
    </x:row>
    <x:row r="152" ht="15.75" customHeight="1">
      <x:c r="A152" s="62"/>
      <x:c r="D152" s="62"/>
      <x:c r="F152" s="84"/>
      <x:c r="G152" s="84"/>
    </x:row>
    <x:row r="153" ht="15.75" customHeight="1">
      <x:c r="A153" s="62"/>
      <x:c r="D153" s="62"/>
      <x:c r="F153" s="84"/>
      <x:c r="G153" s="84"/>
    </x:row>
    <x:row r="154" ht="15.75" customHeight="1">
      <x:c r="A154" s="62"/>
      <x:c r="D154" s="62"/>
      <x:c r="F154" s="84"/>
      <x:c r="G154" s="84"/>
    </x:row>
    <x:row r="155" ht="15.75" customHeight="1">
      <x:c r="A155" s="62"/>
      <x:c r="D155" s="62"/>
      <x:c r="F155" s="84"/>
      <x:c r="G155" s="84"/>
    </x:row>
    <x:row r="156" ht="15.75" customHeight="1">
      <x:c r="A156" s="62"/>
      <x:c r="D156" s="62"/>
      <x:c r="F156" s="84"/>
      <x:c r="G156" s="84"/>
    </x:row>
    <x:row r="157" ht="15.75" customHeight="1">
      <x:c r="A157" s="62"/>
      <x:c r="D157" s="62"/>
      <x:c r="F157" s="84"/>
      <x:c r="G157" s="84"/>
    </x:row>
    <x:row r="158" ht="15.75" customHeight="1">
      <x:c r="A158" s="62"/>
      <x:c r="D158" s="62"/>
      <x:c r="F158" s="84"/>
      <x:c r="G158" s="84"/>
    </x:row>
    <x:row r="159" ht="15.75" customHeight="1">
      <x:c r="A159" s="62"/>
      <x:c r="D159" s="62"/>
      <x:c r="F159" s="84"/>
      <x:c r="G159" s="84"/>
    </x:row>
    <x:row r="160" ht="15.75" customHeight="1">
      <x:c r="A160" s="62"/>
      <x:c r="D160" s="62"/>
      <x:c r="F160" s="84"/>
      <x:c r="G160" s="84"/>
    </x:row>
    <x:row r="161" ht="15.75" customHeight="1">
      <x:c r="A161" s="62"/>
      <x:c r="D161" s="62"/>
      <x:c r="F161" s="84"/>
      <x:c r="G161" s="84"/>
    </x:row>
    <x:row r="162" ht="15.75" customHeight="1">
      <x:c r="A162" s="62"/>
      <x:c r="D162" s="62"/>
      <x:c r="F162" s="84"/>
      <x:c r="G162" s="84"/>
    </x:row>
    <x:row r="163" ht="15.75" customHeight="1">
      <x:c r="A163" s="62"/>
      <x:c r="D163" s="62"/>
      <x:c r="F163" s="84"/>
      <x:c r="G163" s="84"/>
    </x:row>
    <x:row r="164" ht="15.75" customHeight="1">
      <x:c r="A164" s="62"/>
      <x:c r="D164" s="62"/>
      <x:c r="F164" s="84"/>
      <x:c r="G164" s="84"/>
    </x:row>
    <x:row r="165" ht="15.75" customHeight="1">
      <x:c r="A165" s="62"/>
      <x:c r="D165" s="62"/>
      <x:c r="F165" s="84"/>
      <x:c r="G165" s="84"/>
    </x:row>
    <x:row r="166" ht="15.75" customHeight="1">
      <x:c r="A166" s="62"/>
      <x:c r="D166" s="62"/>
      <x:c r="F166" s="84"/>
      <x:c r="G166" s="84"/>
    </x:row>
    <x:row r="167" ht="15.75" customHeight="1">
      <x:c r="A167" s="62"/>
      <x:c r="D167" s="62"/>
      <x:c r="F167" s="84"/>
      <x:c r="G167" s="84"/>
    </x:row>
    <x:row r="168" ht="15.75" customHeight="1">
      <x:c r="A168" s="62"/>
      <x:c r="D168" s="62"/>
      <x:c r="F168" s="84"/>
      <x:c r="G168" s="84"/>
    </x:row>
    <x:row r="169" ht="15.75" customHeight="1">
      <x:c r="A169" s="62"/>
      <x:c r="D169" s="62"/>
      <x:c r="F169" s="84"/>
      <x:c r="G169" s="84"/>
    </x:row>
    <x:row r="170" ht="15.75" customHeight="1">
      <x:c r="A170" s="62"/>
      <x:c r="D170" s="62"/>
      <x:c r="F170" s="84"/>
      <x:c r="G170" s="84"/>
    </x:row>
    <x:row r="171" ht="15.75" customHeight="1">
      <x:c r="A171" s="62"/>
      <x:c r="D171" s="62"/>
      <x:c r="F171" s="84"/>
      <x:c r="G171" s="84"/>
    </x:row>
    <x:row r="172" ht="15.75" customHeight="1">
      <x:c r="A172" s="62"/>
      <x:c r="D172" s="62"/>
      <x:c r="F172" s="84"/>
      <x:c r="G172" s="84"/>
    </x:row>
    <x:row r="173" ht="15.75" customHeight="1">
      <x:c r="A173" s="62"/>
      <x:c r="D173" s="62"/>
      <x:c r="F173" s="84"/>
      <x:c r="G173" s="84"/>
    </x:row>
    <x:row r="174" ht="15.75" customHeight="1">
      <x:c r="A174" s="62"/>
      <x:c r="D174" s="62"/>
      <x:c r="F174" s="84"/>
      <x:c r="G174" s="84"/>
    </x:row>
    <x:row r="175" ht="15.75" customHeight="1">
      <x:c r="A175" s="62"/>
      <x:c r="D175" s="62"/>
      <x:c r="F175" s="84"/>
      <x:c r="G175" s="84"/>
    </x:row>
    <x:row r="176" ht="15.75" customHeight="1">
      <x:c r="A176" s="62"/>
      <x:c r="D176" s="62"/>
      <x:c r="F176" s="84"/>
      <x:c r="G176" s="84"/>
    </x:row>
    <x:row r="177" ht="15.75" customHeight="1">
      <x:c r="A177" s="62"/>
      <x:c r="D177" s="62"/>
      <x:c r="F177" s="84"/>
      <x:c r="G177" s="84"/>
    </x:row>
    <x:row r="178" ht="15.75" customHeight="1">
      <x:c r="A178" s="62"/>
      <x:c r="D178" s="62"/>
      <x:c r="F178" s="84"/>
      <x:c r="G178" s="84"/>
    </x:row>
    <x:row r="179" ht="15.75" customHeight="1">
      <x:c r="A179" s="62"/>
      <x:c r="D179" s="62"/>
      <x:c r="F179" s="84"/>
      <x:c r="G179" s="84"/>
    </x:row>
    <x:row r="180" ht="15.75" customHeight="1">
      <x:c r="A180" s="62"/>
      <x:c r="D180" s="62"/>
      <x:c r="F180" s="84"/>
      <x:c r="G180" s="84"/>
    </x:row>
    <x:row r="181" ht="15.75" customHeight="1">
      <x:c r="A181" s="62"/>
      <x:c r="D181" s="62"/>
      <x:c r="F181" s="84"/>
      <x:c r="G181" s="84"/>
    </x:row>
    <x:row r="182" ht="15.75" customHeight="1">
      <x:c r="A182" s="62"/>
      <x:c r="D182" s="62"/>
      <x:c r="F182" s="84"/>
      <x:c r="G182" s="84"/>
    </x:row>
    <x:row r="183" ht="15.75" customHeight="1">
      <x:c r="A183" s="62"/>
      <x:c r="D183" s="62"/>
      <x:c r="F183" s="84"/>
      <x:c r="G183" s="84"/>
    </x:row>
    <x:row r="184" ht="15.75" customHeight="1">
      <x:c r="A184" s="62"/>
      <x:c r="D184" s="62"/>
      <x:c r="F184" s="84"/>
      <x:c r="G184" s="84"/>
    </x:row>
    <x:row r="185" ht="15.75" customHeight="1">
      <x:c r="A185" s="62"/>
      <x:c r="D185" s="62"/>
      <x:c r="F185" s="84"/>
      <x:c r="G185" s="84"/>
    </x:row>
    <x:row r="186" ht="15.75" customHeight="1">
      <x:c r="A186" s="62"/>
      <x:c r="D186" s="62"/>
      <x:c r="F186" s="84"/>
      <x:c r="G186" s="84"/>
    </x:row>
    <x:row r="187" ht="15.75" customHeight="1">
      <x:c r="A187" s="62"/>
      <x:c r="D187" s="62"/>
      <x:c r="F187" s="84"/>
      <x:c r="G187" s="84"/>
    </x:row>
    <x:row r="188" ht="15.75" customHeight="1">
      <x:c r="A188" s="62"/>
      <x:c r="D188" s="62"/>
      <x:c r="F188" s="84"/>
      <x:c r="G188" s="84"/>
    </x:row>
    <x:row r="189" ht="15.75" customHeight="1">
      <x:c r="A189" s="62"/>
      <x:c r="D189" s="62"/>
      <x:c r="F189" s="84"/>
      <x:c r="G189" s="84"/>
    </x:row>
    <x:row r="190" ht="15.75" customHeight="1">
      <x:c r="A190" s="62"/>
      <x:c r="D190" s="62"/>
      <x:c r="F190" s="84"/>
      <x:c r="G190" s="84"/>
    </x:row>
    <x:row r="191" ht="15.75" customHeight="1">
      <x:c r="A191" s="62"/>
      <x:c r="D191" s="62"/>
      <x:c r="F191" s="84"/>
      <x:c r="G191" s="84"/>
    </x:row>
    <x:row r="192" ht="15.75" customHeight="1">
      <x:c r="A192" s="62"/>
      <x:c r="D192" s="62"/>
      <x:c r="F192" s="84"/>
      <x:c r="G192" s="84"/>
    </x:row>
    <x:row r="193" ht="15.75" customHeight="1">
      <x:c r="A193" s="62"/>
      <x:c r="D193" s="62"/>
      <x:c r="F193" s="84"/>
      <x:c r="G193" s="84"/>
    </x:row>
    <x:row r="194" ht="15.75" customHeight="1">
      <x:c r="A194" s="62"/>
      <x:c r="D194" s="62"/>
      <x:c r="F194" s="84"/>
      <x:c r="G194" s="84"/>
    </x:row>
    <x:row r="195" ht="15.75" customHeight="1">
      <x:c r="A195" s="62"/>
      <x:c r="D195" s="62"/>
      <x:c r="F195" s="84"/>
      <x:c r="G195" s="84"/>
    </x:row>
    <x:row r="196" ht="15.75" customHeight="1">
      <x:c r="A196" s="62"/>
      <x:c r="D196" s="62"/>
      <x:c r="F196" s="84"/>
      <x:c r="G196" s="84"/>
    </x:row>
    <x:row r="197" ht="15.75" customHeight="1">
      <x:c r="A197" s="62"/>
      <x:c r="D197" s="62"/>
      <x:c r="F197" s="84"/>
      <x:c r="G197" s="84"/>
    </x:row>
    <x:row r="198" ht="15.75" customHeight="1">
      <x:c r="A198" s="62"/>
      <x:c r="D198" s="62"/>
      <x:c r="F198" s="84"/>
      <x:c r="G198" s="84"/>
    </x:row>
    <x:row r="199" ht="15.75" customHeight="1">
      <x:c r="A199" s="62"/>
      <x:c r="D199" s="62"/>
      <x:c r="F199" s="84"/>
      <x:c r="G199" s="84"/>
    </x:row>
    <x:row r="200" ht="15.75" customHeight="1">
      <x:c r="A200" s="62"/>
      <x:c r="D200" s="62"/>
      <x:c r="F200" s="84"/>
      <x:c r="G200" s="84"/>
    </x:row>
    <x:row r="201" ht="15.75" customHeight="1">
      <x:c r="A201" s="62"/>
      <x:c r="D201" s="62"/>
      <x:c r="F201" s="84"/>
      <x:c r="G201" s="84"/>
    </x:row>
    <x:row r="202" ht="15.75" customHeight="1">
      <x:c r="A202" s="62"/>
      <x:c r="D202" s="62"/>
      <x:c r="F202" s="84"/>
      <x:c r="G202" s="84"/>
    </x:row>
    <x:row r="203" ht="15.75" customHeight="1">
      <x:c r="A203" s="62"/>
      <x:c r="D203" s="62"/>
      <x:c r="F203" s="84"/>
      <x:c r="G203" s="84"/>
    </x:row>
    <x:row r="204" ht="15.75" customHeight="1">
      <x:c r="A204" s="62"/>
      <x:c r="D204" s="62"/>
      <x:c r="F204" s="84"/>
      <x:c r="G204" s="84"/>
    </x:row>
    <x:row r="205" ht="15.75" customHeight="1">
      <x:c r="A205" s="62"/>
      <x:c r="D205" s="62"/>
      <x:c r="F205" s="84"/>
      <x:c r="G205" s="84"/>
    </x:row>
    <x:row r="206" ht="15.75" customHeight="1">
      <x:c r="A206" s="62"/>
      <x:c r="D206" s="62"/>
      <x:c r="F206" s="84"/>
      <x:c r="G206" s="84"/>
    </x:row>
    <x:row r="207" ht="15.75" customHeight="1">
      <x:c r="A207" s="62"/>
      <x:c r="D207" s="62"/>
      <x:c r="F207" s="84"/>
      <x:c r="G207" s="84"/>
    </x:row>
    <x:row r="208" ht="15.75" customHeight="1">
      <x:c r="A208" s="62"/>
      <x:c r="D208" s="62"/>
      <x:c r="F208" s="84"/>
      <x:c r="G208" s="84"/>
    </x:row>
    <x:row r="209" ht="15.75" customHeight="1">
      <x:c r="A209" s="62"/>
      <x:c r="D209" s="62"/>
      <x:c r="F209" s="84"/>
      <x:c r="G209" s="84"/>
    </x:row>
    <x:row r="210" ht="15.75" customHeight="1">
      <x:c r="A210" s="62"/>
      <x:c r="D210" s="62"/>
      <x:c r="F210" s="84"/>
      <x:c r="G210" s="84"/>
    </x:row>
    <x:row r="211" ht="15.75" customHeight="1">
      <x:c r="A211" s="62"/>
      <x:c r="D211" s="62"/>
      <x:c r="F211" s="84"/>
      <x:c r="G211" s="84"/>
    </x:row>
    <x:row r="212" ht="15.75" customHeight="1">
      <x:c r="A212" s="62"/>
      <x:c r="D212" s="62"/>
      <x:c r="F212" s="84"/>
      <x:c r="G212" s="84"/>
    </x:row>
    <x:row r="213" ht="15.75" customHeight="1">
      <x:c r="A213" s="62"/>
      <x:c r="D213" s="62"/>
      <x:c r="F213" s="84"/>
      <x:c r="G213" s="84"/>
    </x:row>
    <x:row r="214" ht="15.75" customHeight="1">
      <x:c r="A214" s="62"/>
      <x:c r="D214" s="62"/>
      <x:c r="F214" s="84"/>
      <x:c r="G214" s="84"/>
    </x:row>
    <x:row r="215" ht="15.75" customHeight="1">
      <x:c r="A215" s="62"/>
      <x:c r="D215" s="62"/>
      <x:c r="F215" s="84"/>
      <x:c r="G215" s="84"/>
    </x:row>
    <x:row r="216" ht="15.75" customHeight="1">
      <x:c r="A216" s="62"/>
      <x:c r="D216" s="62"/>
      <x:c r="F216" s="84"/>
      <x:c r="G216" s="84"/>
    </x:row>
    <x:row r="217" ht="15.75" customHeight="1">
      <x:c r="A217" s="62"/>
      <x:c r="D217" s="62"/>
      <x:c r="F217" s="84"/>
      <x:c r="G217" s="84"/>
    </x:row>
    <x:row r="218" ht="15.75" customHeight="1">
      <x:c r="A218" s="62"/>
      <x:c r="D218" s="62"/>
      <x:c r="F218" s="84"/>
      <x:c r="G218" s="84"/>
    </x:row>
    <x:row r="219" ht="15.75" customHeight="1">
      <x:c r="A219" s="62"/>
      <x:c r="D219" s="62"/>
      <x:c r="F219" s="84"/>
      <x:c r="G219" s="84"/>
    </x:row>
    <x:row r="220" ht="15.75" customHeight="1">
      <x:c r="A220" s="62"/>
      <x:c r="D220" s="62"/>
      <x:c r="F220" s="84"/>
      <x:c r="G220" s="84"/>
    </x:row>
    <x:row r="221" ht="15.75" customHeight="1">
      <x:c r="A221" s="62"/>
      <x:c r="D221" s="62"/>
      <x:c r="F221" s="84"/>
      <x:c r="G221" s="84"/>
    </x:row>
    <x:row r="222" ht="15.75" customHeight="1">
      <x:c r="A222" s="62"/>
      <x:c r="D222" s="62"/>
      <x:c r="F222" s="84"/>
      <x:c r="G222" s="84"/>
    </x:row>
    <x:row r="223" ht="15.75" customHeight="1">
      <x:c r="A223" s="62"/>
      <x:c r="D223" s="62"/>
      <x:c r="F223" s="84"/>
      <x:c r="G223" s="84"/>
    </x:row>
    <x:row r="224" ht="15.75" customHeight="1">
      <x:c r="A224" s="62"/>
      <x:c r="D224" s="62"/>
      <x:c r="F224" s="84"/>
      <x:c r="G224" s="84"/>
    </x:row>
    <x:row r="225" ht="15.75" customHeight="1">
      <x:c r="A225" s="62"/>
      <x:c r="D225" s="62"/>
      <x:c r="F225" s="84"/>
      <x:c r="G225" s="84"/>
    </x:row>
    <x:row r="226" ht="15.75" customHeight="1">
      <x:c r="A226" s="62"/>
      <x:c r="D226" s="62"/>
      <x:c r="F226" s="84"/>
      <x:c r="G226" s="84"/>
    </x:row>
    <x:row r="227" ht="15.75" customHeight="1">
      <x:c r="A227" s="62"/>
      <x:c r="D227" s="62"/>
      <x:c r="F227" s="84"/>
      <x:c r="G227" s="84"/>
    </x:row>
    <x:row r="228" ht="15.75" customHeight="1">
      <x:c r="A228" s="62"/>
      <x:c r="D228" s="62"/>
      <x:c r="F228" s="84"/>
      <x:c r="G228" s="84"/>
    </x:row>
    <x:row r="229" ht="15.75" customHeight="1">
      <x:c r="A229" s="62"/>
      <x:c r="D229" s="62"/>
      <x:c r="F229" s="84"/>
      <x:c r="G229" s="84"/>
    </x:row>
    <x:row r="230" ht="15.75" customHeight="1">
      <x:c r="A230" s="62"/>
      <x:c r="D230" s="62"/>
      <x:c r="F230" s="84"/>
      <x:c r="G230" s="84"/>
    </x:row>
    <x:row r="231" ht="15.75" customHeight="1">
      <x:c r="A231" s="62"/>
      <x:c r="D231" s="62"/>
      <x:c r="F231" s="84"/>
      <x:c r="G231" s="84"/>
    </x:row>
    <x:row r="232" ht="15.75" customHeight="1">
      <x:c r="A232" s="62"/>
      <x:c r="D232" s="62"/>
      <x:c r="F232" s="84"/>
      <x:c r="G232" s="84"/>
    </x:row>
    <x:row r="233" ht="15.75" customHeight="1">
      <x:c r="A233" s="62"/>
      <x:c r="D233" s="62"/>
      <x:c r="F233" s="84"/>
      <x:c r="G233" s="84"/>
    </x:row>
    <x:row r="234" ht="15.75" customHeight="1">
      <x:c r="A234" s="62"/>
      <x:c r="D234" s="62"/>
      <x:c r="F234" s="84"/>
      <x:c r="G234" s="84"/>
    </x:row>
    <x:row r="235" ht="15.75" customHeight="1">
      <x:c r="A235" s="62"/>
      <x:c r="D235" s="62"/>
      <x:c r="F235" s="84"/>
      <x:c r="G235" s="84"/>
    </x:row>
    <x:row r="236" ht="15.75" customHeight="1">
      <x:c r="A236" s="62"/>
      <x:c r="D236" s="62"/>
      <x:c r="F236" s="84"/>
      <x:c r="G236" s="84"/>
    </x:row>
    <x:row r="237" ht="15.75" customHeight="1">
      <x:c r="A237" s="62"/>
      <x:c r="D237" s="62"/>
      <x:c r="F237" s="84"/>
      <x:c r="G237" s="84"/>
    </x:row>
    <x:row r="238" ht="15.75" customHeight="1">
      <x:c r="A238" s="62"/>
      <x:c r="D238" s="62"/>
      <x:c r="F238" s="84"/>
      <x:c r="G238" s="84"/>
    </x:row>
    <x:row r="239" ht="15.75" customHeight="1">
      <x:c r="A239" s="62"/>
      <x:c r="D239" s="62"/>
      <x:c r="F239" s="84"/>
      <x:c r="G239" s="84"/>
    </x:row>
    <x:row r="240" ht="15.75" customHeight="1">
      <x:c r="A240" s="62"/>
      <x:c r="D240" s="62"/>
      <x:c r="F240" s="84"/>
      <x:c r="G240" s="84"/>
    </x:row>
    <x:row r="241" ht="15.75" customHeight="1">
      <x:c r="A241" s="62"/>
      <x:c r="D241" s="62"/>
      <x:c r="F241" s="84"/>
      <x:c r="G241" s="84"/>
    </x:row>
    <x:row r="242" ht="15.75" customHeight="1">
      <x:c r="A242" s="62"/>
      <x:c r="D242" s="62"/>
      <x:c r="F242" s="84"/>
      <x:c r="G242" s="84"/>
    </x:row>
    <x:row r="243" ht="15.75" customHeight="1">
      <x:c r="A243" s="62"/>
      <x:c r="D243" s="62"/>
      <x:c r="F243" s="84"/>
      <x:c r="G243" s="84"/>
    </x:row>
    <x:row r="244" ht="15.75" customHeight="1">
      <x:c r="A244" s="62"/>
      <x:c r="D244" s="62"/>
      <x:c r="F244" s="84"/>
      <x:c r="G244" s="84"/>
    </x:row>
    <x:row r="245" ht="15.75" customHeight="1">
      <x:c r="A245" s="62"/>
      <x:c r="D245" s="62"/>
      <x:c r="F245" s="84"/>
      <x:c r="G245" s="84"/>
    </x:row>
    <x:row r="246" ht="15.75" customHeight="1">
      <x:c r="A246" s="62"/>
      <x:c r="D246" s="62"/>
      <x:c r="F246" s="84"/>
      <x:c r="G246" s="84"/>
    </x:row>
    <x:row r="247" ht="15.75" customHeight="1">
      <x:c r="A247" s="62"/>
      <x:c r="D247" s="62"/>
      <x:c r="F247" s="84"/>
      <x:c r="G247" s="84"/>
    </x:row>
    <x:row r="248" ht="15.75" customHeight="1">
      <x:c r="A248" s="62"/>
      <x:c r="D248" s="62"/>
      <x:c r="F248" s="84"/>
      <x:c r="G248" s="84"/>
    </x:row>
    <x:row r="249" ht="15.75" customHeight="1">
      <x:c r="A249" s="62"/>
      <x:c r="D249" s="62"/>
      <x:c r="F249" s="84"/>
      <x:c r="G249" s="84"/>
    </x:row>
    <x:row r="250" ht="15.75" customHeight="1">
      <x:c r="A250" s="62"/>
      <x:c r="D250" s="62"/>
      <x:c r="F250" s="84"/>
      <x:c r="G250" s="84"/>
    </x:row>
    <x:row r="251" ht="15.75" customHeight="1">
      <x:c r="A251" s="62"/>
      <x:c r="D251" s="62"/>
      <x:c r="F251" s="84"/>
      <x:c r="G251" s="84"/>
    </x:row>
    <x:row r="252" ht="15.75" customHeight="1">
      <x:c r="A252" s="62"/>
      <x:c r="D252" s="62"/>
      <x:c r="F252" s="84"/>
      <x:c r="G252" s="84"/>
    </x:row>
    <x:row r="253" ht="15.75" customHeight="1">
      <x:c r="A253" s="62"/>
      <x:c r="D253" s="62"/>
      <x:c r="F253" s="84"/>
      <x:c r="G253" s="84"/>
    </x:row>
    <x:row r="254" ht="15.75" customHeight="1">
      <x:c r="A254" s="62"/>
      <x:c r="D254" s="62"/>
      <x:c r="F254" s="84"/>
      <x:c r="G254" s="84"/>
    </x:row>
    <x:row r="255" ht="15.75" customHeight="1">
      <x:c r="A255" s="62"/>
      <x:c r="D255" s="62"/>
      <x:c r="F255" s="84"/>
      <x:c r="G255" s="84"/>
    </x:row>
    <x:row r="256" ht="15.75" customHeight="1">
      <x:c r="A256" s="62"/>
      <x:c r="D256" s="62"/>
      <x:c r="F256" s="84"/>
      <x:c r="G256" s="84"/>
    </x:row>
    <x:row r="257" ht="15.75" customHeight="1">
      <x:c r="A257" s="62"/>
      <x:c r="D257" s="62"/>
      <x:c r="F257" s="84"/>
      <x:c r="G257" s="84"/>
    </x:row>
    <x:row r="258" ht="15.75" customHeight="1">
      <x:c r="A258" s="62"/>
      <x:c r="D258" s="62"/>
      <x:c r="F258" s="84"/>
      <x:c r="G258" s="84"/>
    </x:row>
    <x:row r="259" ht="15.75" customHeight="1">
      <x:c r="A259" s="62"/>
      <x:c r="D259" s="62"/>
      <x:c r="F259" s="84"/>
      <x:c r="G259" s="84"/>
    </x:row>
    <x:row r="260" ht="15.75" customHeight="1">
      <x:c r="A260" s="62"/>
      <x:c r="D260" s="62"/>
      <x:c r="F260" s="84"/>
      <x:c r="G260" s="84"/>
    </x:row>
    <x:row r="261" ht="15.75" customHeight="1">
      <x:c r="A261" s="62"/>
      <x:c r="D261" s="62"/>
      <x:c r="F261" s="84"/>
      <x:c r="G261" s="84"/>
    </x:row>
    <x:row r="262" ht="15.75" customHeight="1">
      <x:c r="A262" s="62"/>
      <x:c r="D262" s="62"/>
      <x:c r="F262" s="84"/>
      <x:c r="G262" s="84"/>
    </x:row>
    <x:row r="263" ht="15.75" customHeight="1">
      <x:c r="A263" s="62"/>
      <x:c r="D263" s="62"/>
      <x:c r="F263" s="84"/>
      <x:c r="G263" s="84"/>
    </x:row>
    <x:row r="264" ht="15.75" customHeight="1">
      <x:c r="A264" s="62"/>
      <x:c r="D264" s="62"/>
      <x:c r="F264" s="84"/>
      <x:c r="G264" s="84"/>
    </x:row>
    <x:row r="265" ht="15.75" customHeight="1">
      <x:c r="A265" s="62"/>
      <x:c r="D265" s="62"/>
      <x:c r="F265" s="84"/>
      <x:c r="G265" s="84"/>
    </x:row>
    <x:row r="266" ht="15.75" customHeight="1">
      <x:c r="A266" s="62"/>
      <x:c r="D266" s="62"/>
      <x:c r="F266" s="84"/>
      <x:c r="G266" s="84"/>
    </x:row>
    <x:row r="267" ht="15.75" customHeight="1">
      <x:c r="A267" s="62"/>
      <x:c r="D267" s="62"/>
      <x:c r="F267" s="84"/>
      <x:c r="G267" s="84"/>
    </x:row>
    <x:row r="268" ht="15.75" customHeight="1">
      <x:c r="A268" s="62"/>
      <x:c r="D268" s="62"/>
      <x:c r="F268" s="84"/>
      <x:c r="G268" s="84"/>
    </x:row>
    <x:row r="269" ht="15.75" customHeight="1">
      <x:c r="A269" s="62"/>
      <x:c r="D269" s="62"/>
      <x:c r="F269" s="84"/>
      <x:c r="G269" s="84"/>
    </x:row>
    <x:row r="270" ht="15.75" customHeight="1">
      <x:c r="A270" s="62"/>
      <x:c r="D270" s="62"/>
      <x:c r="F270" s="84"/>
      <x:c r="G270" s="84"/>
    </x:row>
    <x:row r="271" ht="15.75" customHeight="1">
      <x:c r="A271" s="62"/>
      <x:c r="D271" s="62"/>
      <x:c r="F271" s="84"/>
      <x:c r="G271" s="84"/>
    </x:row>
    <x:row r="272" ht="15.75" customHeight="1">
      <x:c r="A272" s="62"/>
      <x:c r="D272" s="62"/>
      <x:c r="F272" s="84"/>
      <x:c r="G272" s="84"/>
    </x:row>
    <x:row r="273" ht="15.75" customHeight="1">
      <x:c r="A273" s="62"/>
      <x:c r="D273" s="62"/>
      <x:c r="F273" s="84"/>
      <x:c r="G273" s="84"/>
    </x:row>
    <x:row r="274" ht="15.75" customHeight="1">
      <x:c r="A274" s="62"/>
      <x:c r="D274" s="62"/>
      <x:c r="F274" s="84"/>
      <x:c r="G274" s="84"/>
    </x:row>
    <x:row r="275" ht="15.75" customHeight="1">
      <x:c r="A275" s="62"/>
      <x:c r="D275" s="62"/>
      <x:c r="F275" s="84"/>
      <x:c r="G275" s="84"/>
    </x:row>
    <x:row r="276" ht="15.75" customHeight="1">
      <x:c r="A276" s="62"/>
      <x:c r="D276" s="62"/>
      <x:c r="F276" s="84"/>
      <x:c r="G276" s="84"/>
    </x:row>
    <x:row r="277" ht="15.75" customHeight="1">
      <x:c r="A277" s="62"/>
      <x:c r="D277" s="62"/>
      <x:c r="F277" s="84"/>
      <x:c r="G277" s="84"/>
    </x:row>
    <x:row r="278" ht="15.75" customHeight="1">
      <x:c r="A278" s="62"/>
      <x:c r="D278" s="62"/>
      <x:c r="F278" s="84"/>
      <x:c r="G278" s="84"/>
    </x:row>
    <x:row r="279" ht="15.75" customHeight="1">
      <x:c r="A279" s="62"/>
      <x:c r="D279" s="62"/>
      <x:c r="F279" s="84"/>
      <x:c r="G279" s="84"/>
    </x:row>
    <x:row r="280" ht="15.75" customHeight="1">
      <x:c r="A280" s="62"/>
      <x:c r="D280" s="62"/>
      <x:c r="F280" s="84"/>
      <x:c r="G280" s="84"/>
    </x:row>
    <x:row r="281" ht="15.75" customHeight="1">
      <x:c r="A281" s="62"/>
      <x:c r="D281" s="62"/>
      <x:c r="F281" s="84"/>
      <x:c r="G281" s="84"/>
    </x:row>
    <x:row r="282" ht="15.75" customHeight="1">
      <x:c r="A282" s="62"/>
      <x:c r="D282" s="62"/>
      <x:c r="F282" s="84"/>
      <x:c r="G282" s="84"/>
    </x:row>
    <x:row r="283" ht="15.75" customHeight="1">
      <x:c r="A283" s="62"/>
      <x:c r="D283" s="62"/>
      <x:c r="F283" s="84"/>
      <x:c r="G283" s="84"/>
    </x:row>
    <x:row r="284" ht="15.75" customHeight="1">
      <x:c r="A284" s="62"/>
      <x:c r="D284" s="62"/>
      <x:c r="F284" s="84"/>
      <x:c r="G284" s="84"/>
    </x:row>
    <x:row r="285" ht="15.75" customHeight="1">
      <x:c r="A285" s="62"/>
      <x:c r="D285" s="62"/>
      <x:c r="F285" s="84"/>
      <x:c r="G285" s="84"/>
    </x:row>
    <x:row r="286" ht="15.75" customHeight="1">
      <x:c r="A286" s="62"/>
      <x:c r="D286" s="62"/>
      <x:c r="F286" s="84"/>
      <x:c r="G286" s="84"/>
    </x:row>
    <x:row r="287" ht="15.75" customHeight="1">
      <x:c r="A287" s="62"/>
      <x:c r="D287" s="62"/>
      <x:c r="F287" s="84"/>
      <x:c r="G287" s="84"/>
    </x:row>
    <x:row r="288" ht="15.75" customHeight="1">
      <x:c r="A288" s="62"/>
      <x:c r="D288" s="62"/>
      <x:c r="F288" s="84"/>
      <x:c r="G288" s="84"/>
    </x:row>
    <x:row r="289" ht="15.75" customHeight="1">
      <x:c r="A289" s="62"/>
      <x:c r="D289" s="62"/>
      <x:c r="F289" s="84"/>
      <x:c r="G289" s="84"/>
    </x:row>
    <x:row r="290" ht="15.75" customHeight="1">
      <x:c r="A290" s="62"/>
      <x:c r="D290" s="62"/>
      <x:c r="F290" s="84"/>
      <x:c r="G290" s="84"/>
    </x:row>
    <x:row r="291" ht="15.75" customHeight="1">
      <x:c r="A291" s="62"/>
      <x:c r="D291" s="62"/>
      <x:c r="F291" s="84"/>
      <x:c r="G291" s="84"/>
    </x:row>
    <x:row r="292" ht="15.75" customHeight="1">
      <x:c r="A292" s="62"/>
      <x:c r="D292" s="62"/>
      <x:c r="F292" s="84"/>
      <x:c r="G292" s="84"/>
    </x:row>
    <x:row r="293" ht="15.75" customHeight="1">
      <x:c r="A293" s="62"/>
      <x:c r="D293" s="62"/>
      <x:c r="F293" s="84"/>
      <x:c r="G293" s="84"/>
    </x:row>
    <x:row r="294" ht="15.75" customHeight="1">
      <x:c r="A294" s="62"/>
      <x:c r="D294" s="62"/>
      <x:c r="F294" s="84"/>
      <x:c r="G294" s="84"/>
    </x:row>
    <x:row r="295" ht="15.75" customHeight="1">
      <x:c r="A295" s="62"/>
      <x:c r="D295" s="62"/>
      <x:c r="F295" s="84"/>
      <x:c r="G295" s="84"/>
    </x:row>
    <x:row r="296" ht="15.75" customHeight="1">
      <x:c r="A296" s="62"/>
      <x:c r="D296" s="62"/>
      <x:c r="F296" s="84"/>
      <x:c r="G296" s="84"/>
    </x:row>
    <x:row r="297" ht="15.75" customHeight="1">
      <x:c r="A297" s="62"/>
      <x:c r="D297" s="62"/>
      <x:c r="F297" s="84"/>
      <x:c r="G297" s="84"/>
    </x:row>
    <x:row r="298" ht="15.75" customHeight="1">
      <x:c r="A298" s="62"/>
      <x:c r="D298" s="62"/>
      <x:c r="F298" s="84"/>
      <x:c r="G298" s="84"/>
    </x:row>
    <x:row r="299" ht="15.75" customHeight="1">
      <x:c r="A299" s="62"/>
      <x:c r="D299" s="62"/>
      <x:c r="F299" s="84"/>
      <x:c r="G299" s="84"/>
    </x:row>
    <x:row r="300" ht="15.75" customHeight="1">
      <x:c r="A300" s="62"/>
      <x:c r="D300" s="62"/>
      <x:c r="F300" s="84"/>
      <x:c r="G300" s="84"/>
    </x:row>
    <x:row r="301" ht="15.75" customHeight="1">
      <x:c r="A301" s="62"/>
      <x:c r="D301" s="62"/>
      <x:c r="F301" s="84"/>
      <x:c r="G301" s="84"/>
    </x:row>
    <x:row r="302" ht="15.75" customHeight="1">
      <x:c r="A302" s="62"/>
      <x:c r="D302" s="62"/>
      <x:c r="F302" s="84"/>
      <x:c r="G302" s="84"/>
    </x:row>
    <x:row r="303" ht="15.75" customHeight="1">
      <x:c r="A303" s="62"/>
      <x:c r="D303" s="62"/>
      <x:c r="F303" s="84"/>
      <x:c r="G303" s="84"/>
    </x:row>
    <x:row r="304" ht="15.75" customHeight="1">
      <x:c r="A304" s="62"/>
      <x:c r="D304" s="62"/>
      <x:c r="F304" s="84"/>
      <x:c r="G304" s="84"/>
    </x:row>
    <x:row r="305" ht="15.75" customHeight="1">
      <x:c r="A305" s="62"/>
      <x:c r="D305" s="62"/>
      <x:c r="F305" s="84"/>
      <x:c r="G305" s="84"/>
    </x:row>
    <x:row r="306" ht="15.75" customHeight="1">
      <x:c r="A306" s="62"/>
      <x:c r="D306" s="62"/>
      <x:c r="F306" s="84"/>
      <x:c r="G306" s="84"/>
    </x:row>
    <x:row r="307" ht="15.75" customHeight="1">
      <x:c r="A307" s="62"/>
      <x:c r="D307" s="62"/>
      <x:c r="F307" s="84"/>
      <x:c r="G307" s="84"/>
    </x:row>
    <x:row r="308" ht="15.75" customHeight="1">
      <x:c r="A308" s="62"/>
      <x:c r="D308" s="62"/>
      <x:c r="F308" s="84"/>
      <x:c r="G308" s="84"/>
    </x:row>
    <x:row r="309" ht="15.75" customHeight="1">
      <x:c r="A309" s="62"/>
      <x:c r="D309" s="62"/>
      <x:c r="F309" s="84"/>
      <x:c r="G309" s="84"/>
    </x:row>
    <x:row r="310" ht="15.75" customHeight="1">
      <x:c r="A310" s="62"/>
      <x:c r="D310" s="62"/>
      <x:c r="F310" s="84"/>
      <x:c r="G310" s="84"/>
    </x:row>
    <x:row r="311" ht="15.75" customHeight="1">
      <x:c r="A311" s="62"/>
      <x:c r="D311" s="62"/>
      <x:c r="F311" s="84"/>
      <x:c r="G311" s="84"/>
    </x:row>
    <x:row r="312" ht="15.75" customHeight="1">
      <x:c r="A312" s="62"/>
      <x:c r="D312" s="62"/>
      <x:c r="F312" s="84"/>
      <x:c r="G312" s="84"/>
    </x:row>
    <x:row r="313" ht="15.75" customHeight="1">
      <x:c r="A313" s="62"/>
      <x:c r="D313" s="62"/>
      <x:c r="F313" s="84"/>
      <x:c r="G313" s="84"/>
    </x:row>
    <x:row r="314" ht="15.75" customHeight="1">
      <x:c r="A314" s="62"/>
      <x:c r="D314" s="62"/>
      <x:c r="F314" s="84"/>
      <x:c r="G314" s="84"/>
    </x:row>
    <x:row r="315" ht="15.75" customHeight="1">
      <x:c r="A315" s="62"/>
      <x:c r="D315" s="62"/>
      <x:c r="F315" s="84"/>
      <x:c r="G315" s="84"/>
    </x:row>
    <x:row r="316" ht="15.75" customHeight="1">
      <x:c r="A316" s="62"/>
      <x:c r="D316" s="62"/>
      <x:c r="F316" s="84"/>
      <x:c r="G316" s="84"/>
    </x:row>
    <x:row r="317" ht="15.75" customHeight="1">
      <x:c r="A317" s="62"/>
      <x:c r="D317" s="62"/>
      <x:c r="F317" s="84"/>
      <x:c r="G317" s="84"/>
    </x:row>
    <x:row r="318" ht="15.75" customHeight="1">
      <x:c r="A318" s="62"/>
      <x:c r="D318" s="62"/>
      <x:c r="F318" s="84"/>
      <x:c r="G318" s="84"/>
    </x:row>
    <x:row r="319" ht="15.75" customHeight="1">
      <x:c r="A319" s="62"/>
      <x:c r="D319" s="62"/>
      <x:c r="F319" s="84"/>
      <x:c r="G319" s="84"/>
    </x:row>
    <x:row r="320" ht="15.75" customHeight="1">
      <x:c r="A320" s="62"/>
      <x:c r="D320" s="62"/>
      <x:c r="F320" s="84"/>
      <x:c r="G320" s="84"/>
    </x:row>
    <x:row r="321" ht="15.75" customHeight="1">
      <x:c r="A321" s="62"/>
      <x:c r="D321" s="62"/>
      <x:c r="F321" s="84"/>
      <x:c r="G321" s="84"/>
    </x:row>
    <x:row r="322" ht="15.75" customHeight="1">
      <x:c r="A322" s="62"/>
      <x:c r="D322" s="62"/>
      <x:c r="F322" s="84"/>
      <x:c r="G322" s="84"/>
    </x:row>
    <x:row r="323" ht="15.75" customHeight="1">
      <x:c r="A323" s="62"/>
      <x:c r="D323" s="62"/>
      <x:c r="F323" s="84"/>
      <x:c r="G323" s="84"/>
    </x:row>
    <x:row r="324" ht="15.75" customHeight="1">
      <x:c r="A324" s="62"/>
      <x:c r="D324" s="62"/>
      <x:c r="F324" s="84"/>
      <x:c r="G324" s="84"/>
    </x:row>
    <x:row r="325" ht="15.75" customHeight="1">
      <x:c r="A325" s="62"/>
      <x:c r="D325" s="62"/>
      <x:c r="F325" s="84"/>
      <x:c r="G325" s="84"/>
    </x:row>
    <x:row r="326" ht="15.75" customHeight="1">
      <x:c r="A326" s="62"/>
      <x:c r="D326" s="62"/>
      <x:c r="F326" s="84"/>
      <x:c r="G326" s="84"/>
    </x:row>
    <x:row r="327" ht="15.75" customHeight="1">
      <x:c r="A327" s="62"/>
      <x:c r="D327" s="62"/>
      <x:c r="F327" s="84"/>
      <x:c r="G327" s="84"/>
    </x:row>
    <x:row r="328" ht="15.75" customHeight="1">
      <x:c r="A328" s="62"/>
      <x:c r="D328" s="62"/>
      <x:c r="F328" s="84"/>
      <x:c r="G328" s="84"/>
    </x:row>
    <x:row r="329" ht="15.75" customHeight="1">
      <x:c r="A329" s="62"/>
      <x:c r="D329" s="62"/>
      <x:c r="F329" s="84"/>
      <x:c r="G329" s="84"/>
    </x:row>
    <x:row r="330" ht="15.75" customHeight="1">
      <x:c r="A330" s="62"/>
      <x:c r="D330" s="62"/>
      <x:c r="F330" s="84"/>
      <x:c r="G330" s="84"/>
    </x:row>
    <x:row r="331" ht="15.75" customHeight="1">
      <x:c r="A331" s="62"/>
      <x:c r="D331" s="62"/>
      <x:c r="F331" s="84"/>
      <x:c r="G331" s="84"/>
    </x:row>
    <x:row r="332" ht="15.75" customHeight="1">
      <x:c r="A332" s="62"/>
      <x:c r="D332" s="62"/>
      <x:c r="F332" s="84"/>
      <x:c r="G332" s="84"/>
    </x:row>
    <x:row r="333" ht="15.75" customHeight="1">
      <x:c r="A333" s="62"/>
      <x:c r="D333" s="62"/>
      <x:c r="F333" s="84"/>
      <x:c r="G333" s="84"/>
    </x:row>
    <x:row r="334" ht="15.75" customHeight="1">
      <x:c r="A334" s="62"/>
      <x:c r="D334" s="62"/>
      <x:c r="F334" s="84"/>
      <x:c r="G334" s="84"/>
    </x:row>
    <x:row r="335" ht="15.75" customHeight="1">
      <x:c r="A335" s="62"/>
      <x:c r="D335" s="62"/>
      <x:c r="F335" s="84"/>
      <x:c r="G335" s="84"/>
    </x:row>
    <x:row r="336" ht="15.75" customHeight="1">
      <x:c r="A336" s="62"/>
      <x:c r="D336" s="62"/>
      <x:c r="F336" s="84"/>
      <x:c r="G336" s="84"/>
    </x:row>
    <x:row r="337" ht="15.75" customHeight="1">
      <x:c r="A337" s="62"/>
      <x:c r="D337" s="62"/>
      <x:c r="F337" s="84"/>
      <x:c r="G337" s="84"/>
    </x:row>
    <x:row r="338" ht="15.75" customHeight="1">
      <x:c r="A338" s="62"/>
      <x:c r="D338" s="62"/>
      <x:c r="F338" s="84"/>
      <x:c r="G338" s="84"/>
    </x:row>
    <x:row r="339" ht="15.75" customHeight="1">
      <x:c r="A339" s="62"/>
      <x:c r="D339" s="62"/>
      <x:c r="F339" s="84"/>
      <x:c r="G339" s="84"/>
    </x:row>
    <x:row r="340" ht="15.75" customHeight="1">
      <x:c r="A340" s="62"/>
      <x:c r="D340" s="62"/>
      <x:c r="F340" s="84"/>
      <x:c r="G340" s="84"/>
    </x:row>
    <x:row r="341" ht="15.75" customHeight="1">
      <x:c r="A341" s="62"/>
      <x:c r="D341" s="62"/>
      <x:c r="F341" s="84"/>
      <x:c r="G341" s="84"/>
    </x:row>
    <x:row r="342" ht="15.75" customHeight="1">
      <x:c r="A342" s="62"/>
      <x:c r="D342" s="62"/>
      <x:c r="F342" s="84"/>
      <x:c r="G342" s="84"/>
    </x:row>
    <x:row r="343" ht="15.75" customHeight="1">
      <x:c r="A343" s="62"/>
      <x:c r="D343" s="62"/>
      <x:c r="F343" s="84"/>
      <x:c r="G343" s="84"/>
    </x:row>
    <x:row r="344" ht="15.75" customHeight="1">
      <x:c r="A344" s="62"/>
      <x:c r="D344" s="62"/>
      <x:c r="F344" s="84"/>
      <x:c r="G344" s="84"/>
    </x:row>
    <x:row r="345" ht="15.75" customHeight="1">
      <x:c r="A345" s="62"/>
      <x:c r="D345" s="62"/>
      <x:c r="F345" s="84"/>
      <x:c r="G345" s="84"/>
    </x:row>
    <x:row r="346" ht="15.75" customHeight="1">
      <x:c r="A346" s="62"/>
      <x:c r="D346" s="62"/>
      <x:c r="F346" s="84"/>
      <x:c r="G346" s="84"/>
    </x:row>
    <x:row r="347" ht="15.75" customHeight="1">
      <x:c r="A347" s="62"/>
      <x:c r="D347" s="62"/>
      <x:c r="F347" s="84"/>
      <x:c r="G347" s="84"/>
    </x:row>
    <x:row r="348" ht="15.75" customHeight="1">
      <x:c r="A348" s="62"/>
      <x:c r="D348" s="62"/>
      <x:c r="F348" s="84"/>
      <x:c r="G348" s="84"/>
    </x:row>
    <x:row r="349" ht="15.75" customHeight="1">
      <x:c r="A349" s="62"/>
      <x:c r="D349" s="62"/>
      <x:c r="F349" s="84"/>
      <x:c r="G349" s="84"/>
    </x:row>
    <x:row r="350" ht="15.75" customHeight="1">
      <x:c r="A350" s="62"/>
      <x:c r="D350" s="62"/>
      <x:c r="F350" s="84"/>
      <x:c r="G350" s="84"/>
    </x:row>
    <x:row r="351" ht="15.75" customHeight="1">
      <x:c r="A351" s="62"/>
      <x:c r="D351" s="62"/>
      <x:c r="F351" s="84"/>
      <x:c r="G351" s="84"/>
    </x:row>
    <x:row r="352" ht="15.75" customHeight="1">
      <x:c r="A352" s="62"/>
      <x:c r="D352" s="62"/>
      <x:c r="F352" s="84"/>
      <x:c r="G352" s="84"/>
    </x:row>
    <x:row r="353" ht="15.75" customHeight="1">
      <x:c r="A353" s="62"/>
      <x:c r="D353" s="62"/>
      <x:c r="F353" s="84"/>
      <x:c r="G353" s="84"/>
    </x:row>
    <x:row r="354" ht="15.75" customHeight="1">
      <x:c r="A354" s="62"/>
      <x:c r="D354" s="62"/>
      <x:c r="F354" s="84"/>
      <x:c r="G354" s="84"/>
    </x:row>
    <x:row r="355" ht="15.75" customHeight="1">
      <x:c r="A355" s="62"/>
      <x:c r="D355" s="62"/>
      <x:c r="F355" s="84"/>
      <x:c r="G355" s="84"/>
    </x:row>
    <x:row r="356" ht="15.75" customHeight="1">
      <x:c r="A356" s="62"/>
      <x:c r="D356" s="62"/>
      <x:c r="F356" s="84"/>
      <x:c r="G356" s="84"/>
    </x:row>
    <x:row r="357" ht="15.75" customHeight="1">
      <x:c r="A357" s="62"/>
      <x:c r="D357" s="62"/>
      <x:c r="F357" s="84"/>
      <x:c r="G357" s="84"/>
    </x:row>
    <x:row r="358" ht="15.75" customHeight="1">
      <x:c r="A358" s="62"/>
      <x:c r="D358" s="62"/>
      <x:c r="F358" s="84"/>
      <x:c r="G358" s="84"/>
    </x:row>
    <x:row r="359" ht="15.75" customHeight="1">
      <x:c r="A359" s="62"/>
      <x:c r="D359" s="62"/>
      <x:c r="F359" s="84"/>
      <x:c r="G359" s="84"/>
    </x:row>
    <x:row r="360" ht="15.75" customHeight="1">
      <x:c r="A360" s="62"/>
      <x:c r="D360" s="62"/>
      <x:c r="F360" s="84"/>
      <x:c r="G360" s="84"/>
    </x:row>
    <x:row r="361" ht="15.75" customHeight="1">
      <x:c r="A361" s="62"/>
      <x:c r="D361" s="62"/>
      <x:c r="F361" s="84"/>
      <x:c r="G361" s="84"/>
    </x:row>
    <x:row r="362" ht="15.75" customHeight="1">
      <x:c r="A362" s="62"/>
      <x:c r="D362" s="62"/>
      <x:c r="F362" s="84"/>
      <x:c r="G362" s="84"/>
    </x:row>
    <x:row r="363" ht="15.75" customHeight="1">
      <x:c r="A363" s="62"/>
      <x:c r="D363" s="62"/>
      <x:c r="F363" s="84"/>
      <x:c r="G363" s="84"/>
    </x:row>
    <x:row r="364" ht="15.75" customHeight="1">
      <x:c r="A364" s="62"/>
      <x:c r="D364" s="62"/>
      <x:c r="F364" s="84"/>
      <x:c r="G364" s="84"/>
    </x:row>
    <x:row r="365" ht="15.75" customHeight="1">
      <x:c r="A365" s="62"/>
      <x:c r="D365" s="62"/>
      <x:c r="F365" s="84"/>
      <x:c r="G365" s="84"/>
    </x:row>
    <x:row r="366" ht="15.75" customHeight="1">
      <x:c r="A366" s="62"/>
      <x:c r="D366" s="62"/>
      <x:c r="F366" s="84"/>
      <x:c r="G366" s="84"/>
    </x:row>
    <x:row r="367" ht="15.75" customHeight="1">
      <x:c r="A367" s="62"/>
      <x:c r="D367" s="62"/>
      <x:c r="F367" s="84"/>
      <x:c r="G367" s="84"/>
    </x:row>
    <x:row r="368" ht="15.75" customHeight="1">
      <x:c r="A368" s="62"/>
      <x:c r="D368" s="62"/>
      <x:c r="F368" s="84"/>
      <x:c r="G368" s="84"/>
    </x:row>
    <x:row r="369" ht="15.75" customHeight="1">
      <x:c r="A369" s="62"/>
      <x:c r="D369" s="62"/>
      <x:c r="F369" s="84"/>
      <x:c r="G369" s="84"/>
    </x:row>
    <x:row r="370" ht="15.75" customHeight="1">
      <x:c r="A370" s="62"/>
      <x:c r="D370" s="62"/>
      <x:c r="F370" s="84"/>
      <x:c r="G370" s="84"/>
    </x:row>
    <x:row r="371" ht="15.75" customHeight="1">
      <x:c r="A371" s="62"/>
      <x:c r="D371" s="62"/>
      <x:c r="F371" s="84"/>
      <x:c r="G371" s="84"/>
    </x:row>
    <x:row r="372" ht="15.75" customHeight="1">
      <x:c r="A372" s="62"/>
      <x:c r="D372" s="62"/>
      <x:c r="F372" s="84"/>
      <x:c r="G372" s="84"/>
    </x:row>
    <x:row r="373" ht="15.75" customHeight="1">
      <x:c r="A373" s="62"/>
      <x:c r="D373" s="62"/>
      <x:c r="F373" s="84"/>
      <x:c r="G373" s="84"/>
    </x:row>
    <x:row r="374" ht="15.75" customHeight="1">
      <x:c r="A374" s="62"/>
      <x:c r="D374" s="62"/>
      <x:c r="F374" s="84"/>
      <x:c r="G374" s="84"/>
    </x:row>
    <x:row r="375" ht="15.75" customHeight="1">
      <x:c r="A375" s="62"/>
      <x:c r="D375" s="62"/>
      <x:c r="F375" s="84"/>
      <x:c r="G375" s="84"/>
    </x:row>
    <x:row r="376" ht="15.75" customHeight="1">
      <x:c r="A376" s="62"/>
      <x:c r="D376" s="62"/>
      <x:c r="F376" s="84"/>
      <x:c r="G376" s="84"/>
    </x:row>
    <x:row r="377" ht="15.75" customHeight="1">
      <x:c r="A377" s="62"/>
      <x:c r="D377" s="62"/>
      <x:c r="F377" s="84"/>
      <x:c r="G377" s="84"/>
    </x:row>
    <x:row r="378" ht="15.75" customHeight="1">
      <x:c r="A378" s="62"/>
      <x:c r="D378" s="62"/>
      <x:c r="F378" s="84"/>
      <x:c r="G378" s="84"/>
    </x:row>
    <x:row r="379" ht="15.75" customHeight="1">
      <x:c r="A379" s="62"/>
      <x:c r="D379" s="62"/>
      <x:c r="F379" s="84"/>
      <x:c r="G379" s="84"/>
    </x:row>
    <x:row r="380" ht="15.75" customHeight="1">
      <x:c r="A380" s="62"/>
      <x:c r="D380" s="62"/>
      <x:c r="F380" s="84"/>
      <x:c r="G380" s="84"/>
    </x:row>
    <x:row r="381" ht="15.75" customHeight="1">
      <x:c r="A381" s="62"/>
      <x:c r="D381" s="62"/>
      <x:c r="F381" s="84"/>
      <x:c r="G381" s="84"/>
    </x:row>
    <x:row r="382" ht="15.75" customHeight="1">
      <x:c r="A382" s="62"/>
      <x:c r="D382" s="62"/>
      <x:c r="F382" s="84"/>
      <x:c r="G382" s="84"/>
    </x:row>
    <x:row r="383" ht="15.75" customHeight="1">
      <x:c r="A383" s="62"/>
      <x:c r="D383" s="62"/>
      <x:c r="F383" s="84"/>
      <x:c r="G383" s="84"/>
    </x:row>
    <x:row r="384" ht="15.75" customHeight="1">
      <x:c r="A384" s="62"/>
      <x:c r="D384" s="62"/>
      <x:c r="F384" s="84"/>
      <x:c r="G384" s="84"/>
    </x:row>
    <x:row r="385" ht="15.75" customHeight="1">
      <x:c r="A385" s="62"/>
      <x:c r="D385" s="62"/>
      <x:c r="F385" s="84"/>
      <x:c r="G385" s="84"/>
    </x:row>
    <x:row r="386" ht="15.75" customHeight="1">
      <x:c r="A386" s="62"/>
      <x:c r="D386" s="62"/>
      <x:c r="F386" s="84"/>
      <x:c r="G386" s="84"/>
    </x:row>
    <x:row r="387" ht="15.75" customHeight="1">
      <x:c r="A387" s="62"/>
      <x:c r="D387" s="62"/>
      <x:c r="F387" s="84"/>
      <x:c r="G387" s="84"/>
    </x:row>
    <x:row r="388" ht="15.75" customHeight="1">
      <x:c r="A388" s="62"/>
      <x:c r="D388" s="62"/>
      <x:c r="F388" s="84"/>
      <x:c r="G388" s="84"/>
    </x:row>
    <x:row r="389" ht="15.75" customHeight="1">
      <x:c r="A389" s="62"/>
      <x:c r="D389" s="62"/>
      <x:c r="F389" s="84"/>
      <x:c r="G389" s="84"/>
    </x:row>
    <x:row r="390" ht="15.75" customHeight="1">
      <x:c r="A390" s="62"/>
      <x:c r="D390" s="62"/>
      <x:c r="F390" s="84"/>
      <x:c r="G390" s="84"/>
    </x:row>
    <x:row r="391" ht="15.75" customHeight="1">
      <x:c r="A391" s="62"/>
      <x:c r="D391" s="62"/>
      <x:c r="F391" s="84"/>
      <x:c r="G391" s="84"/>
    </x:row>
    <x:row r="392" ht="15.75" customHeight="1">
      <x:c r="A392" s="62"/>
      <x:c r="D392" s="62"/>
      <x:c r="F392" s="84"/>
      <x:c r="G392" s="84"/>
    </x:row>
    <x:row r="393" ht="15.75" customHeight="1">
      <x:c r="A393" s="62"/>
      <x:c r="D393" s="62"/>
      <x:c r="F393" s="84"/>
      <x:c r="G393" s="84"/>
    </x:row>
    <x:row r="394" ht="15.75" customHeight="1">
      <x:c r="A394" s="62"/>
      <x:c r="D394" s="62"/>
      <x:c r="F394" s="84"/>
      <x:c r="G394" s="84"/>
    </x:row>
    <x:row r="395" ht="15.75" customHeight="1">
      <x:c r="A395" s="62"/>
      <x:c r="D395" s="62"/>
      <x:c r="F395" s="84"/>
      <x:c r="G395" s="84"/>
    </x:row>
    <x:row r="396" ht="15.75" customHeight="1">
      <x:c r="A396" s="62"/>
      <x:c r="D396" s="62"/>
      <x:c r="F396" s="84"/>
      <x:c r="G396" s="84"/>
    </x:row>
    <x:row r="397" ht="15.75" customHeight="1">
      <x:c r="A397" s="62"/>
      <x:c r="D397" s="62"/>
      <x:c r="F397" s="84"/>
      <x:c r="G397" s="84"/>
    </x:row>
    <x:row r="398" ht="15.75" customHeight="1">
      <x:c r="A398" s="62"/>
      <x:c r="D398" s="62"/>
      <x:c r="F398" s="84"/>
      <x:c r="G398" s="84"/>
    </x:row>
    <x:row r="399" ht="15.75" customHeight="1">
      <x:c r="A399" s="62"/>
      <x:c r="D399" s="62"/>
      <x:c r="F399" s="84"/>
      <x:c r="G399" s="84"/>
    </x:row>
    <x:row r="400" ht="15.75" customHeight="1">
      <x:c r="A400" s="62"/>
      <x:c r="D400" s="62"/>
      <x:c r="F400" s="84"/>
      <x:c r="G400" s="84"/>
    </x:row>
    <x:row r="401" ht="15.75" customHeight="1">
      <x:c r="A401" s="62"/>
      <x:c r="D401" s="62"/>
      <x:c r="F401" s="84"/>
      <x:c r="G401" s="84"/>
    </x:row>
    <x:row r="402" ht="15.75" customHeight="1">
      <x:c r="A402" s="62"/>
      <x:c r="D402" s="62"/>
      <x:c r="F402" s="84"/>
      <x:c r="G402" s="84"/>
    </x:row>
    <x:row r="403" ht="15.75" customHeight="1">
      <x:c r="A403" s="62"/>
      <x:c r="D403" s="62"/>
      <x:c r="F403" s="84"/>
      <x:c r="G403" s="84"/>
    </x:row>
    <x:row r="404" ht="15.75" customHeight="1">
      <x:c r="A404" s="62"/>
      <x:c r="D404" s="62"/>
      <x:c r="F404" s="84"/>
      <x:c r="G404" s="84"/>
    </x:row>
    <x:row r="405" ht="15.75" customHeight="1">
      <x:c r="A405" s="62"/>
      <x:c r="D405" s="62"/>
      <x:c r="F405" s="84"/>
      <x:c r="G405" s="84"/>
    </x:row>
    <x:row r="406" ht="15.75" customHeight="1">
      <x:c r="A406" s="62"/>
      <x:c r="D406" s="62"/>
      <x:c r="F406" s="84"/>
      <x:c r="G406" s="84"/>
    </x:row>
    <x:row r="407" ht="15.75" customHeight="1">
      <x:c r="A407" s="62"/>
      <x:c r="D407" s="62"/>
      <x:c r="F407" s="84"/>
      <x:c r="G407" s="84"/>
    </x:row>
    <x:row r="408" ht="15.75" customHeight="1">
      <x:c r="A408" s="62"/>
      <x:c r="D408" s="62"/>
      <x:c r="F408" s="84"/>
      <x:c r="G408" s="84"/>
    </x:row>
    <x:row r="409" ht="15.75" customHeight="1">
      <x:c r="A409" s="62"/>
      <x:c r="D409" s="62"/>
      <x:c r="F409" s="84"/>
      <x:c r="G409" s="84"/>
    </x:row>
    <x:row r="410" ht="15.75" customHeight="1">
      <x:c r="A410" s="62"/>
      <x:c r="D410" s="62"/>
      <x:c r="F410" s="84"/>
      <x:c r="G410" s="84"/>
    </x:row>
    <x:row r="411" ht="15.75" customHeight="1">
      <x:c r="A411" s="62"/>
      <x:c r="D411" s="62"/>
      <x:c r="F411" s="84"/>
      <x:c r="G411" s="84"/>
    </x:row>
    <x:row r="412" ht="15.75" customHeight="1">
      <x:c r="A412" s="62"/>
      <x:c r="D412" s="62"/>
      <x:c r="F412" s="84"/>
      <x:c r="G412" s="84"/>
    </x:row>
    <x:row r="413" ht="15.75" customHeight="1">
      <x:c r="A413" s="62"/>
      <x:c r="D413" s="62"/>
      <x:c r="F413" s="84"/>
      <x:c r="G413" s="84"/>
    </x:row>
    <x:row r="414" ht="15.75" customHeight="1">
      <x:c r="A414" s="62"/>
      <x:c r="D414" s="62"/>
      <x:c r="F414" s="84"/>
      <x:c r="G414" s="84"/>
    </x:row>
    <x:row r="415" ht="15.75" customHeight="1">
      <x:c r="A415" s="62"/>
      <x:c r="D415" s="62"/>
      <x:c r="F415" s="84"/>
      <x:c r="G415" s="84"/>
    </x:row>
    <x:row r="416" ht="15.75" customHeight="1">
      <x:c r="A416" s="62"/>
      <x:c r="D416" s="62"/>
      <x:c r="F416" s="84"/>
      <x:c r="G416" s="84"/>
    </x:row>
    <x:row r="417" ht="15.75" customHeight="1">
      <x:c r="A417" s="62"/>
      <x:c r="D417" s="62"/>
      <x:c r="F417" s="84"/>
      <x:c r="G417" s="84"/>
    </x:row>
    <x:row r="418" ht="15.75" customHeight="1">
      <x:c r="A418" s="62"/>
      <x:c r="D418" s="62"/>
      <x:c r="F418" s="84"/>
      <x:c r="G418" s="84"/>
    </x:row>
    <x:row r="419" ht="15.75" customHeight="1">
      <x:c r="A419" s="62"/>
      <x:c r="D419" s="62"/>
      <x:c r="F419" s="84"/>
      <x:c r="G419" s="84"/>
    </x:row>
    <x:row r="420" ht="15.75" customHeight="1">
      <x:c r="A420" s="62"/>
      <x:c r="D420" s="62"/>
      <x:c r="F420" s="84"/>
      <x:c r="G420" s="84"/>
    </x:row>
    <x:row r="421" ht="15.75" customHeight="1">
      <x:c r="A421" s="62"/>
      <x:c r="D421" s="62"/>
      <x:c r="F421" s="84"/>
      <x:c r="G421" s="84"/>
    </x:row>
    <x:row r="422" ht="15.75" customHeight="1">
      <x:c r="A422" s="62"/>
      <x:c r="D422" s="62"/>
      <x:c r="F422" s="84"/>
      <x:c r="G422" s="84"/>
    </x:row>
    <x:row r="423" ht="15.75" customHeight="1">
      <x:c r="A423" s="62"/>
      <x:c r="D423" s="62"/>
      <x:c r="F423" s="84"/>
      <x:c r="G423" s="84"/>
    </x:row>
    <x:row r="424" ht="15.75" customHeight="1">
      <x:c r="A424" s="62"/>
      <x:c r="D424" s="62"/>
      <x:c r="F424" s="84"/>
      <x:c r="G424" s="84"/>
    </x:row>
    <x:row r="425" ht="15.75" customHeight="1">
      <x:c r="A425" s="62"/>
      <x:c r="D425" s="62"/>
      <x:c r="F425" s="84"/>
      <x:c r="G425" s="84"/>
    </x:row>
    <x:row r="426" ht="15.75" customHeight="1">
      <x:c r="A426" s="62"/>
      <x:c r="D426" s="62"/>
      <x:c r="F426" s="84"/>
      <x:c r="G426" s="84"/>
    </x:row>
    <x:row r="427" ht="15.75" customHeight="1">
      <x:c r="A427" s="62"/>
      <x:c r="D427" s="62"/>
      <x:c r="F427" s="84"/>
      <x:c r="G427" s="84"/>
    </x:row>
    <x:row r="428" ht="15.75" customHeight="1">
      <x:c r="A428" s="62"/>
      <x:c r="D428" s="62"/>
      <x:c r="F428" s="84"/>
      <x:c r="G428" s="84"/>
    </x:row>
    <x:row r="429" ht="15.75" customHeight="1">
      <x:c r="A429" s="62"/>
      <x:c r="D429" s="62"/>
      <x:c r="F429" s="84"/>
      <x:c r="G429" s="84"/>
    </x:row>
    <x:row r="430" ht="15.75" customHeight="1">
      <x:c r="A430" s="62"/>
      <x:c r="D430" s="62"/>
      <x:c r="F430" s="84"/>
      <x:c r="G430" s="84"/>
    </x:row>
    <x:row r="431" ht="15.75" customHeight="1">
      <x:c r="A431" s="62"/>
      <x:c r="D431" s="62"/>
      <x:c r="F431" s="84"/>
      <x:c r="G431" s="84"/>
    </x:row>
    <x:row r="432" ht="15.75" customHeight="1">
      <x:c r="A432" s="62"/>
      <x:c r="D432" s="62"/>
      <x:c r="F432" s="84"/>
      <x:c r="G432" s="84"/>
    </x:row>
    <x:row r="433" ht="15.75" customHeight="1">
      <x:c r="A433" s="62"/>
      <x:c r="D433" s="62"/>
      <x:c r="F433" s="84"/>
      <x:c r="G433" s="84"/>
    </x:row>
    <x:row r="434" ht="15.75" customHeight="1">
      <x:c r="A434" s="62"/>
      <x:c r="D434" s="62"/>
      <x:c r="F434" s="84"/>
      <x:c r="G434" s="84"/>
    </x:row>
    <x:row r="435" ht="15.75" customHeight="1">
      <x:c r="A435" s="62"/>
      <x:c r="D435" s="62"/>
      <x:c r="F435" s="84"/>
      <x:c r="G435" s="84"/>
    </x:row>
    <x:row r="436" ht="15.75" customHeight="1">
      <x:c r="A436" s="62"/>
      <x:c r="D436" s="62"/>
      <x:c r="F436" s="84"/>
      <x:c r="G436" s="84"/>
    </x:row>
    <x:row r="437" ht="15.75" customHeight="1">
      <x:c r="A437" s="62"/>
      <x:c r="D437" s="62"/>
      <x:c r="F437" s="84"/>
      <x:c r="G437" s="84"/>
    </x:row>
    <x:row r="438" ht="15.75" customHeight="1">
      <x:c r="A438" s="62"/>
      <x:c r="D438" s="62"/>
      <x:c r="F438" s="84"/>
      <x:c r="G438" s="84"/>
    </x:row>
    <x:row r="439" ht="15.75" customHeight="1">
      <x:c r="A439" s="62"/>
      <x:c r="D439" s="62"/>
      <x:c r="F439" s="84"/>
      <x:c r="G439" s="84"/>
    </x:row>
    <x:row r="440" ht="15.75" customHeight="1">
      <x:c r="A440" s="62"/>
      <x:c r="D440" s="62"/>
      <x:c r="F440" s="84"/>
      <x:c r="G440" s="84"/>
    </x:row>
    <x:row r="441" ht="15.75" customHeight="1">
      <x:c r="A441" s="62"/>
      <x:c r="D441" s="62"/>
      <x:c r="F441" s="84"/>
      <x:c r="G441" s="84"/>
    </x:row>
    <x:row r="442" ht="15.75" customHeight="1">
      <x:c r="A442" s="62"/>
      <x:c r="D442" s="62"/>
      <x:c r="F442" s="84"/>
      <x:c r="G442" s="84"/>
    </x:row>
    <x:row r="443" ht="15.75" customHeight="1">
      <x:c r="A443" s="62"/>
      <x:c r="D443" s="62"/>
      <x:c r="F443" s="84"/>
      <x:c r="G443" s="84"/>
    </x:row>
    <x:row r="444" ht="15.75" customHeight="1">
      <x:c r="A444" s="62"/>
      <x:c r="D444" s="62"/>
      <x:c r="F444" s="84"/>
      <x:c r="G444" s="84"/>
    </x:row>
    <x:row r="445" ht="15.75" customHeight="1">
      <x:c r="A445" s="62"/>
      <x:c r="D445" s="62"/>
      <x:c r="F445" s="84"/>
      <x:c r="G445" s="84"/>
    </x:row>
    <x:row r="446" ht="15.75" customHeight="1">
      <x:c r="A446" s="62"/>
      <x:c r="D446" s="62"/>
      <x:c r="F446" s="84"/>
      <x:c r="G446" s="84"/>
    </x:row>
    <x:row r="447" ht="15.75" customHeight="1">
      <x:c r="A447" s="62"/>
      <x:c r="D447" s="62"/>
      <x:c r="F447" s="84"/>
      <x:c r="G447" s="84"/>
    </x:row>
    <x:row r="448" ht="15.75" customHeight="1">
      <x:c r="A448" s="62"/>
      <x:c r="D448" s="62"/>
      <x:c r="F448" s="84"/>
      <x:c r="G448" s="84"/>
    </x:row>
    <x:row r="449" ht="15.75" customHeight="1">
      <x:c r="A449" s="62"/>
      <x:c r="D449" s="62"/>
      <x:c r="F449" s="84"/>
      <x:c r="G449" s="84"/>
    </x:row>
    <x:row r="450" ht="15.75" customHeight="1">
      <x:c r="A450" s="62"/>
      <x:c r="D450" s="62"/>
      <x:c r="F450" s="84"/>
      <x:c r="G450" s="84"/>
    </x:row>
    <x:row r="451" ht="15.75" customHeight="1">
      <x:c r="A451" s="62"/>
      <x:c r="D451" s="62"/>
      <x:c r="F451" s="84"/>
      <x:c r="G451" s="84"/>
    </x:row>
    <x:row r="452" ht="15.75" customHeight="1">
      <x:c r="A452" s="62"/>
      <x:c r="D452" s="62"/>
      <x:c r="F452" s="84"/>
      <x:c r="G452" s="84"/>
    </x:row>
    <x:row r="453" ht="15.75" customHeight="1">
      <x:c r="A453" s="62"/>
      <x:c r="D453" s="62"/>
      <x:c r="F453" s="84"/>
      <x:c r="G453" s="84"/>
    </x:row>
    <x:row r="454" ht="15.75" customHeight="1">
      <x:c r="A454" s="62"/>
      <x:c r="D454" s="62"/>
      <x:c r="F454" s="84"/>
      <x:c r="G454" s="84"/>
    </x:row>
    <x:row r="455" ht="15.75" customHeight="1">
      <x:c r="A455" s="62"/>
      <x:c r="D455" s="62"/>
      <x:c r="F455" s="84"/>
      <x:c r="G455" s="84"/>
    </x:row>
    <x:row r="456" ht="15.75" customHeight="1">
      <x:c r="A456" s="62"/>
      <x:c r="D456" s="62"/>
      <x:c r="F456" s="84"/>
      <x:c r="G456" s="84"/>
    </x:row>
    <x:row r="457" ht="15.75" customHeight="1">
      <x:c r="A457" s="62"/>
      <x:c r="D457" s="62"/>
      <x:c r="F457" s="84"/>
      <x:c r="G457" s="84"/>
    </x:row>
    <x:row r="458" ht="15.75" customHeight="1">
      <x:c r="A458" s="62"/>
      <x:c r="D458" s="62"/>
      <x:c r="F458" s="84"/>
      <x:c r="G458" s="84"/>
    </x:row>
    <x:row r="459" ht="15.75" customHeight="1">
      <x:c r="A459" s="62"/>
      <x:c r="D459" s="62"/>
      <x:c r="F459" s="84"/>
      <x:c r="G459" s="84"/>
    </x:row>
    <x:row r="460" ht="15.75" customHeight="1">
      <x:c r="A460" s="62"/>
      <x:c r="D460" s="62"/>
      <x:c r="F460" s="84"/>
      <x:c r="G460" s="84"/>
    </x:row>
    <x:row r="461" ht="15.75" customHeight="1">
      <x:c r="A461" s="62"/>
      <x:c r="D461" s="62"/>
      <x:c r="F461" s="84"/>
      <x:c r="G461" s="84"/>
    </x:row>
    <x:row r="462" ht="15.75" customHeight="1">
      <x:c r="A462" s="62"/>
      <x:c r="D462" s="62"/>
      <x:c r="F462" s="84"/>
      <x:c r="G462" s="84"/>
    </x:row>
    <x:row r="463" ht="15.75" customHeight="1">
      <x:c r="A463" s="62"/>
      <x:c r="D463" s="62"/>
      <x:c r="F463" s="84"/>
      <x:c r="G463" s="84"/>
    </x:row>
    <x:row r="464" ht="15.75" customHeight="1">
      <x:c r="A464" s="62"/>
      <x:c r="D464" s="62"/>
      <x:c r="F464" s="84"/>
      <x:c r="G464" s="84"/>
    </x:row>
    <x:row r="465" ht="15.75" customHeight="1">
      <x:c r="A465" s="62"/>
      <x:c r="D465" s="62"/>
      <x:c r="F465" s="84"/>
      <x:c r="G465" s="84"/>
    </x:row>
    <x:row r="466" ht="15.75" customHeight="1">
      <x:c r="A466" s="62"/>
      <x:c r="D466" s="62"/>
      <x:c r="F466" s="84"/>
      <x:c r="G466" s="84"/>
    </x:row>
    <x:row r="467" ht="15.75" customHeight="1">
      <x:c r="A467" s="62"/>
      <x:c r="D467" s="62"/>
      <x:c r="F467" s="84"/>
      <x:c r="G467" s="84"/>
    </x:row>
    <x:row r="468" ht="15.75" customHeight="1">
      <x:c r="A468" s="62"/>
      <x:c r="D468" s="62"/>
      <x:c r="F468" s="84"/>
      <x:c r="G468" s="84"/>
    </x:row>
    <x:row r="469" ht="15.75" customHeight="1">
      <x:c r="A469" s="62"/>
      <x:c r="D469" s="62"/>
      <x:c r="F469" s="84"/>
      <x:c r="G469" s="84"/>
    </x:row>
    <x:row r="470" ht="15.75" customHeight="1">
      <x:c r="A470" s="62"/>
      <x:c r="D470" s="62"/>
      <x:c r="F470" s="84"/>
      <x:c r="G470" s="84"/>
    </x:row>
    <x:row r="471" ht="15.75" customHeight="1">
      <x:c r="A471" s="62"/>
      <x:c r="D471" s="62"/>
      <x:c r="F471" s="84"/>
      <x:c r="G471" s="84"/>
    </x:row>
    <x:row r="472" ht="15.75" customHeight="1">
      <x:c r="A472" s="62"/>
      <x:c r="D472" s="62"/>
      <x:c r="F472" s="84"/>
      <x:c r="G472" s="84"/>
    </x:row>
    <x:row r="473" ht="15.75" customHeight="1">
      <x:c r="A473" s="62"/>
      <x:c r="D473" s="62"/>
      <x:c r="F473" s="84"/>
      <x:c r="G473" s="84"/>
    </x:row>
    <x:row r="474" ht="15.75" customHeight="1">
      <x:c r="A474" s="62"/>
      <x:c r="D474" s="62"/>
      <x:c r="F474" s="84"/>
      <x:c r="G474" s="84"/>
    </x:row>
    <x:row r="475" ht="15.75" customHeight="1">
      <x:c r="A475" s="62"/>
      <x:c r="D475" s="62"/>
      <x:c r="F475" s="84"/>
      <x:c r="G475" s="84"/>
    </x:row>
    <x:row r="476" ht="15.75" customHeight="1">
      <x:c r="A476" s="62"/>
      <x:c r="D476" s="62"/>
      <x:c r="F476" s="84"/>
      <x:c r="G476" s="84"/>
    </x:row>
    <x:row r="477" ht="15.75" customHeight="1">
      <x:c r="A477" s="62"/>
      <x:c r="D477" s="62"/>
      <x:c r="F477" s="84"/>
      <x:c r="G477" s="84"/>
    </x:row>
    <x:row r="478" ht="15.75" customHeight="1">
      <x:c r="A478" s="62"/>
      <x:c r="D478" s="62"/>
      <x:c r="F478" s="84"/>
      <x:c r="G478" s="84"/>
    </x:row>
    <x:row r="479" ht="15.75" customHeight="1">
      <x:c r="A479" s="62"/>
      <x:c r="D479" s="62"/>
      <x:c r="F479" s="84"/>
      <x:c r="G479" s="84"/>
    </x:row>
    <x:row r="480" ht="15.75" customHeight="1">
      <x:c r="A480" s="62"/>
      <x:c r="D480" s="62"/>
      <x:c r="F480" s="84"/>
      <x:c r="G480" s="84"/>
    </x:row>
    <x:row r="481" ht="15.75" customHeight="1">
      <x:c r="A481" s="62"/>
      <x:c r="D481" s="62"/>
      <x:c r="F481" s="84"/>
      <x:c r="G481" s="84"/>
    </x:row>
    <x:row r="482" ht="15.75" customHeight="1">
      <x:c r="A482" s="62"/>
      <x:c r="D482" s="62"/>
      <x:c r="F482" s="84"/>
      <x:c r="G482" s="84"/>
    </x:row>
    <x:row r="483" ht="15.75" customHeight="1">
      <x:c r="A483" s="62"/>
      <x:c r="D483" s="62"/>
      <x:c r="F483" s="84"/>
      <x:c r="G483" s="84"/>
    </x:row>
    <x:row r="484" ht="15.75" customHeight="1">
      <x:c r="A484" s="62"/>
      <x:c r="D484" s="62"/>
      <x:c r="F484" s="84"/>
      <x:c r="G484" s="84"/>
    </x:row>
    <x:row r="485" ht="15.75" customHeight="1">
      <x:c r="A485" s="62"/>
      <x:c r="D485" s="62"/>
      <x:c r="F485" s="84"/>
      <x:c r="G485" s="84"/>
    </x:row>
    <x:row r="486" ht="15.75" customHeight="1">
      <x:c r="A486" s="62"/>
      <x:c r="D486" s="62"/>
      <x:c r="F486" s="84"/>
      <x:c r="G486" s="84"/>
    </x:row>
    <x:row r="487" ht="15.75" customHeight="1">
      <x:c r="A487" s="62"/>
      <x:c r="D487" s="62"/>
      <x:c r="F487" s="84"/>
      <x:c r="G487" s="84"/>
    </x:row>
    <x:row r="488" ht="15.75" customHeight="1">
      <x:c r="A488" s="62"/>
      <x:c r="D488" s="62"/>
      <x:c r="F488" s="84"/>
      <x:c r="G488" s="84"/>
    </x:row>
    <x:row r="489" ht="15.75" customHeight="1">
      <x:c r="A489" s="62"/>
      <x:c r="D489" s="62"/>
      <x:c r="F489" s="84"/>
      <x:c r="G489" s="84"/>
    </x:row>
    <x:row r="490" ht="15.75" customHeight="1">
      <x:c r="A490" s="62"/>
      <x:c r="D490" s="62"/>
      <x:c r="F490" s="84"/>
      <x:c r="G490" s="84"/>
    </x:row>
    <x:row r="491" ht="15.75" customHeight="1">
      <x:c r="A491" s="62"/>
      <x:c r="D491" s="62"/>
      <x:c r="F491" s="84"/>
      <x:c r="G491" s="84"/>
    </x:row>
    <x:row r="492" ht="15.75" customHeight="1">
      <x:c r="A492" s="62"/>
      <x:c r="D492" s="62"/>
      <x:c r="F492" s="84"/>
      <x:c r="G492" s="84"/>
    </x:row>
    <x:row r="493" ht="15.75" customHeight="1">
      <x:c r="A493" s="62"/>
      <x:c r="D493" s="62"/>
      <x:c r="F493" s="84"/>
      <x:c r="G493" s="84"/>
    </x:row>
    <x:row r="494" ht="15.75" customHeight="1">
      <x:c r="A494" s="62"/>
      <x:c r="D494" s="62"/>
      <x:c r="F494" s="84"/>
      <x:c r="G494" s="84"/>
    </x:row>
    <x:row r="495" ht="15.75" customHeight="1">
      <x:c r="A495" s="62"/>
      <x:c r="D495" s="62"/>
      <x:c r="F495" s="84"/>
      <x:c r="G495" s="84"/>
    </x:row>
    <x:row r="496" ht="15.75" customHeight="1">
      <x:c r="A496" s="62"/>
      <x:c r="D496" s="62"/>
      <x:c r="F496" s="84"/>
      <x:c r="G496" s="84"/>
    </x:row>
    <x:row r="497" ht="15.75" customHeight="1">
      <x:c r="A497" s="62"/>
      <x:c r="D497" s="62"/>
      <x:c r="F497" s="84"/>
      <x:c r="G497" s="84"/>
    </x:row>
    <x:row r="498" ht="15.75" customHeight="1">
      <x:c r="A498" s="62"/>
      <x:c r="D498" s="62"/>
      <x:c r="F498" s="84"/>
      <x:c r="G498" s="84"/>
    </x:row>
    <x:row r="499" ht="15.75" customHeight="1">
      <x:c r="A499" s="62"/>
      <x:c r="D499" s="62"/>
      <x:c r="F499" s="84"/>
      <x:c r="G499" s="84"/>
    </x:row>
    <x:row r="500" ht="15.75" customHeight="1">
      <x:c r="A500" s="62"/>
      <x:c r="D500" s="62"/>
      <x:c r="F500" s="84"/>
      <x:c r="G500" s="84"/>
    </x:row>
    <x:row r="501" ht="15.75" customHeight="1">
      <x:c r="A501" s="62"/>
      <x:c r="D501" s="62"/>
      <x:c r="F501" s="84"/>
      <x:c r="G501" s="84"/>
    </x:row>
    <x:row r="502" ht="15.75" customHeight="1">
      <x:c r="A502" s="62"/>
      <x:c r="D502" s="62"/>
      <x:c r="F502" s="84"/>
      <x:c r="G502" s="84"/>
    </x:row>
    <x:row r="503" ht="15.75" customHeight="1">
      <x:c r="A503" s="62"/>
      <x:c r="D503" s="62"/>
      <x:c r="F503" s="84"/>
      <x:c r="G503" s="84"/>
    </x:row>
    <x:row r="504" ht="15.75" customHeight="1">
      <x:c r="A504" s="62"/>
      <x:c r="D504" s="62"/>
      <x:c r="F504" s="84"/>
      <x:c r="G504" s="84"/>
    </x:row>
    <x:row r="505" ht="15.75" customHeight="1">
      <x:c r="A505" s="62"/>
      <x:c r="D505" s="62"/>
      <x:c r="F505" s="84"/>
      <x:c r="G505" s="84"/>
    </x:row>
    <x:row r="506" ht="15.75" customHeight="1">
      <x:c r="A506" s="62"/>
      <x:c r="D506" s="62"/>
      <x:c r="F506" s="84"/>
      <x:c r="G506" s="84"/>
    </x:row>
    <x:row r="507" ht="15.75" customHeight="1">
      <x:c r="A507" s="62"/>
      <x:c r="D507" s="62"/>
      <x:c r="F507" s="84"/>
      <x:c r="G507" s="84"/>
    </x:row>
    <x:row r="508" ht="15.75" customHeight="1">
      <x:c r="A508" s="62"/>
      <x:c r="D508" s="62"/>
      <x:c r="F508" s="84"/>
      <x:c r="G508" s="84"/>
    </x:row>
    <x:row r="509" ht="15.75" customHeight="1">
      <x:c r="A509" s="62"/>
      <x:c r="D509" s="62"/>
      <x:c r="F509" s="84"/>
      <x:c r="G509" s="84"/>
    </x:row>
    <x:row r="510" ht="15.75" customHeight="1">
      <x:c r="A510" s="62"/>
      <x:c r="D510" s="62"/>
      <x:c r="F510" s="84"/>
      <x:c r="G510" s="84"/>
    </x:row>
    <x:row r="511" ht="15.75" customHeight="1">
      <x:c r="A511" s="62"/>
      <x:c r="D511" s="62"/>
      <x:c r="F511" s="84"/>
      <x:c r="G511" s="84"/>
    </x:row>
    <x:row r="512" ht="15.75" customHeight="1">
      <x:c r="A512" s="62"/>
      <x:c r="D512" s="62"/>
      <x:c r="F512" s="84"/>
      <x:c r="G512" s="84"/>
    </x:row>
    <x:row r="513" ht="15.75" customHeight="1">
      <x:c r="A513" s="62"/>
      <x:c r="D513" s="62"/>
      <x:c r="F513" s="84"/>
      <x:c r="G513" s="84"/>
    </x:row>
    <x:row r="514" ht="15.75" customHeight="1">
      <x:c r="A514" s="62"/>
      <x:c r="D514" s="62"/>
      <x:c r="F514" s="84"/>
      <x:c r="G514" s="84"/>
    </x:row>
    <x:row r="515" ht="15.75" customHeight="1">
      <x:c r="A515" s="62"/>
      <x:c r="D515" s="62"/>
      <x:c r="F515" s="84"/>
      <x:c r="G515" s="84"/>
    </x:row>
    <x:row r="516" ht="15.75" customHeight="1">
      <x:c r="A516" s="62"/>
      <x:c r="D516" s="62"/>
      <x:c r="F516" s="84"/>
      <x:c r="G516" s="84"/>
    </x:row>
    <x:row r="517" ht="15.75" customHeight="1">
      <x:c r="A517" s="62"/>
      <x:c r="D517" s="62"/>
      <x:c r="F517" s="84"/>
      <x:c r="G517" s="84"/>
    </x:row>
    <x:row r="518" ht="15.75" customHeight="1">
      <x:c r="A518" s="62"/>
      <x:c r="D518" s="62"/>
      <x:c r="F518" s="84"/>
      <x:c r="G518" s="84"/>
    </x:row>
    <x:row r="519" ht="15.75" customHeight="1">
      <x:c r="A519" s="62"/>
      <x:c r="D519" s="62"/>
      <x:c r="F519" s="84"/>
      <x:c r="G519" s="84"/>
    </x:row>
    <x:row r="520" ht="15.75" customHeight="1">
      <x:c r="A520" s="62"/>
      <x:c r="D520" s="62"/>
      <x:c r="F520" s="84"/>
      <x:c r="G520" s="84"/>
    </x:row>
    <x:row r="521" ht="15.75" customHeight="1">
      <x:c r="A521" s="62"/>
      <x:c r="D521" s="62"/>
      <x:c r="F521" s="84"/>
      <x:c r="G521" s="84"/>
    </x:row>
    <x:row r="522" ht="15.75" customHeight="1">
      <x:c r="A522" s="62"/>
      <x:c r="D522" s="62"/>
      <x:c r="F522" s="84"/>
      <x:c r="G522" s="84"/>
    </x:row>
    <x:row r="523" ht="15.75" customHeight="1">
      <x:c r="A523" s="62"/>
      <x:c r="D523" s="62"/>
      <x:c r="F523" s="84"/>
      <x:c r="G523" s="84"/>
    </x:row>
    <x:row r="524" ht="15.75" customHeight="1">
      <x:c r="A524" s="62"/>
      <x:c r="D524" s="62"/>
      <x:c r="F524" s="84"/>
      <x:c r="G524" s="84"/>
    </x:row>
    <x:row r="525" ht="15.75" customHeight="1">
      <x:c r="A525" s="62"/>
      <x:c r="D525" s="62"/>
      <x:c r="F525" s="84"/>
      <x:c r="G525" s="84"/>
    </x:row>
    <x:row r="526" ht="15.75" customHeight="1">
      <x:c r="A526" s="62"/>
      <x:c r="D526" s="62"/>
      <x:c r="F526" s="84"/>
      <x:c r="G526" s="84"/>
    </x:row>
    <x:row r="527" ht="15.75" customHeight="1">
      <x:c r="A527" s="62"/>
      <x:c r="D527" s="62"/>
      <x:c r="F527" s="84"/>
      <x:c r="G527" s="84"/>
    </x:row>
    <x:row r="528" ht="15.75" customHeight="1">
      <x:c r="A528" s="62"/>
      <x:c r="D528" s="62"/>
      <x:c r="F528" s="84"/>
      <x:c r="G528" s="84"/>
    </x:row>
    <x:row r="529" ht="15.75" customHeight="1">
      <x:c r="A529" s="62"/>
      <x:c r="D529" s="62"/>
      <x:c r="F529" s="84"/>
      <x:c r="G529" s="84"/>
    </x:row>
    <x:row r="530" ht="15.75" customHeight="1">
      <x:c r="A530" s="62"/>
      <x:c r="D530" s="62"/>
      <x:c r="F530" s="84"/>
      <x:c r="G530" s="84"/>
    </x:row>
    <x:row r="531" ht="15.75" customHeight="1">
      <x:c r="A531" s="62"/>
      <x:c r="D531" s="62"/>
      <x:c r="F531" s="84"/>
      <x:c r="G531" s="84"/>
    </x:row>
    <x:row r="532" ht="15.75" customHeight="1">
      <x:c r="A532" s="62"/>
      <x:c r="D532" s="62"/>
      <x:c r="F532" s="84"/>
      <x:c r="G532" s="84"/>
    </x:row>
    <x:row r="533" ht="15.75" customHeight="1">
      <x:c r="A533" s="62"/>
      <x:c r="D533" s="62"/>
      <x:c r="F533" s="84"/>
      <x:c r="G533" s="84"/>
    </x:row>
    <x:row r="534" ht="15.75" customHeight="1">
      <x:c r="A534" s="62"/>
      <x:c r="D534" s="62"/>
      <x:c r="F534" s="84"/>
      <x:c r="G534" s="84"/>
    </x:row>
    <x:row r="535" ht="15.75" customHeight="1">
      <x:c r="A535" s="62"/>
      <x:c r="D535" s="62"/>
      <x:c r="F535" s="84"/>
      <x:c r="G535" s="84"/>
    </x:row>
    <x:row r="536" ht="15.75" customHeight="1">
      <x:c r="A536" s="62"/>
      <x:c r="D536" s="62"/>
      <x:c r="F536" s="84"/>
      <x:c r="G536" s="84"/>
    </x:row>
    <x:row r="537" ht="15.75" customHeight="1">
      <x:c r="A537" s="62"/>
      <x:c r="D537" s="62"/>
      <x:c r="F537" s="84"/>
      <x:c r="G537" s="84"/>
    </x:row>
    <x:row r="538" ht="15.75" customHeight="1">
      <x:c r="A538" s="62"/>
      <x:c r="D538" s="62"/>
      <x:c r="F538" s="84"/>
      <x:c r="G538" s="84"/>
    </x:row>
    <x:row r="539" ht="15.75" customHeight="1">
      <x:c r="A539" s="62"/>
      <x:c r="D539" s="62"/>
      <x:c r="F539" s="84"/>
      <x:c r="G539" s="84"/>
    </x:row>
    <x:row r="540" ht="15.75" customHeight="1">
      <x:c r="A540" s="62"/>
      <x:c r="D540" s="62"/>
      <x:c r="F540" s="84"/>
      <x:c r="G540" s="84"/>
    </x:row>
    <x:row r="541" ht="15.75" customHeight="1">
      <x:c r="A541" s="62"/>
      <x:c r="D541" s="62"/>
      <x:c r="F541" s="84"/>
      <x:c r="G541" s="84"/>
    </x:row>
    <x:row r="542" ht="15.75" customHeight="1">
      <x:c r="A542" s="62"/>
      <x:c r="D542" s="62"/>
      <x:c r="F542" s="84"/>
      <x:c r="G542" s="84"/>
    </x:row>
    <x:row r="543" ht="15.75" customHeight="1">
      <x:c r="A543" s="62"/>
      <x:c r="D543" s="62"/>
      <x:c r="F543" s="84"/>
      <x:c r="G543" s="84"/>
    </x:row>
    <x:row r="544" ht="15.75" customHeight="1">
      <x:c r="A544" s="62"/>
      <x:c r="D544" s="62"/>
      <x:c r="F544" s="84"/>
      <x:c r="G544" s="84"/>
    </x:row>
    <x:row r="545" ht="15.75" customHeight="1">
      <x:c r="A545" s="62"/>
      <x:c r="D545" s="62"/>
      <x:c r="F545" s="84"/>
      <x:c r="G545" s="84"/>
    </x:row>
    <x:row r="546" ht="15.75" customHeight="1">
      <x:c r="A546" s="62"/>
      <x:c r="D546" s="62"/>
      <x:c r="F546" s="84"/>
      <x:c r="G546" s="84"/>
    </x:row>
    <x:row r="547" ht="15.75" customHeight="1">
      <x:c r="A547" s="62"/>
      <x:c r="D547" s="62"/>
      <x:c r="F547" s="84"/>
      <x:c r="G547" s="84"/>
    </x:row>
    <x:row r="548" ht="15.75" customHeight="1">
      <x:c r="A548" s="62"/>
      <x:c r="D548" s="62"/>
      <x:c r="F548" s="84"/>
      <x:c r="G548" s="84"/>
    </x:row>
    <x:row r="549" ht="15.75" customHeight="1">
      <x:c r="A549" s="62"/>
      <x:c r="D549" s="62"/>
      <x:c r="F549" s="84"/>
      <x:c r="G549" s="84"/>
    </x:row>
    <x:row r="550" ht="15.75" customHeight="1">
      <x:c r="A550" s="62"/>
      <x:c r="D550" s="62"/>
      <x:c r="F550" s="84"/>
      <x:c r="G550" s="84"/>
    </x:row>
    <x:row r="551" ht="15.75" customHeight="1">
      <x:c r="A551" s="62"/>
      <x:c r="D551" s="62"/>
      <x:c r="F551" s="84"/>
      <x:c r="G551" s="84"/>
    </x:row>
    <x:row r="552" ht="15.75" customHeight="1">
      <x:c r="A552" s="62"/>
      <x:c r="D552" s="62"/>
      <x:c r="F552" s="84"/>
      <x:c r="G552" s="84"/>
    </x:row>
    <x:row r="553" ht="15.75" customHeight="1">
      <x:c r="A553" s="62"/>
      <x:c r="D553" s="62"/>
      <x:c r="F553" s="84"/>
      <x:c r="G553" s="84"/>
    </x:row>
    <x:row r="554" ht="15.75" customHeight="1">
      <x:c r="A554" s="62"/>
      <x:c r="D554" s="62"/>
      <x:c r="F554" s="84"/>
      <x:c r="G554" s="84"/>
    </x:row>
    <x:row r="555" ht="15.75" customHeight="1">
      <x:c r="A555" s="62"/>
      <x:c r="D555" s="62"/>
      <x:c r="F555" s="84"/>
      <x:c r="G555" s="84"/>
    </x:row>
    <x:row r="556" ht="15.75" customHeight="1">
      <x:c r="A556" s="62"/>
      <x:c r="D556" s="62"/>
      <x:c r="F556" s="84"/>
      <x:c r="G556" s="84"/>
    </x:row>
    <x:row r="557" ht="15.75" customHeight="1">
      <x:c r="A557" s="62"/>
      <x:c r="D557" s="62"/>
      <x:c r="F557" s="84"/>
      <x:c r="G557" s="84"/>
    </x:row>
    <x:row r="558" ht="15.75" customHeight="1">
      <x:c r="A558" s="62"/>
      <x:c r="D558" s="62"/>
      <x:c r="F558" s="84"/>
      <x:c r="G558" s="84"/>
    </x:row>
    <x:row r="559" ht="15.75" customHeight="1">
      <x:c r="A559" s="62"/>
      <x:c r="D559" s="62"/>
      <x:c r="F559" s="84"/>
      <x:c r="G559" s="84"/>
    </x:row>
    <x:row r="560" ht="15.75" customHeight="1">
      <x:c r="A560" s="62"/>
      <x:c r="D560" s="62"/>
      <x:c r="F560" s="84"/>
      <x:c r="G560" s="84"/>
    </x:row>
    <x:row r="561" ht="15.75" customHeight="1">
      <x:c r="A561" s="62"/>
      <x:c r="D561" s="62"/>
      <x:c r="F561" s="84"/>
      <x:c r="G561" s="84"/>
    </x:row>
    <x:row r="562" ht="15.75" customHeight="1">
      <x:c r="A562" s="62"/>
      <x:c r="D562" s="62"/>
      <x:c r="F562" s="84"/>
      <x:c r="G562" s="84"/>
    </x:row>
    <x:row r="563" ht="15.75" customHeight="1">
      <x:c r="A563" s="62"/>
      <x:c r="D563" s="62"/>
      <x:c r="F563" s="84"/>
      <x:c r="G563" s="84"/>
    </x:row>
    <x:row r="564" ht="15.75" customHeight="1">
      <x:c r="A564" s="62"/>
      <x:c r="D564" s="62"/>
      <x:c r="F564" s="84"/>
      <x:c r="G564" s="84"/>
    </x:row>
    <x:row r="565" ht="15.75" customHeight="1">
      <x:c r="A565" s="62"/>
      <x:c r="D565" s="62"/>
      <x:c r="F565" s="84"/>
      <x:c r="G565" s="84"/>
    </x:row>
    <x:row r="566" ht="15.75" customHeight="1">
      <x:c r="A566" s="62"/>
      <x:c r="D566" s="62"/>
      <x:c r="F566" s="84"/>
      <x:c r="G566" s="84"/>
    </x:row>
    <x:row r="567" ht="15.75" customHeight="1">
      <x:c r="A567" s="62"/>
      <x:c r="D567" s="62"/>
      <x:c r="F567" s="84"/>
      <x:c r="G567" s="84"/>
    </x:row>
    <x:row r="568" ht="15.75" customHeight="1">
      <x:c r="A568" s="62"/>
      <x:c r="D568" s="62"/>
      <x:c r="F568" s="84"/>
      <x:c r="G568" s="84"/>
    </x:row>
    <x:row r="569" ht="15.75" customHeight="1">
      <x:c r="A569" s="62"/>
      <x:c r="D569" s="62"/>
      <x:c r="F569" s="84"/>
      <x:c r="G569" s="84"/>
    </x:row>
    <x:row r="570" ht="15.75" customHeight="1">
      <x:c r="A570" s="62"/>
      <x:c r="D570" s="62"/>
      <x:c r="F570" s="84"/>
      <x:c r="G570" s="84"/>
    </x:row>
    <x:row r="571" ht="15.75" customHeight="1">
      <x:c r="A571" s="62"/>
      <x:c r="D571" s="62"/>
      <x:c r="F571" s="84"/>
      <x:c r="G571" s="84"/>
    </x:row>
    <x:row r="572" ht="15.75" customHeight="1">
      <x:c r="A572" s="62"/>
      <x:c r="D572" s="62"/>
      <x:c r="F572" s="84"/>
      <x:c r="G572" s="84"/>
    </x:row>
    <x:row r="573" ht="15.75" customHeight="1">
      <x:c r="A573" s="62"/>
      <x:c r="D573" s="62"/>
      <x:c r="F573" s="84"/>
      <x:c r="G573" s="84"/>
    </x:row>
    <x:row r="574" ht="15.75" customHeight="1">
      <x:c r="A574" s="62"/>
      <x:c r="D574" s="62"/>
      <x:c r="F574" s="84"/>
      <x:c r="G574" s="84"/>
    </x:row>
    <x:row r="575" ht="15.75" customHeight="1">
      <x:c r="A575" s="62"/>
      <x:c r="D575" s="62"/>
      <x:c r="F575" s="84"/>
      <x:c r="G575" s="84"/>
    </x:row>
    <x:row r="576" ht="15.75" customHeight="1">
      <x:c r="A576" s="62"/>
      <x:c r="D576" s="62"/>
      <x:c r="F576" s="84"/>
      <x:c r="G576" s="84"/>
    </x:row>
    <x:row r="577" ht="15.75" customHeight="1">
      <x:c r="A577" s="62"/>
      <x:c r="D577" s="62"/>
      <x:c r="F577" s="84"/>
      <x:c r="G577" s="84"/>
    </x:row>
    <x:row r="578" ht="15.75" customHeight="1">
      <x:c r="A578" s="62"/>
      <x:c r="D578" s="62"/>
      <x:c r="F578" s="84"/>
      <x:c r="G578" s="84"/>
    </x:row>
    <x:row r="579" ht="15.75" customHeight="1">
      <x:c r="A579" s="62"/>
      <x:c r="D579" s="62"/>
      <x:c r="F579" s="84"/>
      <x:c r="G579" s="84"/>
    </x:row>
    <x:row r="580" ht="15.75" customHeight="1">
      <x:c r="A580" s="62"/>
      <x:c r="D580" s="62"/>
      <x:c r="F580" s="84"/>
      <x:c r="G580" s="84"/>
    </x:row>
    <x:row r="581" ht="15.75" customHeight="1">
      <x:c r="A581" s="62"/>
      <x:c r="D581" s="62"/>
      <x:c r="F581" s="84"/>
      <x:c r="G581" s="84"/>
    </x:row>
    <x:row r="582" ht="15.75" customHeight="1">
      <x:c r="A582" s="62"/>
      <x:c r="D582" s="62"/>
      <x:c r="F582" s="84"/>
      <x:c r="G582" s="84"/>
    </x:row>
    <x:row r="583" ht="15.75" customHeight="1">
      <x:c r="A583" s="62"/>
      <x:c r="D583" s="62"/>
      <x:c r="F583" s="84"/>
      <x:c r="G583" s="84"/>
    </x:row>
    <x:row r="584" ht="15.75" customHeight="1">
      <x:c r="A584" s="62"/>
      <x:c r="D584" s="62"/>
      <x:c r="F584" s="84"/>
      <x:c r="G584" s="84"/>
    </x:row>
    <x:row r="585" ht="15.75" customHeight="1">
      <x:c r="A585" s="62"/>
      <x:c r="D585" s="62"/>
      <x:c r="F585" s="84"/>
      <x:c r="G585" s="84"/>
    </x:row>
    <x:row r="586" ht="15.75" customHeight="1">
      <x:c r="A586" s="62"/>
      <x:c r="D586" s="62"/>
      <x:c r="F586" s="84"/>
      <x:c r="G586" s="84"/>
    </x:row>
    <x:row r="587" ht="15.75" customHeight="1">
      <x:c r="A587" s="62"/>
      <x:c r="D587" s="62"/>
      <x:c r="F587" s="84"/>
      <x:c r="G587" s="84"/>
    </x:row>
    <x:row r="588" ht="15.75" customHeight="1">
      <x:c r="A588" s="62"/>
      <x:c r="D588" s="62"/>
      <x:c r="F588" s="84"/>
      <x:c r="G588" s="84"/>
    </x:row>
    <x:row r="589" ht="15.75" customHeight="1">
      <x:c r="A589" s="62"/>
      <x:c r="D589" s="62"/>
      <x:c r="F589" s="84"/>
      <x:c r="G589" s="84"/>
    </x:row>
    <x:row r="590" ht="15.75" customHeight="1">
      <x:c r="A590" s="62"/>
      <x:c r="D590" s="62"/>
      <x:c r="F590" s="84"/>
      <x:c r="G590" s="84"/>
    </x:row>
    <x:row r="591" ht="15.75" customHeight="1">
      <x:c r="A591" s="62"/>
      <x:c r="D591" s="62"/>
      <x:c r="F591" s="84"/>
      <x:c r="G591" s="84"/>
    </x:row>
    <x:row r="592" ht="15.75" customHeight="1">
      <x:c r="A592" s="62"/>
      <x:c r="D592" s="62"/>
      <x:c r="F592" s="84"/>
      <x:c r="G592" s="84"/>
    </x:row>
    <x:row r="593" ht="15.75" customHeight="1">
      <x:c r="A593" s="62"/>
      <x:c r="D593" s="62"/>
      <x:c r="F593" s="84"/>
      <x:c r="G593" s="84"/>
    </x:row>
    <x:row r="594" ht="15.75" customHeight="1">
      <x:c r="A594" s="62"/>
      <x:c r="D594" s="62"/>
      <x:c r="F594" s="84"/>
      <x:c r="G594" s="84"/>
    </x:row>
    <x:row r="595" ht="15.75" customHeight="1">
      <x:c r="A595" s="62"/>
      <x:c r="D595" s="62"/>
      <x:c r="F595" s="84"/>
      <x:c r="G595" s="84"/>
    </x:row>
    <x:row r="596" ht="15.75" customHeight="1">
      <x:c r="A596" s="62"/>
      <x:c r="D596" s="62"/>
      <x:c r="F596" s="84"/>
      <x:c r="G596" s="84"/>
    </x:row>
    <x:row r="597" ht="15.75" customHeight="1">
      <x:c r="A597" s="62"/>
      <x:c r="D597" s="62"/>
      <x:c r="F597" s="84"/>
      <x:c r="G597" s="84"/>
    </x:row>
    <x:row r="598" ht="15.75" customHeight="1">
      <x:c r="A598" s="62"/>
      <x:c r="D598" s="62"/>
      <x:c r="F598" s="84"/>
      <x:c r="G598" s="84"/>
    </x:row>
    <x:row r="599" ht="15.75" customHeight="1">
      <x:c r="A599" s="62"/>
      <x:c r="D599" s="62"/>
      <x:c r="F599" s="84"/>
      <x:c r="G599" s="84"/>
    </x:row>
    <x:row r="600" ht="15.75" customHeight="1">
      <x:c r="A600" s="62"/>
      <x:c r="D600" s="62"/>
      <x:c r="F600" s="84"/>
      <x:c r="G600" s="84"/>
    </x:row>
    <x:row r="601" ht="15.75" customHeight="1">
      <x:c r="A601" s="62"/>
      <x:c r="D601" s="62"/>
      <x:c r="F601" s="84"/>
      <x:c r="G601" s="84"/>
    </x:row>
    <x:row r="602" ht="15.75" customHeight="1">
      <x:c r="A602" s="62"/>
      <x:c r="D602" s="62"/>
      <x:c r="F602" s="84"/>
      <x:c r="G602" s="84"/>
    </x:row>
    <x:row r="603" ht="15.75" customHeight="1">
      <x:c r="A603" s="62"/>
      <x:c r="D603" s="62"/>
      <x:c r="F603" s="84"/>
      <x:c r="G603" s="84"/>
    </x:row>
    <x:row r="604" ht="15.75" customHeight="1">
      <x:c r="A604" s="62"/>
      <x:c r="D604" s="62"/>
      <x:c r="F604" s="84"/>
      <x:c r="G604" s="84"/>
    </x:row>
    <x:row r="605" ht="15.75" customHeight="1">
      <x:c r="A605" s="62"/>
      <x:c r="D605" s="62"/>
      <x:c r="F605" s="84"/>
      <x:c r="G605" s="84"/>
    </x:row>
    <x:row r="606" ht="15.75" customHeight="1">
      <x:c r="A606" s="62"/>
      <x:c r="D606" s="62"/>
      <x:c r="F606" s="84"/>
      <x:c r="G606" s="84"/>
    </x:row>
    <x:row r="607" ht="15.75" customHeight="1">
      <x:c r="A607" s="62"/>
      <x:c r="D607" s="62"/>
      <x:c r="F607" s="84"/>
      <x:c r="G607" s="84"/>
    </x:row>
    <x:row r="608" ht="15.75" customHeight="1">
      <x:c r="A608" s="62"/>
      <x:c r="D608" s="62"/>
      <x:c r="F608" s="84"/>
      <x:c r="G608" s="84"/>
    </x:row>
    <x:row r="609" ht="15.75" customHeight="1">
      <x:c r="A609" s="62"/>
      <x:c r="D609" s="62"/>
      <x:c r="F609" s="84"/>
      <x:c r="G609" s="84"/>
    </x:row>
    <x:row r="610" ht="15.75" customHeight="1">
      <x:c r="A610" s="62"/>
      <x:c r="D610" s="62"/>
      <x:c r="F610" s="84"/>
      <x:c r="G610" s="84"/>
    </x:row>
    <x:row r="611" ht="15.75" customHeight="1">
      <x:c r="A611" s="62"/>
      <x:c r="D611" s="62"/>
      <x:c r="F611" s="84"/>
      <x:c r="G611" s="84"/>
    </x:row>
    <x:row r="612" ht="15.75" customHeight="1">
      <x:c r="A612" s="62"/>
      <x:c r="D612" s="62"/>
      <x:c r="F612" s="84"/>
      <x:c r="G612" s="84"/>
    </x:row>
    <x:row r="613" ht="15.75" customHeight="1">
      <x:c r="A613" s="62"/>
      <x:c r="D613" s="62"/>
      <x:c r="F613" s="84"/>
      <x:c r="G613" s="84"/>
    </x:row>
    <x:row r="614" ht="15.75" customHeight="1">
      <x:c r="A614" s="62"/>
      <x:c r="D614" s="62"/>
      <x:c r="F614" s="84"/>
      <x:c r="G614" s="84"/>
    </x:row>
    <x:row r="615" ht="15.75" customHeight="1">
      <x:c r="A615" s="62"/>
      <x:c r="D615" s="62"/>
      <x:c r="F615" s="84"/>
      <x:c r="G615" s="84"/>
    </x:row>
    <x:row r="616" ht="15.75" customHeight="1">
      <x:c r="A616" s="62"/>
      <x:c r="D616" s="62"/>
      <x:c r="F616" s="84"/>
      <x:c r="G616" s="84"/>
    </x:row>
    <x:row r="617" ht="15.75" customHeight="1">
      <x:c r="A617" s="62"/>
      <x:c r="D617" s="62"/>
      <x:c r="F617" s="84"/>
      <x:c r="G617" s="84"/>
    </x:row>
    <x:row r="618" ht="15.75" customHeight="1">
      <x:c r="A618" s="62"/>
      <x:c r="D618" s="62"/>
      <x:c r="F618" s="84"/>
      <x:c r="G618" s="84"/>
    </x:row>
    <x:row r="619" ht="15.75" customHeight="1">
      <x:c r="A619" s="62"/>
      <x:c r="D619" s="62"/>
      <x:c r="F619" s="84"/>
      <x:c r="G619" s="84"/>
    </x:row>
    <x:row r="620" ht="15.75" customHeight="1">
      <x:c r="A620" s="62"/>
      <x:c r="D620" s="62"/>
      <x:c r="F620" s="84"/>
      <x:c r="G620" s="84"/>
    </x:row>
    <x:row r="621" ht="15.75" customHeight="1">
      <x:c r="A621" s="62"/>
      <x:c r="D621" s="62"/>
      <x:c r="F621" s="84"/>
      <x:c r="G621" s="84"/>
    </x:row>
    <x:row r="622" ht="15.75" customHeight="1">
      <x:c r="A622" s="62"/>
      <x:c r="D622" s="62"/>
      <x:c r="F622" s="84"/>
      <x:c r="G622" s="84"/>
    </x:row>
    <x:row r="623" ht="15.75" customHeight="1">
      <x:c r="A623" s="62"/>
      <x:c r="D623" s="62"/>
      <x:c r="F623" s="84"/>
      <x:c r="G623" s="84"/>
    </x:row>
    <x:row r="624" ht="15.75" customHeight="1">
      <x:c r="A624" s="62"/>
      <x:c r="D624" s="62"/>
      <x:c r="F624" s="84"/>
      <x:c r="G624" s="84"/>
    </x:row>
    <x:row r="625" ht="15.75" customHeight="1">
      <x:c r="A625" s="62"/>
      <x:c r="D625" s="62"/>
      <x:c r="F625" s="84"/>
      <x:c r="G625" s="84"/>
    </x:row>
    <x:row r="626" ht="15.75" customHeight="1">
      <x:c r="A626" s="62"/>
      <x:c r="D626" s="62"/>
      <x:c r="F626" s="84"/>
      <x:c r="G626" s="84"/>
    </x:row>
    <x:row r="627" ht="15.75" customHeight="1">
      <x:c r="A627" s="62"/>
      <x:c r="D627" s="62"/>
      <x:c r="F627" s="84"/>
      <x:c r="G627" s="84"/>
    </x:row>
    <x:row r="628" ht="15.75" customHeight="1">
      <x:c r="A628" s="62"/>
      <x:c r="D628" s="62"/>
      <x:c r="F628" s="84"/>
      <x:c r="G628" s="84"/>
    </x:row>
    <x:row r="629" ht="15.75" customHeight="1">
      <x:c r="A629" s="62"/>
      <x:c r="D629" s="62"/>
      <x:c r="F629" s="84"/>
      <x:c r="G629" s="84"/>
    </x:row>
    <x:row r="630" ht="15.75" customHeight="1">
      <x:c r="A630" s="62"/>
      <x:c r="D630" s="62"/>
      <x:c r="F630" s="84"/>
      <x:c r="G630" s="84"/>
    </x:row>
    <x:row r="631" ht="15.75" customHeight="1">
      <x:c r="A631" s="62"/>
      <x:c r="D631" s="62"/>
      <x:c r="F631" s="84"/>
      <x:c r="G631" s="84"/>
    </x:row>
    <x:row r="632" ht="15.75" customHeight="1">
      <x:c r="A632" s="62"/>
      <x:c r="D632" s="62"/>
      <x:c r="F632" s="84"/>
      <x:c r="G632" s="84"/>
    </x:row>
    <x:row r="633" ht="15.75" customHeight="1">
      <x:c r="A633" s="62"/>
      <x:c r="D633" s="62"/>
      <x:c r="F633" s="84"/>
      <x:c r="G633" s="84"/>
    </x:row>
    <x:row r="634" ht="15.75" customHeight="1">
      <x:c r="A634" s="62"/>
      <x:c r="D634" s="62"/>
      <x:c r="F634" s="84"/>
      <x:c r="G634" s="84"/>
    </x:row>
    <x:row r="635" ht="15.75" customHeight="1">
      <x:c r="A635" s="62"/>
      <x:c r="D635" s="62"/>
      <x:c r="F635" s="84"/>
      <x:c r="G635" s="84"/>
    </x:row>
    <x:row r="636" ht="15.75" customHeight="1">
      <x:c r="A636" s="62"/>
      <x:c r="D636" s="62"/>
      <x:c r="F636" s="84"/>
      <x:c r="G636" s="84"/>
    </x:row>
    <x:row r="637" ht="15.75" customHeight="1">
      <x:c r="A637" s="62"/>
      <x:c r="D637" s="62"/>
      <x:c r="F637" s="84"/>
      <x:c r="G637" s="84"/>
    </x:row>
    <x:row r="638" ht="15.75" customHeight="1">
      <x:c r="A638" s="62"/>
      <x:c r="D638" s="62"/>
      <x:c r="F638" s="84"/>
      <x:c r="G638" s="84"/>
    </x:row>
    <x:row r="639" ht="15.75" customHeight="1">
      <x:c r="A639" s="62"/>
      <x:c r="D639" s="62"/>
      <x:c r="F639" s="84"/>
      <x:c r="G639" s="84"/>
    </x:row>
    <x:row r="640" ht="15.75" customHeight="1">
      <x:c r="A640" s="62"/>
      <x:c r="D640" s="62"/>
      <x:c r="F640" s="84"/>
      <x:c r="G640" s="84"/>
    </x:row>
    <x:row r="641" ht="15.75" customHeight="1">
      <x:c r="A641" s="62"/>
      <x:c r="D641" s="62"/>
      <x:c r="F641" s="84"/>
      <x:c r="G641" s="84"/>
    </x:row>
    <x:row r="642" ht="15.75" customHeight="1">
      <x:c r="A642" s="62"/>
      <x:c r="D642" s="62"/>
      <x:c r="F642" s="84"/>
      <x:c r="G642" s="84"/>
    </x:row>
    <x:row r="643" ht="15.75" customHeight="1">
      <x:c r="A643" s="62"/>
      <x:c r="D643" s="62"/>
      <x:c r="F643" s="84"/>
      <x:c r="G643" s="84"/>
    </x:row>
    <x:row r="644" ht="15.75" customHeight="1">
      <x:c r="A644" s="62"/>
      <x:c r="D644" s="62"/>
      <x:c r="F644" s="84"/>
      <x:c r="G644" s="84"/>
    </x:row>
    <x:row r="645" ht="15.75" customHeight="1">
      <x:c r="A645" s="62"/>
      <x:c r="D645" s="62"/>
      <x:c r="F645" s="84"/>
      <x:c r="G645" s="84"/>
    </x:row>
    <x:row r="646" ht="15.75" customHeight="1">
      <x:c r="A646" s="62"/>
      <x:c r="D646" s="62"/>
      <x:c r="F646" s="84"/>
      <x:c r="G646" s="84"/>
    </x:row>
    <x:row r="647" ht="15.75" customHeight="1">
      <x:c r="A647" s="62"/>
      <x:c r="D647" s="62"/>
      <x:c r="F647" s="84"/>
      <x:c r="G647" s="84"/>
    </x:row>
    <x:row r="648" ht="15.75" customHeight="1">
      <x:c r="A648" s="62"/>
      <x:c r="D648" s="62"/>
      <x:c r="F648" s="84"/>
      <x:c r="G648" s="84"/>
    </x:row>
    <x:row r="649" ht="15.75" customHeight="1">
      <x:c r="A649" s="62"/>
      <x:c r="D649" s="62"/>
      <x:c r="F649" s="84"/>
      <x:c r="G649" s="84"/>
    </x:row>
    <x:row r="650" ht="15.75" customHeight="1">
      <x:c r="A650" s="62"/>
      <x:c r="D650" s="62"/>
      <x:c r="F650" s="84"/>
      <x:c r="G650" s="84"/>
    </x:row>
    <x:row r="651" ht="15.75" customHeight="1">
      <x:c r="A651" s="62"/>
      <x:c r="D651" s="62"/>
      <x:c r="F651" s="84"/>
      <x:c r="G651" s="84"/>
    </x:row>
    <x:row r="652" ht="15.75" customHeight="1">
      <x:c r="A652" s="62"/>
      <x:c r="D652" s="62"/>
      <x:c r="F652" s="84"/>
      <x:c r="G652" s="84"/>
    </x:row>
    <x:row r="653" ht="15.75" customHeight="1">
      <x:c r="A653" s="62"/>
      <x:c r="D653" s="62"/>
      <x:c r="F653" s="84"/>
      <x:c r="G653" s="84"/>
    </x:row>
    <x:row r="654" ht="15.75" customHeight="1">
      <x:c r="A654" s="62"/>
      <x:c r="D654" s="62"/>
      <x:c r="F654" s="84"/>
      <x:c r="G654" s="84"/>
    </x:row>
    <x:row r="655" ht="15.75" customHeight="1">
      <x:c r="A655" s="62"/>
      <x:c r="D655" s="62"/>
      <x:c r="F655" s="84"/>
      <x:c r="G655" s="84"/>
    </x:row>
    <x:row r="656" ht="15.75" customHeight="1">
      <x:c r="A656" s="62"/>
      <x:c r="D656" s="62"/>
      <x:c r="F656" s="84"/>
      <x:c r="G656" s="84"/>
    </x:row>
    <x:row r="657" ht="15.75" customHeight="1">
      <x:c r="A657" s="62"/>
      <x:c r="D657" s="62"/>
      <x:c r="F657" s="84"/>
      <x:c r="G657" s="84"/>
    </x:row>
    <x:row r="658" ht="15.75" customHeight="1">
      <x:c r="A658" s="62"/>
      <x:c r="D658" s="62"/>
      <x:c r="F658" s="84"/>
      <x:c r="G658" s="84"/>
    </x:row>
    <x:row r="659" ht="15.75" customHeight="1">
      <x:c r="A659" s="62"/>
      <x:c r="D659" s="62"/>
      <x:c r="F659" s="84"/>
      <x:c r="G659" s="84"/>
    </x:row>
    <x:row r="660" ht="15.75" customHeight="1">
      <x:c r="A660" s="62"/>
      <x:c r="D660" s="62"/>
      <x:c r="F660" s="84"/>
      <x:c r="G660" s="84"/>
    </x:row>
    <x:row r="661" ht="15.75" customHeight="1">
      <x:c r="A661" s="62"/>
      <x:c r="D661" s="62"/>
      <x:c r="F661" s="84"/>
      <x:c r="G661" s="84"/>
    </x:row>
    <x:row r="662" ht="15.75" customHeight="1">
      <x:c r="A662" s="62"/>
      <x:c r="D662" s="62"/>
      <x:c r="F662" s="84"/>
      <x:c r="G662" s="84"/>
    </x:row>
    <x:row r="663" ht="15.75" customHeight="1">
      <x:c r="A663" s="62"/>
      <x:c r="D663" s="62"/>
      <x:c r="F663" s="84"/>
      <x:c r="G663" s="84"/>
    </x:row>
    <x:row r="664" ht="15.75" customHeight="1">
      <x:c r="A664" s="62"/>
      <x:c r="D664" s="62"/>
      <x:c r="F664" s="84"/>
      <x:c r="G664" s="84"/>
    </x:row>
    <x:row r="665" ht="15.75" customHeight="1">
      <x:c r="A665" s="62"/>
      <x:c r="D665" s="62"/>
      <x:c r="F665" s="84"/>
      <x:c r="G665" s="84"/>
    </x:row>
    <x:row r="666" ht="15.75" customHeight="1">
      <x:c r="A666" s="62"/>
      <x:c r="D666" s="62"/>
      <x:c r="F666" s="84"/>
      <x:c r="G666" s="84"/>
    </x:row>
    <x:row r="667" ht="15.75" customHeight="1">
      <x:c r="A667" s="62"/>
      <x:c r="D667" s="62"/>
      <x:c r="F667" s="84"/>
      <x:c r="G667" s="84"/>
    </x:row>
    <x:row r="668" ht="15.75" customHeight="1">
      <x:c r="A668" s="62"/>
      <x:c r="D668" s="62"/>
      <x:c r="F668" s="84"/>
      <x:c r="G668" s="84"/>
    </x:row>
    <x:row r="669" ht="15.75" customHeight="1">
      <x:c r="A669" s="62"/>
      <x:c r="D669" s="62"/>
      <x:c r="F669" s="84"/>
      <x:c r="G669" s="84"/>
    </x:row>
    <x:row r="670" ht="15.75" customHeight="1">
      <x:c r="A670" s="62"/>
      <x:c r="D670" s="62"/>
      <x:c r="F670" s="84"/>
      <x:c r="G670" s="84"/>
    </x:row>
    <x:row r="671" ht="15.75" customHeight="1">
      <x:c r="A671" s="62"/>
      <x:c r="D671" s="62"/>
      <x:c r="F671" s="84"/>
      <x:c r="G671" s="84"/>
    </x:row>
    <x:row r="672" ht="15.75" customHeight="1">
      <x:c r="A672" s="62"/>
      <x:c r="D672" s="62"/>
      <x:c r="F672" s="84"/>
      <x:c r="G672" s="84"/>
    </x:row>
    <x:row r="673" ht="15.75" customHeight="1">
      <x:c r="A673" s="62"/>
      <x:c r="D673" s="62"/>
      <x:c r="F673" s="84"/>
      <x:c r="G673" s="84"/>
    </x:row>
    <x:row r="674" ht="15.75" customHeight="1">
      <x:c r="A674" s="62"/>
      <x:c r="D674" s="62"/>
      <x:c r="F674" s="84"/>
      <x:c r="G674" s="84"/>
    </x:row>
    <x:row r="675" ht="15.75" customHeight="1">
      <x:c r="A675" s="62"/>
      <x:c r="D675" s="62"/>
      <x:c r="F675" s="84"/>
      <x:c r="G675" s="84"/>
    </x:row>
    <x:row r="676" ht="15.75" customHeight="1">
      <x:c r="A676" s="62"/>
      <x:c r="D676" s="62"/>
      <x:c r="F676" s="84"/>
      <x:c r="G676" s="84"/>
    </x:row>
    <x:row r="677" ht="15.75" customHeight="1">
      <x:c r="A677" s="62"/>
      <x:c r="D677" s="62"/>
      <x:c r="F677" s="84"/>
      <x:c r="G677" s="84"/>
    </x:row>
    <x:row r="678" ht="15.75" customHeight="1">
      <x:c r="A678" s="62"/>
      <x:c r="D678" s="62"/>
      <x:c r="F678" s="84"/>
      <x:c r="G678" s="84"/>
    </x:row>
    <x:row r="679" ht="15.75" customHeight="1">
      <x:c r="A679" s="62"/>
      <x:c r="D679" s="62"/>
      <x:c r="F679" s="84"/>
      <x:c r="G679" s="84"/>
    </x:row>
    <x:row r="680" ht="15.75" customHeight="1">
      <x:c r="A680" s="62"/>
      <x:c r="D680" s="62"/>
      <x:c r="F680" s="84"/>
      <x:c r="G680" s="84"/>
    </x:row>
    <x:row r="681" ht="15.75" customHeight="1">
      <x:c r="A681" s="62"/>
      <x:c r="D681" s="62"/>
      <x:c r="F681" s="84"/>
      <x:c r="G681" s="84"/>
    </x:row>
    <x:row r="682" ht="15.75" customHeight="1">
      <x:c r="A682" s="62"/>
      <x:c r="D682" s="62"/>
      <x:c r="F682" s="84"/>
      <x:c r="G682" s="84"/>
    </x:row>
    <x:row r="683" ht="15.75" customHeight="1">
      <x:c r="A683" s="62"/>
      <x:c r="D683" s="62"/>
      <x:c r="F683" s="84"/>
      <x:c r="G683" s="84"/>
    </x:row>
    <x:row r="684" ht="15.75" customHeight="1">
      <x:c r="A684" s="62"/>
      <x:c r="D684" s="62"/>
      <x:c r="F684" s="84"/>
      <x:c r="G684" s="84"/>
    </x:row>
    <x:row r="685" ht="15.75" customHeight="1">
      <x:c r="A685" s="62"/>
      <x:c r="D685" s="62"/>
      <x:c r="F685" s="84"/>
      <x:c r="G685" s="84"/>
    </x:row>
    <x:row r="686" ht="15.75" customHeight="1">
      <x:c r="A686" s="62"/>
      <x:c r="D686" s="62"/>
      <x:c r="F686" s="84"/>
      <x:c r="G686" s="84"/>
    </x:row>
    <x:row r="687" ht="15.75" customHeight="1">
      <x:c r="A687" s="62"/>
      <x:c r="D687" s="62"/>
      <x:c r="F687" s="84"/>
      <x:c r="G687" s="84"/>
    </x:row>
    <x:row r="688" ht="15.75" customHeight="1">
      <x:c r="A688" s="62"/>
      <x:c r="D688" s="62"/>
      <x:c r="F688" s="84"/>
      <x:c r="G688" s="84"/>
    </x:row>
    <x:row r="689" ht="15.75" customHeight="1">
      <x:c r="A689" s="62"/>
      <x:c r="D689" s="62"/>
      <x:c r="F689" s="84"/>
      <x:c r="G689" s="84"/>
    </x:row>
    <x:row r="690" ht="15.75" customHeight="1">
      <x:c r="A690" s="62"/>
      <x:c r="D690" s="62"/>
      <x:c r="F690" s="84"/>
      <x:c r="G690" s="84"/>
    </x:row>
    <x:row r="691" ht="15.75" customHeight="1">
      <x:c r="A691" s="62"/>
      <x:c r="D691" s="62"/>
      <x:c r="F691" s="84"/>
      <x:c r="G691" s="84"/>
    </x:row>
    <x:row r="692" ht="15.75" customHeight="1">
      <x:c r="A692" s="62"/>
      <x:c r="D692" s="62"/>
      <x:c r="F692" s="84"/>
      <x:c r="G692" s="84"/>
    </x:row>
    <x:row r="693" ht="15.75" customHeight="1">
      <x:c r="A693" s="62"/>
      <x:c r="D693" s="62"/>
      <x:c r="F693" s="84"/>
      <x:c r="G693" s="84"/>
    </x:row>
    <x:row r="694" ht="15.75" customHeight="1">
      <x:c r="A694" s="62"/>
      <x:c r="D694" s="62"/>
      <x:c r="F694" s="84"/>
      <x:c r="G694" s="84"/>
    </x:row>
    <x:row r="695" ht="15.75" customHeight="1">
      <x:c r="A695" s="62"/>
      <x:c r="D695" s="62"/>
      <x:c r="F695" s="84"/>
      <x:c r="G695" s="84"/>
    </x:row>
    <x:row r="696" ht="15.75" customHeight="1">
      <x:c r="A696" s="62"/>
      <x:c r="D696" s="62"/>
      <x:c r="F696" s="84"/>
      <x:c r="G696" s="84"/>
    </x:row>
    <x:row r="697" ht="15.75" customHeight="1">
      <x:c r="A697" s="62"/>
      <x:c r="D697" s="62"/>
      <x:c r="F697" s="84"/>
      <x:c r="G697" s="84"/>
    </x:row>
    <x:row r="698" ht="15.75" customHeight="1">
      <x:c r="A698" s="62"/>
      <x:c r="D698" s="62"/>
      <x:c r="F698" s="84"/>
      <x:c r="G698" s="84"/>
    </x:row>
    <x:row r="699" ht="15.75" customHeight="1">
      <x:c r="A699" s="62"/>
      <x:c r="D699" s="62"/>
      <x:c r="F699" s="84"/>
      <x:c r="G699" s="84"/>
    </x:row>
    <x:row r="700" ht="15.75" customHeight="1">
      <x:c r="A700" s="62"/>
      <x:c r="D700" s="62"/>
      <x:c r="F700" s="84"/>
      <x:c r="G700" s="84"/>
    </x:row>
    <x:row r="701" ht="15.75" customHeight="1">
      <x:c r="A701" s="62"/>
      <x:c r="D701" s="62"/>
      <x:c r="F701" s="84"/>
      <x:c r="G701" s="84"/>
    </x:row>
    <x:row r="702" ht="15.75" customHeight="1">
      <x:c r="A702" s="62"/>
      <x:c r="D702" s="62"/>
      <x:c r="F702" s="84"/>
      <x:c r="G702" s="84"/>
    </x:row>
    <x:row r="703" ht="15.75" customHeight="1">
      <x:c r="A703" s="62"/>
      <x:c r="D703" s="62"/>
      <x:c r="F703" s="84"/>
      <x:c r="G703" s="84"/>
    </x:row>
    <x:row r="704" ht="15.75" customHeight="1">
      <x:c r="A704" s="62"/>
      <x:c r="D704" s="62"/>
      <x:c r="F704" s="84"/>
      <x:c r="G704" s="84"/>
    </x:row>
    <x:row r="705" ht="15.75" customHeight="1">
      <x:c r="A705" s="62"/>
      <x:c r="D705" s="62"/>
      <x:c r="F705" s="84"/>
      <x:c r="G705" s="84"/>
    </x:row>
    <x:row r="706" ht="15.75" customHeight="1">
      <x:c r="A706" s="62"/>
      <x:c r="D706" s="62"/>
      <x:c r="F706" s="84"/>
      <x:c r="G706" s="84"/>
    </x:row>
    <x:row r="707" ht="15.75" customHeight="1">
      <x:c r="A707" s="62"/>
      <x:c r="D707" s="62"/>
      <x:c r="F707" s="84"/>
      <x:c r="G707" s="84"/>
    </x:row>
    <x:row r="708" ht="15.75" customHeight="1">
      <x:c r="A708" s="62"/>
      <x:c r="D708" s="62"/>
      <x:c r="F708" s="84"/>
      <x:c r="G708" s="84"/>
    </x:row>
    <x:row r="709" ht="15.75" customHeight="1">
      <x:c r="A709" s="62"/>
      <x:c r="D709" s="62"/>
      <x:c r="F709" s="84"/>
      <x:c r="G709" s="84"/>
    </x:row>
    <x:row r="710" ht="15.75" customHeight="1">
      <x:c r="A710" s="62"/>
      <x:c r="D710" s="62"/>
      <x:c r="F710" s="84"/>
      <x:c r="G710" s="84"/>
    </x:row>
    <x:row r="711" ht="15.75" customHeight="1">
      <x:c r="A711" s="62"/>
      <x:c r="D711" s="62"/>
      <x:c r="F711" s="84"/>
      <x:c r="G711" s="84"/>
    </x:row>
    <x:row r="712" ht="15.75" customHeight="1">
      <x:c r="A712" s="62"/>
      <x:c r="D712" s="62"/>
      <x:c r="F712" s="84"/>
      <x:c r="G712" s="84"/>
    </x:row>
    <x:row r="713" ht="15.75" customHeight="1">
      <x:c r="A713" s="62"/>
      <x:c r="D713" s="62"/>
      <x:c r="F713" s="84"/>
      <x:c r="G713" s="84"/>
    </x:row>
    <x:row r="714" ht="15.75" customHeight="1">
      <x:c r="A714" s="62"/>
      <x:c r="D714" s="62"/>
      <x:c r="F714" s="84"/>
      <x:c r="G714" s="84"/>
    </x:row>
    <x:row r="715" ht="15.75" customHeight="1">
      <x:c r="A715" s="62"/>
      <x:c r="D715" s="62"/>
      <x:c r="F715" s="84"/>
      <x:c r="G715" s="84"/>
    </x:row>
    <x:row r="716" ht="15.75" customHeight="1">
      <x:c r="A716" s="62"/>
      <x:c r="D716" s="62"/>
      <x:c r="F716" s="84"/>
      <x:c r="G716" s="84"/>
    </x:row>
    <x:row r="717" ht="15.75" customHeight="1">
      <x:c r="A717" s="62"/>
      <x:c r="D717" s="62"/>
      <x:c r="F717" s="84"/>
      <x:c r="G717" s="84"/>
    </x:row>
    <x:row r="718" ht="15.75" customHeight="1">
      <x:c r="A718" s="62"/>
      <x:c r="D718" s="62"/>
      <x:c r="F718" s="84"/>
      <x:c r="G718" s="84"/>
    </x:row>
    <x:row r="719" ht="15.75" customHeight="1">
      <x:c r="A719" s="62"/>
      <x:c r="D719" s="62"/>
      <x:c r="F719" s="84"/>
      <x:c r="G719" s="84"/>
    </x:row>
    <x:row r="720" ht="15.75" customHeight="1">
      <x:c r="A720" s="62"/>
      <x:c r="D720" s="62"/>
      <x:c r="F720" s="84"/>
      <x:c r="G720" s="84"/>
    </x:row>
    <x:row r="721" ht="15.75" customHeight="1">
      <x:c r="A721" s="62"/>
      <x:c r="D721" s="62"/>
      <x:c r="F721" s="84"/>
      <x:c r="G721" s="84"/>
    </x:row>
    <x:row r="722" ht="15.75" customHeight="1">
      <x:c r="A722" s="62"/>
      <x:c r="D722" s="62"/>
      <x:c r="F722" s="84"/>
      <x:c r="G722" s="84"/>
    </x:row>
    <x:row r="723" ht="15.75" customHeight="1">
      <x:c r="A723" s="62"/>
      <x:c r="D723" s="62"/>
      <x:c r="F723" s="84"/>
      <x:c r="G723" s="84"/>
    </x:row>
    <x:row r="724" ht="15.75" customHeight="1">
      <x:c r="A724" s="62"/>
      <x:c r="D724" s="62"/>
      <x:c r="F724" s="84"/>
      <x:c r="G724" s="84"/>
    </x:row>
    <x:row r="725" ht="15.75" customHeight="1">
      <x:c r="A725" s="62"/>
      <x:c r="D725" s="62"/>
      <x:c r="F725" s="84"/>
      <x:c r="G725" s="84"/>
    </x:row>
    <x:row r="726" ht="15.75" customHeight="1">
      <x:c r="A726" s="62"/>
      <x:c r="D726" s="62"/>
      <x:c r="F726" s="84"/>
      <x:c r="G726" s="84"/>
    </x:row>
    <x:row r="727" ht="15.75" customHeight="1">
      <x:c r="A727" s="62"/>
      <x:c r="D727" s="62"/>
      <x:c r="F727" s="84"/>
      <x:c r="G727" s="84"/>
    </x:row>
    <x:row r="728" ht="15.75" customHeight="1">
      <x:c r="A728" s="62"/>
      <x:c r="D728" s="62"/>
      <x:c r="F728" s="84"/>
      <x:c r="G728" s="84"/>
    </x:row>
    <x:row r="729" ht="15.75" customHeight="1">
      <x:c r="A729" s="62"/>
      <x:c r="D729" s="62"/>
      <x:c r="F729" s="84"/>
      <x:c r="G729" s="84"/>
    </x:row>
    <x:row r="730" ht="15.75" customHeight="1">
      <x:c r="A730" s="62"/>
      <x:c r="D730" s="62"/>
      <x:c r="F730" s="84"/>
      <x:c r="G730" s="84"/>
    </x:row>
    <x:row r="731" ht="15.75" customHeight="1">
      <x:c r="A731" s="62"/>
      <x:c r="D731" s="62"/>
      <x:c r="F731" s="84"/>
      <x:c r="G731" s="84"/>
    </x:row>
    <x:row r="732" ht="15.75" customHeight="1">
      <x:c r="A732" s="62"/>
      <x:c r="D732" s="62"/>
      <x:c r="F732" s="84"/>
      <x:c r="G732" s="84"/>
    </x:row>
    <x:row r="733" ht="15.75" customHeight="1">
      <x:c r="A733" s="62"/>
      <x:c r="D733" s="62"/>
      <x:c r="F733" s="84"/>
      <x:c r="G733" s="84"/>
    </x:row>
    <x:row r="734" ht="15.75" customHeight="1">
      <x:c r="A734" s="62"/>
      <x:c r="D734" s="62"/>
      <x:c r="F734" s="84"/>
      <x:c r="G734" s="84"/>
    </x:row>
    <x:row r="735" ht="15.75" customHeight="1">
      <x:c r="A735" s="62"/>
      <x:c r="D735" s="62"/>
      <x:c r="F735" s="84"/>
      <x:c r="G735" s="84"/>
    </x:row>
    <x:row r="736" ht="15.75" customHeight="1">
      <x:c r="A736" s="62"/>
      <x:c r="D736" s="62"/>
      <x:c r="F736" s="84"/>
      <x:c r="G736" s="84"/>
    </x:row>
    <x:row r="737" ht="15.75" customHeight="1">
      <x:c r="A737" s="62"/>
      <x:c r="D737" s="62"/>
      <x:c r="F737" s="84"/>
      <x:c r="G737" s="84"/>
    </x:row>
    <x:row r="738" ht="15.75" customHeight="1">
      <x:c r="A738" s="62"/>
      <x:c r="D738" s="62"/>
      <x:c r="F738" s="84"/>
      <x:c r="G738" s="84"/>
    </x:row>
    <x:row r="739" ht="15.75" customHeight="1">
      <x:c r="A739" s="62"/>
      <x:c r="D739" s="62"/>
      <x:c r="F739" s="84"/>
      <x:c r="G739" s="84"/>
    </x:row>
    <x:row r="740" ht="15.75" customHeight="1">
      <x:c r="A740" s="62"/>
      <x:c r="D740" s="62"/>
      <x:c r="F740" s="84"/>
      <x:c r="G740" s="84"/>
    </x:row>
    <x:row r="741" ht="15.75" customHeight="1">
      <x:c r="A741" s="62"/>
      <x:c r="D741" s="62"/>
      <x:c r="F741" s="84"/>
      <x:c r="G741" s="84"/>
    </x:row>
    <x:row r="742" ht="15.75" customHeight="1">
      <x:c r="A742" s="62"/>
      <x:c r="D742" s="62"/>
      <x:c r="F742" s="84"/>
      <x:c r="G742" s="84"/>
    </x:row>
    <x:row r="743" ht="15.75" customHeight="1">
      <x:c r="A743" s="62"/>
      <x:c r="D743" s="62"/>
      <x:c r="F743" s="84"/>
      <x:c r="G743" s="84"/>
    </x:row>
    <x:row r="744" ht="15.75" customHeight="1">
      <x:c r="A744" s="62"/>
      <x:c r="D744" s="62"/>
      <x:c r="F744" s="84"/>
      <x:c r="G744" s="84"/>
    </x:row>
    <x:row r="745" ht="15.75" customHeight="1">
      <x:c r="A745" s="62"/>
      <x:c r="D745" s="62"/>
      <x:c r="F745" s="84"/>
      <x:c r="G745" s="84"/>
    </x:row>
    <x:row r="746" ht="15.75" customHeight="1">
      <x:c r="A746" s="62"/>
      <x:c r="D746" s="62"/>
      <x:c r="F746" s="84"/>
      <x:c r="G746" s="84"/>
    </x:row>
    <x:row r="747" ht="15.75" customHeight="1">
      <x:c r="A747" s="62"/>
      <x:c r="D747" s="62"/>
      <x:c r="F747" s="84"/>
      <x:c r="G747" s="84"/>
    </x:row>
    <x:row r="748" ht="15.75" customHeight="1">
      <x:c r="A748" s="62"/>
      <x:c r="D748" s="62"/>
      <x:c r="F748" s="84"/>
      <x:c r="G748" s="84"/>
    </x:row>
    <x:row r="749" ht="15.75" customHeight="1">
      <x:c r="A749" s="62"/>
      <x:c r="D749" s="62"/>
      <x:c r="F749" s="84"/>
      <x:c r="G749" s="84"/>
    </x:row>
    <x:row r="750" ht="15.75" customHeight="1">
      <x:c r="A750" s="62"/>
      <x:c r="D750" s="62"/>
      <x:c r="F750" s="84"/>
      <x:c r="G750" s="84"/>
    </x:row>
    <x:row r="751" ht="15.75" customHeight="1">
      <x:c r="A751" s="62"/>
      <x:c r="D751" s="62"/>
      <x:c r="F751" s="84"/>
      <x:c r="G751" s="84"/>
    </x:row>
    <x:row r="752" ht="15.75" customHeight="1">
      <x:c r="A752" s="62"/>
      <x:c r="D752" s="62"/>
      <x:c r="F752" s="84"/>
      <x:c r="G752" s="84"/>
    </x:row>
    <x:row r="753" ht="15.75" customHeight="1">
      <x:c r="A753" s="62"/>
      <x:c r="D753" s="62"/>
      <x:c r="F753" s="84"/>
      <x:c r="G753" s="84"/>
    </x:row>
    <x:row r="754" ht="15.75" customHeight="1">
      <x:c r="A754" s="62"/>
      <x:c r="D754" s="62"/>
      <x:c r="F754" s="84"/>
      <x:c r="G754" s="84"/>
    </x:row>
    <x:row r="755" ht="15.75" customHeight="1">
      <x:c r="A755" s="62"/>
      <x:c r="D755" s="62"/>
      <x:c r="F755" s="84"/>
      <x:c r="G755" s="84"/>
    </x:row>
    <x:row r="756" ht="15.75" customHeight="1">
      <x:c r="A756" s="62"/>
      <x:c r="D756" s="62"/>
      <x:c r="F756" s="84"/>
      <x:c r="G756" s="84"/>
    </x:row>
    <x:row r="757" ht="15.75" customHeight="1">
      <x:c r="A757" s="62"/>
      <x:c r="D757" s="62"/>
      <x:c r="F757" s="84"/>
      <x:c r="G757" s="84"/>
    </x:row>
    <x:row r="758" ht="15.75" customHeight="1">
      <x:c r="A758" s="62"/>
      <x:c r="D758" s="62"/>
      <x:c r="F758" s="84"/>
      <x:c r="G758" s="84"/>
    </x:row>
    <x:row r="759" ht="15.75" customHeight="1">
      <x:c r="A759" s="62"/>
      <x:c r="D759" s="62"/>
      <x:c r="F759" s="84"/>
      <x:c r="G759" s="84"/>
    </x:row>
    <x:row r="760" ht="15.75" customHeight="1">
      <x:c r="A760" s="62"/>
      <x:c r="D760" s="62"/>
      <x:c r="F760" s="84"/>
      <x:c r="G760" s="84"/>
    </x:row>
    <x:row r="761" ht="15.75" customHeight="1">
      <x:c r="A761" s="62"/>
      <x:c r="D761" s="62"/>
      <x:c r="F761" s="84"/>
      <x:c r="G761" s="84"/>
    </x:row>
    <x:row r="762" ht="15.75" customHeight="1">
      <x:c r="A762" s="62"/>
      <x:c r="D762" s="62"/>
      <x:c r="F762" s="84"/>
      <x:c r="G762" s="84"/>
    </x:row>
    <x:row r="763" ht="15.75" customHeight="1">
      <x:c r="A763" s="62"/>
      <x:c r="D763" s="62"/>
      <x:c r="F763" s="84"/>
      <x:c r="G763" s="84"/>
    </x:row>
    <x:row r="764" ht="15.75" customHeight="1">
      <x:c r="A764" s="62"/>
      <x:c r="D764" s="62"/>
      <x:c r="F764" s="84"/>
      <x:c r="G764" s="84"/>
    </x:row>
    <x:row r="765" ht="15.75" customHeight="1">
      <x:c r="A765" s="62"/>
      <x:c r="D765" s="62"/>
      <x:c r="F765" s="84"/>
      <x:c r="G765" s="84"/>
    </x:row>
    <x:row r="766" ht="15.75" customHeight="1">
      <x:c r="A766" s="62"/>
      <x:c r="D766" s="62"/>
      <x:c r="F766" s="84"/>
      <x:c r="G766" s="84"/>
    </x:row>
    <x:row r="767" ht="15.75" customHeight="1">
      <x:c r="A767" s="62"/>
      <x:c r="D767" s="62"/>
      <x:c r="F767" s="84"/>
      <x:c r="G767" s="84"/>
    </x:row>
    <x:row r="768" ht="15.75" customHeight="1">
      <x:c r="A768" s="62"/>
      <x:c r="D768" s="62"/>
      <x:c r="F768" s="84"/>
      <x:c r="G768" s="84"/>
    </x:row>
    <x:row r="769" ht="15.75" customHeight="1">
      <x:c r="A769" s="62"/>
      <x:c r="D769" s="62"/>
      <x:c r="F769" s="84"/>
      <x:c r="G769" s="84"/>
    </x:row>
    <x:row r="770" ht="15.75" customHeight="1">
      <x:c r="A770" s="62"/>
      <x:c r="D770" s="62"/>
      <x:c r="F770" s="84"/>
      <x:c r="G770" s="84"/>
    </x:row>
    <x:row r="771" ht="15.75" customHeight="1">
      <x:c r="A771" s="62"/>
      <x:c r="D771" s="62"/>
      <x:c r="F771" s="84"/>
      <x:c r="G771" s="84"/>
    </x:row>
    <x:row r="772" ht="15.75" customHeight="1">
      <x:c r="A772" s="62"/>
      <x:c r="D772" s="62"/>
      <x:c r="F772" s="84"/>
      <x:c r="G772" s="84"/>
    </x:row>
    <x:row r="773" ht="15.75" customHeight="1">
      <x:c r="A773" s="62"/>
      <x:c r="D773" s="62"/>
      <x:c r="F773" s="84"/>
      <x:c r="G773" s="84"/>
    </x:row>
    <x:row r="774" ht="15.75" customHeight="1">
      <x:c r="A774" s="62"/>
      <x:c r="D774" s="62"/>
      <x:c r="F774" s="84"/>
      <x:c r="G774" s="84"/>
    </x:row>
    <x:row r="775" ht="15.75" customHeight="1">
      <x:c r="A775" s="62"/>
      <x:c r="D775" s="62"/>
      <x:c r="F775" s="84"/>
      <x:c r="G775" s="84"/>
    </x:row>
    <x:row r="776" ht="15.75" customHeight="1">
      <x:c r="A776" s="62"/>
      <x:c r="D776" s="62"/>
      <x:c r="F776" s="84"/>
      <x:c r="G776" s="84"/>
    </x:row>
    <x:row r="777" ht="15.75" customHeight="1">
      <x:c r="A777" s="62"/>
      <x:c r="D777" s="62"/>
      <x:c r="F777" s="84"/>
      <x:c r="G777" s="84"/>
    </x:row>
    <x:row r="778" ht="15.75" customHeight="1">
      <x:c r="A778" s="62"/>
      <x:c r="D778" s="62"/>
      <x:c r="F778" s="84"/>
      <x:c r="G778" s="84"/>
    </x:row>
    <x:row r="779" ht="15.75" customHeight="1">
      <x:c r="A779" s="62"/>
      <x:c r="D779" s="62"/>
      <x:c r="F779" s="84"/>
      <x:c r="G779" s="84"/>
    </x:row>
    <x:row r="780" ht="15.75" customHeight="1">
      <x:c r="A780" s="62"/>
      <x:c r="D780" s="62"/>
      <x:c r="F780" s="84"/>
      <x:c r="G780" s="84"/>
    </x:row>
    <x:row r="781" ht="15.75" customHeight="1">
      <x:c r="A781" s="62"/>
      <x:c r="D781" s="62"/>
      <x:c r="F781" s="84"/>
      <x:c r="G781" s="84"/>
    </x:row>
    <x:row r="782" ht="15.75" customHeight="1">
      <x:c r="A782" s="62"/>
      <x:c r="D782" s="62"/>
      <x:c r="F782" s="84"/>
      <x:c r="G782" s="84"/>
    </x:row>
    <x:row r="783" ht="15.75" customHeight="1">
      <x:c r="A783" s="62"/>
      <x:c r="D783" s="62"/>
      <x:c r="F783" s="84"/>
      <x:c r="G783" s="84"/>
    </x:row>
    <x:row r="784" ht="15.75" customHeight="1">
      <x:c r="A784" s="62"/>
      <x:c r="D784" s="62"/>
      <x:c r="F784" s="84"/>
      <x:c r="G784" s="84"/>
    </x:row>
    <x:row r="785" ht="15.75" customHeight="1">
      <x:c r="A785" s="62"/>
      <x:c r="D785" s="62"/>
      <x:c r="F785" s="84"/>
      <x:c r="G785" s="84"/>
    </x:row>
    <x:row r="786" ht="15.75" customHeight="1">
      <x:c r="A786" s="62"/>
      <x:c r="D786" s="62"/>
      <x:c r="F786" s="84"/>
      <x:c r="G786" s="84"/>
    </x:row>
    <x:row r="787" ht="15.75" customHeight="1">
      <x:c r="A787" s="62"/>
      <x:c r="D787" s="62"/>
      <x:c r="F787" s="84"/>
      <x:c r="G787" s="84"/>
    </x:row>
    <x:row r="788" ht="15.75" customHeight="1">
      <x:c r="A788" s="62"/>
      <x:c r="D788" s="62"/>
      <x:c r="F788" s="84"/>
      <x:c r="G788" s="84"/>
    </x:row>
    <x:row r="789" ht="15.75" customHeight="1">
      <x:c r="A789" s="62"/>
      <x:c r="D789" s="62"/>
      <x:c r="F789" s="84"/>
      <x:c r="G789" s="84"/>
    </x:row>
    <x:row r="790" ht="15.75" customHeight="1">
      <x:c r="A790" s="62"/>
      <x:c r="D790" s="62"/>
      <x:c r="F790" s="84"/>
      <x:c r="G790" s="84"/>
    </x:row>
    <x:row r="791" ht="15.75" customHeight="1">
      <x:c r="A791" s="62"/>
      <x:c r="D791" s="62"/>
      <x:c r="F791" s="84"/>
      <x:c r="G791" s="84"/>
    </x:row>
    <x:row r="792" ht="15.75" customHeight="1">
      <x:c r="A792" s="62"/>
      <x:c r="D792" s="62"/>
      <x:c r="F792" s="84"/>
      <x:c r="G792" s="84"/>
    </x:row>
    <x:row r="793" ht="15.75" customHeight="1">
      <x:c r="A793" s="62"/>
      <x:c r="D793" s="62"/>
      <x:c r="F793" s="84"/>
      <x:c r="G793" s="84"/>
    </x:row>
    <x:row r="794" ht="15.75" customHeight="1">
      <x:c r="A794" s="62"/>
      <x:c r="D794" s="62"/>
      <x:c r="F794" s="84"/>
      <x:c r="G794" s="84"/>
    </x:row>
    <x:row r="795" ht="15.75" customHeight="1">
      <x:c r="A795" s="62"/>
      <x:c r="D795" s="62"/>
      <x:c r="F795" s="84"/>
      <x:c r="G795" s="84"/>
    </x:row>
    <x:row r="796" ht="15.75" customHeight="1">
      <x:c r="A796" s="62"/>
      <x:c r="D796" s="62"/>
      <x:c r="F796" s="84"/>
      <x:c r="G796" s="84"/>
    </x:row>
    <x:row r="797" ht="15.75" customHeight="1">
      <x:c r="A797" s="62"/>
      <x:c r="D797" s="62"/>
      <x:c r="F797" s="84"/>
      <x:c r="G797" s="84"/>
    </x:row>
    <x:row r="798" ht="15.75" customHeight="1">
      <x:c r="A798" s="62"/>
      <x:c r="D798" s="62"/>
      <x:c r="F798" s="84"/>
      <x:c r="G798" s="84"/>
    </x:row>
    <x:row r="799" ht="15.75" customHeight="1">
      <x:c r="A799" s="62"/>
      <x:c r="D799" s="62"/>
      <x:c r="F799" s="84"/>
      <x:c r="G799" s="84"/>
    </x:row>
    <x:row r="800" ht="15.75" customHeight="1">
      <x:c r="A800" s="62"/>
      <x:c r="D800" s="62"/>
      <x:c r="F800" s="84"/>
      <x:c r="G800" s="84"/>
    </x:row>
    <x:row r="801" ht="15.75" customHeight="1">
      <x:c r="A801" s="62"/>
      <x:c r="D801" s="62"/>
      <x:c r="F801" s="84"/>
      <x:c r="G801" s="84"/>
    </x:row>
    <x:row r="802" ht="15.75" customHeight="1">
      <x:c r="A802" s="62"/>
      <x:c r="D802" s="62"/>
      <x:c r="F802" s="84"/>
      <x:c r="G802" s="84"/>
    </x:row>
    <x:row r="803" ht="15.75" customHeight="1">
      <x:c r="A803" s="62"/>
      <x:c r="D803" s="62"/>
      <x:c r="F803" s="84"/>
      <x:c r="G803" s="84"/>
    </x:row>
    <x:row r="804" ht="15.75" customHeight="1">
      <x:c r="A804" s="62"/>
      <x:c r="D804" s="62"/>
      <x:c r="F804" s="84"/>
      <x:c r="G804" s="84"/>
    </x:row>
    <x:row r="805" ht="15.75" customHeight="1">
      <x:c r="A805" s="62"/>
      <x:c r="D805" s="62"/>
      <x:c r="F805" s="84"/>
      <x:c r="G805" s="84"/>
    </x:row>
    <x:row r="806" ht="15.75" customHeight="1">
      <x:c r="A806" s="62"/>
      <x:c r="D806" s="62"/>
      <x:c r="F806" s="84"/>
      <x:c r="G806" s="84"/>
    </x:row>
    <x:row r="807" ht="15.75" customHeight="1">
      <x:c r="A807" s="62"/>
      <x:c r="D807" s="62"/>
      <x:c r="F807" s="84"/>
      <x:c r="G807" s="84"/>
    </x:row>
    <x:row r="808" ht="15.75" customHeight="1">
      <x:c r="A808" s="62"/>
      <x:c r="D808" s="62"/>
      <x:c r="F808" s="84"/>
      <x:c r="G808" s="84"/>
    </x:row>
    <x:row r="809" ht="15.75" customHeight="1">
      <x:c r="A809" s="62"/>
      <x:c r="D809" s="62"/>
      <x:c r="F809" s="84"/>
      <x:c r="G809" s="84"/>
    </x:row>
    <x:row r="810" ht="15.75" customHeight="1">
      <x:c r="A810" s="62"/>
      <x:c r="D810" s="62"/>
      <x:c r="F810" s="84"/>
      <x:c r="G810" s="84"/>
    </x:row>
    <x:row r="811" ht="15.75" customHeight="1">
      <x:c r="A811" s="62"/>
      <x:c r="D811" s="62"/>
      <x:c r="F811" s="84"/>
      <x:c r="G811" s="84"/>
    </x:row>
    <x:row r="812" ht="15.75" customHeight="1">
      <x:c r="A812" s="62"/>
      <x:c r="D812" s="62"/>
      <x:c r="F812" s="84"/>
      <x:c r="G812" s="84"/>
    </x:row>
    <x:row r="813" ht="15.75" customHeight="1">
      <x:c r="A813" s="62"/>
      <x:c r="D813" s="62"/>
      <x:c r="F813" s="84"/>
      <x:c r="G813" s="84"/>
    </x:row>
    <x:row r="814" ht="15.75" customHeight="1">
      <x:c r="A814" s="62"/>
      <x:c r="D814" s="62"/>
      <x:c r="F814" s="84"/>
      <x:c r="G814" s="84"/>
    </x:row>
    <x:row r="815" ht="15.75" customHeight="1">
      <x:c r="A815" s="62"/>
      <x:c r="D815" s="62"/>
      <x:c r="F815" s="84"/>
      <x:c r="G815" s="84"/>
    </x:row>
    <x:row r="816" ht="15.75" customHeight="1">
      <x:c r="A816" s="62"/>
      <x:c r="D816" s="62"/>
      <x:c r="F816" s="84"/>
      <x:c r="G816" s="84"/>
    </x:row>
    <x:row r="817" ht="15.75" customHeight="1">
      <x:c r="A817" s="62"/>
      <x:c r="D817" s="62"/>
      <x:c r="F817" s="84"/>
      <x:c r="G817" s="84"/>
    </x:row>
    <x:row r="818" ht="15.75" customHeight="1">
      <x:c r="A818" s="62"/>
      <x:c r="D818" s="62"/>
      <x:c r="F818" s="84"/>
      <x:c r="G818" s="84"/>
    </x:row>
    <x:row r="819" ht="15.75" customHeight="1">
      <x:c r="A819" s="62"/>
      <x:c r="D819" s="62"/>
      <x:c r="F819" s="84"/>
      <x:c r="G819" s="84"/>
    </x:row>
    <x:row r="820" ht="15.75" customHeight="1">
      <x:c r="A820" s="62"/>
      <x:c r="D820" s="62"/>
      <x:c r="F820" s="84"/>
      <x:c r="G820" s="84"/>
    </x:row>
    <x:row r="821" ht="15.75" customHeight="1">
      <x:c r="A821" s="62"/>
      <x:c r="D821" s="62"/>
      <x:c r="F821" s="84"/>
      <x:c r="G821" s="84"/>
    </x:row>
    <x:row r="822" ht="15.75" customHeight="1">
      <x:c r="A822" s="62"/>
      <x:c r="D822" s="62"/>
      <x:c r="F822" s="84"/>
      <x:c r="G822" s="84"/>
    </x:row>
    <x:row r="823" ht="15.75" customHeight="1">
      <x:c r="A823" s="62"/>
      <x:c r="D823" s="62"/>
      <x:c r="F823" s="84"/>
      <x:c r="G823" s="84"/>
    </x:row>
    <x:row r="824" ht="15.75" customHeight="1">
      <x:c r="A824" s="62"/>
      <x:c r="D824" s="62"/>
      <x:c r="F824" s="84"/>
      <x:c r="G824" s="84"/>
    </x:row>
    <x:row r="825" ht="15.75" customHeight="1">
      <x:c r="A825" s="62"/>
      <x:c r="D825" s="62"/>
      <x:c r="F825" s="84"/>
      <x:c r="G825" s="84"/>
    </x:row>
    <x:row r="826" ht="15.75" customHeight="1">
      <x:c r="A826" s="62"/>
      <x:c r="D826" s="62"/>
      <x:c r="F826" s="84"/>
      <x:c r="G826" s="84"/>
    </x:row>
    <x:row r="827" ht="15.75" customHeight="1">
      <x:c r="A827" s="62"/>
      <x:c r="D827" s="62"/>
      <x:c r="F827" s="84"/>
      <x:c r="G827" s="84"/>
    </x:row>
    <x:row r="828" ht="15.75" customHeight="1">
      <x:c r="A828" s="62"/>
      <x:c r="D828" s="62"/>
      <x:c r="F828" s="84"/>
      <x:c r="G828" s="84"/>
    </x:row>
    <x:row r="829" ht="15.75" customHeight="1">
      <x:c r="A829" s="62"/>
      <x:c r="D829" s="62"/>
      <x:c r="F829" s="84"/>
      <x:c r="G829" s="84"/>
    </x:row>
    <x:row r="830" ht="15.75" customHeight="1">
      <x:c r="A830" s="62"/>
      <x:c r="D830" s="62"/>
      <x:c r="F830" s="84"/>
      <x:c r="G830" s="84"/>
    </x:row>
    <x:row r="831" ht="15.75" customHeight="1">
      <x:c r="A831" s="62"/>
      <x:c r="D831" s="62"/>
      <x:c r="F831" s="84"/>
      <x:c r="G831" s="84"/>
    </x:row>
    <x:row r="832" ht="15.75" customHeight="1">
      <x:c r="A832" s="62"/>
      <x:c r="D832" s="62"/>
      <x:c r="F832" s="84"/>
      <x:c r="G832" s="84"/>
    </x:row>
    <x:row r="833" ht="15.75" customHeight="1">
      <x:c r="A833" s="62"/>
      <x:c r="D833" s="62"/>
      <x:c r="F833" s="84"/>
      <x:c r="G833" s="84"/>
    </x:row>
    <x:row r="834" ht="15.75" customHeight="1">
      <x:c r="A834" s="62"/>
      <x:c r="D834" s="62"/>
      <x:c r="F834" s="84"/>
      <x:c r="G834" s="84"/>
    </x:row>
    <x:row r="835" ht="15.75" customHeight="1">
      <x:c r="A835" s="62"/>
      <x:c r="D835" s="62"/>
      <x:c r="F835" s="84"/>
      <x:c r="G835" s="84"/>
    </x:row>
    <x:row r="836" ht="15.75" customHeight="1">
      <x:c r="A836" s="62"/>
      <x:c r="D836" s="62"/>
      <x:c r="F836" s="84"/>
      <x:c r="G836" s="84"/>
    </x:row>
    <x:row r="837" ht="15.75" customHeight="1">
      <x:c r="A837" s="62"/>
      <x:c r="D837" s="62"/>
      <x:c r="F837" s="84"/>
      <x:c r="G837" s="84"/>
    </x:row>
    <x:row r="838" ht="15.75" customHeight="1">
      <x:c r="A838" s="62"/>
      <x:c r="D838" s="62"/>
      <x:c r="F838" s="84"/>
      <x:c r="G838" s="84"/>
    </x:row>
    <x:row r="839" ht="15.75" customHeight="1">
      <x:c r="A839" s="62"/>
      <x:c r="D839" s="62"/>
      <x:c r="F839" s="84"/>
      <x:c r="G839" s="84"/>
    </x:row>
    <x:row r="840" ht="15.75" customHeight="1">
      <x:c r="A840" s="62"/>
      <x:c r="D840" s="62"/>
      <x:c r="F840" s="84"/>
      <x:c r="G840" s="84"/>
    </x:row>
    <x:row r="841" ht="15.75" customHeight="1">
      <x:c r="A841" s="62"/>
      <x:c r="D841" s="62"/>
      <x:c r="F841" s="84"/>
      <x:c r="G841" s="84"/>
    </x:row>
    <x:row r="842" ht="15.75" customHeight="1">
      <x:c r="A842" s="62"/>
      <x:c r="D842" s="62"/>
      <x:c r="F842" s="84"/>
      <x:c r="G842" s="84"/>
    </x:row>
    <x:row r="843" ht="15.75" customHeight="1">
      <x:c r="A843" s="62"/>
      <x:c r="D843" s="62"/>
      <x:c r="F843" s="84"/>
      <x:c r="G843" s="84"/>
    </x:row>
    <x:row r="844" ht="15.75" customHeight="1">
      <x:c r="A844" s="62"/>
      <x:c r="D844" s="62"/>
      <x:c r="F844" s="84"/>
      <x:c r="G844" s="84"/>
    </x:row>
    <x:row r="845" ht="15.75" customHeight="1">
      <x:c r="A845" s="62"/>
      <x:c r="D845" s="62"/>
      <x:c r="F845" s="84"/>
      <x:c r="G845" s="84"/>
    </x:row>
    <x:row r="846" ht="15.75" customHeight="1">
      <x:c r="A846" s="62"/>
      <x:c r="D846" s="62"/>
      <x:c r="F846" s="84"/>
      <x:c r="G846" s="84"/>
    </x:row>
    <x:row r="847" ht="15.75" customHeight="1">
      <x:c r="A847" s="62"/>
      <x:c r="D847" s="62"/>
      <x:c r="F847" s="84"/>
      <x:c r="G847" s="84"/>
    </x:row>
    <x:row r="848" ht="15.75" customHeight="1">
      <x:c r="A848" s="62"/>
      <x:c r="D848" s="62"/>
      <x:c r="F848" s="84"/>
      <x:c r="G848" s="84"/>
    </x:row>
    <x:row r="849" ht="15.75" customHeight="1">
      <x:c r="A849" s="62"/>
      <x:c r="D849" s="62"/>
      <x:c r="F849" s="84"/>
      <x:c r="G849" s="84"/>
    </x:row>
    <x:row r="850" ht="15.75" customHeight="1">
      <x:c r="A850" s="62"/>
      <x:c r="D850" s="62"/>
      <x:c r="F850" s="84"/>
      <x:c r="G850" s="84"/>
    </x:row>
    <x:row r="851" ht="15.75" customHeight="1">
      <x:c r="A851" s="62"/>
      <x:c r="D851" s="62"/>
      <x:c r="F851" s="84"/>
      <x:c r="G851" s="84"/>
    </x:row>
    <x:row r="852" ht="15.75" customHeight="1">
      <x:c r="A852" s="62"/>
      <x:c r="D852" s="62"/>
      <x:c r="F852" s="84"/>
      <x:c r="G852" s="84"/>
    </x:row>
    <x:row r="853" ht="15.75" customHeight="1">
      <x:c r="A853" s="62"/>
      <x:c r="D853" s="62"/>
      <x:c r="F853" s="84"/>
      <x:c r="G853" s="84"/>
    </x:row>
    <x:row r="854" ht="15.75" customHeight="1">
      <x:c r="A854" s="62"/>
      <x:c r="D854" s="62"/>
      <x:c r="F854" s="84"/>
      <x:c r="G854" s="84"/>
    </x:row>
    <x:row r="855" ht="15.75" customHeight="1">
      <x:c r="A855" s="62"/>
      <x:c r="D855" s="62"/>
      <x:c r="F855" s="84"/>
      <x:c r="G855" s="84"/>
    </x:row>
    <x:row r="856" ht="15.75" customHeight="1">
      <x:c r="A856" s="62"/>
      <x:c r="D856" s="62"/>
      <x:c r="F856" s="84"/>
      <x:c r="G856" s="84"/>
    </x:row>
    <x:row r="857" ht="15.75" customHeight="1">
      <x:c r="A857" s="62"/>
      <x:c r="D857" s="62"/>
      <x:c r="F857" s="84"/>
      <x:c r="G857" s="84"/>
    </x:row>
    <x:row r="858" ht="15.75" customHeight="1">
      <x:c r="A858" s="62"/>
      <x:c r="D858" s="62"/>
      <x:c r="F858" s="84"/>
      <x:c r="G858" s="84"/>
    </x:row>
    <x:row r="859" ht="15.75" customHeight="1">
      <x:c r="A859" s="62"/>
      <x:c r="D859" s="62"/>
      <x:c r="F859" s="84"/>
      <x:c r="G859" s="84"/>
    </x:row>
    <x:row r="860" ht="15.75" customHeight="1">
      <x:c r="A860" s="62"/>
      <x:c r="D860" s="62"/>
      <x:c r="F860" s="84"/>
      <x:c r="G860" s="84"/>
    </x:row>
    <x:row r="861" ht="15.75" customHeight="1">
      <x:c r="A861" s="62"/>
      <x:c r="D861" s="62"/>
      <x:c r="F861" s="84"/>
      <x:c r="G861" s="84"/>
    </x:row>
    <x:row r="862" ht="15.75" customHeight="1">
      <x:c r="A862" s="62"/>
      <x:c r="D862" s="62"/>
      <x:c r="F862" s="84"/>
      <x:c r="G862" s="84"/>
    </x:row>
    <x:row r="863" ht="15.75" customHeight="1">
      <x:c r="A863" s="62"/>
      <x:c r="D863" s="62"/>
      <x:c r="F863" s="84"/>
      <x:c r="G863" s="84"/>
    </x:row>
    <x:row r="864" ht="15.75" customHeight="1">
      <x:c r="A864" s="62"/>
      <x:c r="D864" s="62"/>
      <x:c r="F864" s="84"/>
      <x:c r="G864" s="84"/>
    </x:row>
    <x:row r="865" ht="15.75" customHeight="1">
      <x:c r="A865" s="62"/>
      <x:c r="D865" s="62"/>
      <x:c r="F865" s="84"/>
      <x:c r="G865" s="84"/>
    </x:row>
    <x:row r="866" ht="15.75" customHeight="1">
      <x:c r="A866" s="62"/>
      <x:c r="D866" s="62"/>
      <x:c r="F866" s="84"/>
      <x:c r="G866" s="84"/>
    </x:row>
    <x:row r="867" ht="15.75" customHeight="1">
      <x:c r="A867" s="62"/>
      <x:c r="D867" s="62"/>
      <x:c r="F867" s="84"/>
      <x:c r="G867" s="84"/>
    </x:row>
    <x:row r="868" ht="15.75" customHeight="1">
      <x:c r="A868" s="62"/>
      <x:c r="D868" s="62"/>
      <x:c r="F868" s="84"/>
      <x:c r="G868" s="84"/>
    </x:row>
    <x:row r="869" ht="15.75" customHeight="1">
      <x:c r="A869" s="62"/>
      <x:c r="D869" s="62"/>
      <x:c r="F869" s="84"/>
      <x:c r="G869" s="84"/>
    </x:row>
    <x:row r="870" ht="15.75" customHeight="1">
      <x:c r="A870" s="62"/>
      <x:c r="D870" s="62"/>
      <x:c r="F870" s="84"/>
      <x:c r="G870" s="84"/>
    </x:row>
    <x:row r="871" ht="15.75" customHeight="1">
      <x:c r="A871" s="62"/>
      <x:c r="D871" s="62"/>
      <x:c r="F871" s="84"/>
      <x:c r="G871" s="84"/>
    </x:row>
    <x:row r="872" ht="15.75" customHeight="1">
      <x:c r="A872" s="62"/>
      <x:c r="D872" s="62"/>
      <x:c r="F872" s="84"/>
      <x:c r="G872" s="84"/>
    </x:row>
    <x:row r="873" ht="15.75" customHeight="1">
      <x:c r="A873" s="62"/>
      <x:c r="D873" s="62"/>
      <x:c r="F873" s="84"/>
      <x:c r="G873" s="84"/>
    </x:row>
    <x:row r="874" ht="15.75" customHeight="1">
      <x:c r="A874" s="62"/>
      <x:c r="D874" s="62"/>
      <x:c r="F874" s="84"/>
      <x:c r="G874" s="84"/>
    </x:row>
    <x:row r="875" ht="15.75" customHeight="1">
      <x:c r="A875" s="62"/>
      <x:c r="D875" s="62"/>
      <x:c r="F875" s="84"/>
      <x:c r="G875" s="84"/>
    </x:row>
    <x:row r="876" ht="15.75" customHeight="1">
      <x:c r="A876" s="62"/>
      <x:c r="D876" s="62"/>
      <x:c r="F876" s="84"/>
      <x:c r="G876" s="84"/>
    </x:row>
    <x:row r="877" ht="15.75" customHeight="1">
      <x:c r="A877" s="62"/>
      <x:c r="D877" s="62"/>
      <x:c r="F877" s="84"/>
      <x:c r="G877" s="84"/>
    </x:row>
    <x:row r="878" ht="15.75" customHeight="1">
      <x:c r="A878" s="62"/>
      <x:c r="D878" s="62"/>
      <x:c r="F878" s="84"/>
      <x:c r="G878" s="84"/>
    </x:row>
    <x:row r="879" ht="15.75" customHeight="1">
      <x:c r="A879" s="62"/>
      <x:c r="D879" s="62"/>
      <x:c r="F879" s="84"/>
      <x:c r="G879" s="84"/>
    </x:row>
    <x:row r="880" ht="15.75" customHeight="1">
      <x:c r="A880" s="62"/>
      <x:c r="D880" s="62"/>
      <x:c r="F880" s="84"/>
      <x:c r="G880" s="84"/>
    </x:row>
    <x:row r="881" ht="15.75" customHeight="1">
      <x:c r="A881" s="62"/>
      <x:c r="D881" s="62"/>
      <x:c r="F881" s="84"/>
      <x:c r="G881" s="84"/>
    </x:row>
    <x:row r="882" ht="15.75" customHeight="1">
      <x:c r="A882" s="62"/>
      <x:c r="D882" s="62"/>
      <x:c r="F882" s="84"/>
      <x:c r="G882" s="84"/>
    </x:row>
    <x:row r="883" ht="15.75" customHeight="1">
      <x:c r="A883" s="62"/>
      <x:c r="D883" s="62"/>
      <x:c r="F883" s="84"/>
      <x:c r="G883" s="84"/>
    </x:row>
    <x:row r="884" ht="15.75" customHeight="1">
      <x:c r="A884" s="62"/>
      <x:c r="D884" s="62"/>
      <x:c r="F884" s="84"/>
      <x:c r="G884" s="84"/>
    </x:row>
    <x:row r="885" ht="15.75" customHeight="1">
      <x:c r="A885" s="62"/>
      <x:c r="D885" s="62"/>
      <x:c r="F885" s="84"/>
      <x:c r="G885" s="84"/>
    </x:row>
    <x:row r="886" ht="15.75" customHeight="1">
      <x:c r="A886" s="62"/>
      <x:c r="D886" s="62"/>
      <x:c r="F886" s="84"/>
      <x:c r="G886" s="84"/>
    </x:row>
    <x:row r="887" ht="15.75" customHeight="1">
      <x:c r="A887" s="62"/>
      <x:c r="D887" s="62"/>
      <x:c r="F887" s="84"/>
      <x:c r="G887" s="84"/>
    </x:row>
    <x:row r="888" ht="15.75" customHeight="1">
      <x:c r="A888" s="62"/>
      <x:c r="D888" s="62"/>
      <x:c r="F888" s="84"/>
      <x:c r="G888" s="84"/>
    </x:row>
    <x:row r="889" ht="15.75" customHeight="1">
      <x:c r="A889" s="62"/>
      <x:c r="D889" s="62"/>
      <x:c r="F889" s="84"/>
      <x:c r="G889" s="84"/>
    </x:row>
    <x:row r="890" ht="15.75" customHeight="1">
      <x:c r="A890" s="62"/>
      <x:c r="D890" s="62"/>
      <x:c r="F890" s="84"/>
      <x:c r="G890" s="84"/>
    </x:row>
    <x:row r="891" ht="15.75" customHeight="1">
      <x:c r="A891" s="62"/>
      <x:c r="D891" s="62"/>
      <x:c r="F891" s="84"/>
      <x:c r="G891" s="84"/>
    </x:row>
    <x:row r="892" ht="15.75" customHeight="1">
      <x:c r="A892" s="62"/>
      <x:c r="D892" s="62"/>
      <x:c r="F892" s="84"/>
      <x:c r="G892" s="84"/>
    </x:row>
    <x:row r="893" ht="15.75" customHeight="1">
      <x:c r="A893" s="62"/>
      <x:c r="D893" s="62"/>
      <x:c r="F893" s="84"/>
      <x:c r="G893" s="84"/>
    </x:row>
    <x:row r="894" ht="15.75" customHeight="1">
      <x:c r="A894" s="62"/>
      <x:c r="D894" s="62"/>
      <x:c r="F894" s="84"/>
      <x:c r="G894" s="84"/>
    </x:row>
    <x:row r="895" ht="15.75" customHeight="1">
      <x:c r="A895" s="62"/>
      <x:c r="D895" s="62"/>
      <x:c r="F895" s="84"/>
      <x:c r="G895" s="84"/>
    </x:row>
    <x:row r="896" ht="15.75" customHeight="1">
      <x:c r="A896" s="62"/>
      <x:c r="D896" s="62"/>
      <x:c r="F896" s="84"/>
      <x:c r="G896" s="84"/>
    </x:row>
    <x:row r="897" ht="15.75" customHeight="1">
      <x:c r="A897" s="62"/>
      <x:c r="D897" s="62"/>
      <x:c r="F897" s="84"/>
      <x:c r="G897" s="84"/>
    </x:row>
    <x:row r="898" ht="15.75" customHeight="1">
      <x:c r="A898" s="62"/>
      <x:c r="D898" s="62"/>
      <x:c r="F898" s="84"/>
      <x:c r="G898" s="84"/>
    </x:row>
    <x:row r="899" ht="15.75" customHeight="1">
      <x:c r="A899" s="62"/>
      <x:c r="D899" s="62"/>
      <x:c r="F899" s="84"/>
      <x:c r="G899" s="84"/>
    </x:row>
    <x:row r="900" ht="15.75" customHeight="1">
      <x:c r="A900" s="62"/>
      <x:c r="D900" s="62"/>
      <x:c r="F900" s="84"/>
      <x:c r="G900" s="84"/>
    </x:row>
    <x:row r="901" ht="15.75" customHeight="1">
      <x:c r="A901" s="62"/>
      <x:c r="D901" s="62"/>
      <x:c r="F901" s="84"/>
      <x:c r="G901" s="84"/>
    </x:row>
    <x:row r="902" ht="15.75" customHeight="1">
      <x:c r="A902" s="62"/>
      <x:c r="D902" s="62"/>
      <x:c r="F902" s="84"/>
      <x:c r="G902" s="84"/>
    </x:row>
    <x:row r="903" ht="15.75" customHeight="1">
      <x:c r="A903" s="62"/>
      <x:c r="D903" s="62"/>
      <x:c r="F903" s="84"/>
      <x:c r="G903" s="84"/>
    </x:row>
    <x:row r="904" ht="15.75" customHeight="1">
      <x:c r="A904" s="62"/>
      <x:c r="D904" s="62"/>
      <x:c r="F904" s="84"/>
      <x:c r="G904" s="84"/>
    </x:row>
    <x:row r="905" ht="15.75" customHeight="1">
      <x:c r="A905" s="62"/>
      <x:c r="D905" s="62"/>
      <x:c r="F905" s="84"/>
      <x:c r="G905" s="84"/>
    </x:row>
    <x:row r="906" ht="15.75" customHeight="1">
      <x:c r="A906" s="62"/>
      <x:c r="D906" s="62"/>
      <x:c r="F906" s="84"/>
      <x:c r="G906" s="84"/>
    </x:row>
    <x:row r="907" ht="15.75" customHeight="1">
      <x:c r="A907" s="62"/>
      <x:c r="D907" s="62"/>
      <x:c r="F907" s="84"/>
      <x:c r="G907" s="84"/>
    </x:row>
    <x:row r="908" ht="15.75" customHeight="1">
      <x:c r="A908" s="62"/>
      <x:c r="D908" s="62"/>
      <x:c r="F908" s="84"/>
      <x:c r="G908" s="84"/>
    </x:row>
    <x:row r="909" ht="15.75" customHeight="1">
      <x:c r="A909" s="62"/>
      <x:c r="D909" s="62"/>
      <x:c r="F909" s="84"/>
      <x:c r="G909" s="84"/>
    </x:row>
    <x:row r="910" ht="15.75" customHeight="1">
      <x:c r="A910" s="62"/>
      <x:c r="D910" s="62"/>
      <x:c r="F910" s="84"/>
      <x:c r="G910" s="84"/>
    </x:row>
    <x:row r="911" ht="15.75" customHeight="1">
      <x:c r="A911" s="62"/>
      <x:c r="D911" s="62"/>
      <x:c r="F911" s="84"/>
      <x:c r="G911" s="84"/>
    </x:row>
    <x:row r="912" ht="15.75" customHeight="1">
      <x:c r="A912" s="62"/>
      <x:c r="D912" s="62"/>
      <x:c r="F912" s="84"/>
      <x:c r="G912" s="84"/>
    </x:row>
    <x:row r="913" ht="15.75" customHeight="1">
      <x:c r="A913" s="62"/>
      <x:c r="D913" s="62"/>
      <x:c r="F913" s="84"/>
      <x:c r="G913" s="84"/>
    </x:row>
    <x:row r="914" ht="15.75" customHeight="1">
      <x:c r="A914" s="62"/>
      <x:c r="D914" s="62"/>
      <x:c r="F914" s="84"/>
      <x:c r="G914" s="84"/>
    </x:row>
    <x:row r="915" ht="15.75" customHeight="1">
      <x:c r="A915" s="62"/>
      <x:c r="D915" s="62"/>
      <x:c r="F915" s="84"/>
      <x:c r="G915" s="84"/>
    </x:row>
    <x:row r="916" ht="15.75" customHeight="1">
      <x:c r="A916" s="62"/>
      <x:c r="D916" s="62"/>
      <x:c r="F916" s="84"/>
      <x:c r="G916" s="84"/>
    </x:row>
    <x:row r="917" ht="15.75" customHeight="1">
      <x:c r="A917" s="62"/>
      <x:c r="D917" s="62"/>
      <x:c r="F917" s="84"/>
      <x:c r="G917" s="84"/>
    </x:row>
    <x:row r="918" ht="15.75" customHeight="1">
      <x:c r="A918" s="62"/>
      <x:c r="D918" s="62"/>
      <x:c r="F918" s="84"/>
      <x:c r="G918" s="84"/>
    </x:row>
    <x:row r="919" ht="15.75" customHeight="1">
      <x:c r="A919" s="62"/>
      <x:c r="D919" s="62"/>
      <x:c r="F919" s="84"/>
      <x:c r="G919" s="84"/>
    </x:row>
    <x:row r="920" ht="15.75" customHeight="1">
      <x:c r="A920" s="62"/>
      <x:c r="D920" s="62"/>
      <x:c r="F920" s="84"/>
      <x:c r="G920" s="84"/>
    </x:row>
    <x:row r="921" ht="15.75" customHeight="1">
      <x:c r="A921" s="62"/>
      <x:c r="D921" s="62"/>
      <x:c r="F921" s="84"/>
      <x:c r="G921" s="84"/>
    </x:row>
    <x:row r="922" ht="15.75" customHeight="1">
      <x:c r="A922" s="62"/>
      <x:c r="D922" s="62"/>
      <x:c r="F922" s="84"/>
      <x:c r="G922" s="84"/>
    </x:row>
    <x:row r="923" ht="15.75" customHeight="1">
      <x:c r="A923" s="62"/>
      <x:c r="D923" s="62"/>
      <x:c r="F923" s="84"/>
      <x:c r="G923" s="84"/>
    </x:row>
    <x:row r="924" ht="15.75" customHeight="1">
      <x:c r="A924" s="62"/>
      <x:c r="D924" s="62"/>
      <x:c r="F924" s="84"/>
      <x:c r="G924" s="84"/>
    </x:row>
    <x:row r="925" ht="15.75" customHeight="1">
      <x:c r="A925" s="62"/>
      <x:c r="D925" s="62"/>
      <x:c r="F925" s="84"/>
      <x:c r="G925" s="84"/>
    </x:row>
    <x:row r="926" ht="15.75" customHeight="1">
      <x:c r="A926" s="62"/>
      <x:c r="D926" s="62"/>
      <x:c r="F926" s="84"/>
      <x:c r="G926" s="84"/>
    </x:row>
    <x:row r="927" ht="15.75" customHeight="1">
      <x:c r="A927" s="62"/>
      <x:c r="D927" s="62"/>
      <x:c r="F927" s="84"/>
      <x:c r="G927" s="84"/>
    </x:row>
    <x:row r="928" ht="15.75" customHeight="1">
      <x:c r="A928" s="62"/>
      <x:c r="D928" s="62"/>
      <x:c r="F928" s="84"/>
      <x:c r="G928" s="84"/>
    </x:row>
    <x:row r="929" ht="15.75" customHeight="1">
      <x:c r="A929" s="62"/>
      <x:c r="D929" s="62"/>
      <x:c r="F929" s="84"/>
      <x:c r="G929" s="84"/>
    </x:row>
    <x:row r="930" ht="15.75" customHeight="1">
      <x:c r="A930" s="62"/>
      <x:c r="D930" s="62"/>
      <x:c r="F930" s="84"/>
      <x:c r="G930" s="84"/>
    </x:row>
    <x:row r="931" ht="15.75" customHeight="1">
      <x:c r="A931" s="62"/>
      <x:c r="D931" s="62"/>
      <x:c r="F931" s="84"/>
      <x:c r="G931" s="84"/>
    </x:row>
    <x:row r="932" ht="15.75" customHeight="1">
      <x:c r="A932" s="62"/>
      <x:c r="D932" s="62"/>
      <x:c r="F932" s="84"/>
      <x:c r="G932" s="84"/>
    </x:row>
    <x:row r="933" ht="15.75" customHeight="1">
      <x:c r="A933" s="62"/>
      <x:c r="D933" s="62"/>
      <x:c r="F933" s="84"/>
      <x:c r="G933" s="84"/>
    </x:row>
    <x:row r="934" ht="15.75" customHeight="1">
      <x:c r="A934" s="62"/>
      <x:c r="D934" s="62"/>
      <x:c r="F934" s="84"/>
      <x:c r="G934" s="84"/>
    </x:row>
    <x:row r="935" ht="15.75" customHeight="1">
      <x:c r="A935" s="62"/>
      <x:c r="D935" s="62"/>
      <x:c r="F935" s="84"/>
      <x:c r="G935" s="84"/>
    </x:row>
    <x:row r="936" ht="15.75" customHeight="1">
      <x:c r="A936" s="62"/>
      <x:c r="D936" s="62"/>
      <x:c r="F936" s="84"/>
      <x:c r="G936" s="84"/>
    </x:row>
    <x:row r="937" ht="15.75" customHeight="1">
      <x:c r="A937" s="62"/>
      <x:c r="D937" s="62"/>
      <x:c r="F937" s="84"/>
      <x:c r="G937" s="84"/>
    </x:row>
    <x:row r="938" ht="15.75" customHeight="1">
      <x:c r="A938" s="62"/>
      <x:c r="D938" s="62"/>
      <x:c r="F938" s="84"/>
      <x:c r="G938" s="84"/>
    </x:row>
    <x:row r="939" ht="15.75" customHeight="1">
      <x:c r="A939" s="62"/>
      <x:c r="D939" s="62"/>
      <x:c r="F939" s="84"/>
      <x:c r="G939" s="84"/>
    </x:row>
    <x:row r="940" ht="15.75" customHeight="1">
      <x:c r="A940" s="62"/>
      <x:c r="D940" s="62"/>
      <x:c r="F940" s="84"/>
      <x:c r="G940" s="84"/>
    </x:row>
    <x:row r="941" ht="15.75" customHeight="1">
      <x:c r="A941" s="62"/>
      <x:c r="D941" s="62"/>
      <x:c r="F941" s="84"/>
      <x:c r="G941" s="84"/>
    </x:row>
    <x:row r="942" ht="15.75" customHeight="1">
      <x:c r="A942" s="62"/>
      <x:c r="D942" s="62"/>
      <x:c r="F942" s="84"/>
      <x:c r="G942" s="84"/>
    </x:row>
    <x:row r="943" ht="15.75" customHeight="1">
      <x:c r="A943" s="62"/>
      <x:c r="D943" s="62"/>
      <x:c r="F943" s="84"/>
      <x:c r="G943" s="84"/>
    </x:row>
    <x:row r="944" ht="15.75" customHeight="1">
      <x:c r="A944" s="62"/>
      <x:c r="D944" s="62"/>
      <x:c r="F944" s="84"/>
      <x:c r="G944" s="84"/>
    </x:row>
    <x:row r="945" ht="15.75" customHeight="1">
      <x:c r="A945" s="62"/>
      <x:c r="D945" s="62"/>
      <x:c r="F945" s="84"/>
      <x:c r="G945" s="84"/>
    </x:row>
    <x:row r="946" ht="15.75" customHeight="1">
      <x:c r="A946" s="62"/>
      <x:c r="D946" s="62"/>
      <x:c r="F946" s="84"/>
      <x:c r="G946" s="84"/>
    </x:row>
    <x:row r="947" ht="15.75" customHeight="1">
      <x:c r="A947" s="62"/>
      <x:c r="D947" s="62"/>
      <x:c r="F947" s="84"/>
      <x:c r="G947" s="84"/>
    </x:row>
    <x:row r="948" ht="15.75" customHeight="1">
      <x:c r="A948" s="62"/>
      <x:c r="D948" s="62"/>
      <x:c r="F948" s="84"/>
      <x:c r="G948" s="84"/>
    </x:row>
    <x:row r="949" ht="15.75" customHeight="1">
      <x:c r="A949" s="62"/>
      <x:c r="D949" s="62"/>
      <x:c r="F949" s="84"/>
      <x:c r="G949" s="84"/>
    </x:row>
    <x:row r="950" ht="15.75" customHeight="1">
      <x:c r="A950" s="62"/>
      <x:c r="D950" s="62"/>
      <x:c r="F950" s="84"/>
      <x:c r="G950" s="84"/>
    </x:row>
    <x:row r="951" ht="15.75" customHeight="1">
      <x:c r="A951" s="62"/>
      <x:c r="D951" s="62"/>
      <x:c r="F951" s="84"/>
      <x:c r="G951" s="84"/>
    </x:row>
    <x:row r="952" ht="15.75" customHeight="1">
      <x:c r="A952" s="62"/>
      <x:c r="D952" s="62"/>
      <x:c r="F952" s="84"/>
      <x:c r="G952" s="84"/>
    </x:row>
    <x:row r="953" ht="15.75" customHeight="1">
      <x:c r="A953" s="62"/>
      <x:c r="D953" s="62"/>
      <x:c r="F953" s="84"/>
      <x:c r="G953" s="84"/>
    </x:row>
    <x:row r="954" ht="15.75" customHeight="1">
      <x:c r="A954" s="62"/>
      <x:c r="D954" s="62"/>
      <x:c r="F954" s="84"/>
      <x:c r="G954" s="84"/>
    </x:row>
    <x:row r="955" ht="15.75" customHeight="1">
      <x:c r="A955" s="62"/>
      <x:c r="D955" s="62"/>
      <x:c r="F955" s="84"/>
      <x:c r="G955" s="84"/>
    </x:row>
    <x:row r="956" ht="15.75" customHeight="1">
      <x:c r="A956" s="62"/>
      <x:c r="D956" s="62"/>
      <x:c r="F956" s="84"/>
      <x:c r="G956" s="84"/>
    </x:row>
    <x:row r="957" ht="15.75" customHeight="1">
      <x:c r="A957" s="62"/>
      <x:c r="D957" s="62"/>
      <x:c r="F957" s="84"/>
      <x:c r="G957" s="84"/>
    </x:row>
    <x:row r="958" ht="15.75" customHeight="1">
      <x:c r="A958" s="62"/>
      <x:c r="D958" s="62"/>
      <x:c r="F958" s="84"/>
      <x:c r="G958" s="84"/>
    </x:row>
    <x:row r="959" ht="15.75" customHeight="1">
      <x:c r="A959" s="62"/>
      <x:c r="D959" s="62"/>
      <x:c r="F959" s="84"/>
      <x:c r="G959" s="84"/>
    </x:row>
    <x:row r="960" ht="15.75" customHeight="1">
      <x:c r="A960" s="62"/>
      <x:c r="D960" s="62"/>
      <x:c r="F960" s="84"/>
      <x:c r="G960" s="84"/>
    </x:row>
    <x:row r="961" ht="15.75" customHeight="1">
      <x:c r="A961" s="62"/>
      <x:c r="D961" s="62"/>
      <x:c r="F961" s="84"/>
      <x:c r="G961" s="84"/>
    </x:row>
    <x:row r="962" ht="15.75" customHeight="1">
      <x:c r="A962" s="62"/>
      <x:c r="D962" s="62"/>
      <x:c r="F962" s="84"/>
      <x:c r="G962" s="84"/>
    </x:row>
    <x:row r="963" ht="15.75" customHeight="1">
      <x:c r="A963" s="62"/>
      <x:c r="D963" s="62"/>
      <x:c r="F963" s="84"/>
      <x:c r="G963" s="84"/>
    </x:row>
    <x:row r="964" ht="15.75" customHeight="1">
      <x:c r="A964" s="62"/>
      <x:c r="D964" s="62"/>
      <x:c r="F964" s="84"/>
      <x:c r="G964" s="84"/>
    </x:row>
    <x:row r="965" ht="15.75" customHeight="1">
      <x:c r="A965" s="62"/>
      <x:c r="D965" s="62"/>
      <x:c r="F965" s="84"/>
      <x:c r="G965" s="84"/>
    </x:row>
    <x:row r="966" ht="15.75" customHeight="1">
      <x:c r="A966" s="62"/>
      <x:c r="D966" s="62"/>
      <x:c r="F966" s="84"/>
      <x:c r="G966" s="84"/>
    </x:row>
    <x:row r="967" ht="15.75" customHeight="1">
      <x:c r="A967" s="62"/>
      <x:c r="D967" s="62"/>
      <x:c r="F967" s="84"/>
      <x:c r="G967" s="84"/>
    </x:row>
    <x:row r="968" ht="15.75" customHeight="1">
      <x:c r="A968" s="62"/>
      <x:c r="D968" s="62"/>
      <x:c r="F968" s="84"/>
      <x:c r="G968" s="84"/>
    </x:row>
    <x:row r="969" ht="15.75" customHeight="1">
      <x:c r="A969" s="62"/>
      <x:c r="D969" s="62"/>
      <x:c r="F969" s="84"/>
      <x:c r="G969" s="84"/>
    </x:row>
    <x:row r="970" ht="15.75" customHeight="1">
      <x:c r="A970" s="62"/>
      <x:c r="D970" s="62"/>
      <x:c r="F970" s="84"/>
      <x:c r="G970" s="84"/>
    </x:row>
    <x:row r="971" ht="15.75" customHeight="1">
      <x:c r="A971" s="62"/>
      <x:c r="D971" s="62"/>
      <x:c r="F971" s="84"/>
      <x:c r="G971" s="84"/>
    </x:row>
    <x:row r="972" ht="15.75" customHeight="1">
      <x:c r="A972" s="62"/>
      <x:c r="D972" s="62"/>
      <x:c r="F972" s="84"/>
      <x:c r="G972" s="84"/>
    </x:row>
    <x:row r="973" ht="15.75" customHeight="1">
      <x:c r="A973" s="62"/>
      <x:c r="D973" s="62"/>
      <x:c r="F973" s="84"/>
      <x:c r="G973" s="84"/>
    </x:row>
    <x:row r="974" ht="15.75" customHeight="1">
      <x:c r="A974" s="62"/>
      <x:c r="D974" s="62"/>
      <x:c r="F974" s="84"/>
      <x:c r="G974" s="84"/>
    </x:row>
    <x:row r="975" ht="15.75" customHeight="1">
      <x:c r="A975" s="62"/>
      <x:c r="D975" s="62"/>
      <x:c r="F975" s="84"/>
      <x:c r="G975" s="84"/>
    </x:row>
    <x:row r="976" ht="15.75" customHeight="1">
      <x:c r="A976" s="62"/>
      <x:c r="D976" s="62"/>
      <x:c r="F976" s="84"/>
      <x:c r="G976" s="84"/>
    </x:row>
    <x:row r="977" ht="15.75" customHeight="1">
      <x:c r="A977" s="62"/>
      <x:c r="D977" s="62"/>
      <x:c r="F977" s="84"/>
      <x:c r="G977" s="84"/>
    </x:row>
    <x:row r="978" ht="15.75" customHeight="1">
      <x:c r="A978" s="62"/>
      <x:c r="D978" s="62"/>
      <x:c r="F978" s="84"/>
      <x:c r="G978" s="84"/>
    </x:row>
    <x:row r="979" ht="15.75" customHeight="1">
      <x:c r="A979" s="62"/>
      <x:c r="D979" s="62"/>
      <x:c r="F979" s="84"/>
      <x:c r="G979" s="84"/>
    </x:row>
    <x:row r="980" ht="15.75" customHeight="1">
      <x:c r="A980" s="62"/>
      <x:c r="D980" s="62"/>
      <x:c r="F980" s="84"/>
      <x:c r="G980" s="84"/>
    </x:row>
    <x:row r="981" ht="15.75" customHeight="1">
      <x:c r="A981" s="62"/>
      <x:c r="D981" s="62"/>
      <x:c r="F981" s="84"/>
      <x:c r="G981" s="84"/>
    </x:row>
    <x:row r="982" ht="15.75" customHeight="1">
      <x:c r="A982" s="62"/>
      <x:c r="D982" s="62"/>
      <x:c r="F982" s="84"/>
      <x:c r="G982" s="84"/>
    </x:row>
    <x:row r="983" ht="15.75" customHeight="1">
      <x:c r="A983" s="62"/>
      <x:c r="D983" s="62"/>
      <x:c r="F983" s="84"/>
      <x:c r="G983" s="84"/>
    </x:row>
    <x:row r="984" ht="15.75" customHeight="1">
      <x:c r="A984" s="62"/>
      <x:c r="D984" s="62"/>
      <x:c r="F984" s="84"/>
      <x:c r="G984" s="84"/>
    </x:row>
    <x:row r="985" ht="15.75" customHeight="1">
      <x:c r="A985" s="62"/>
      <x:c r="D985" s="62"/>
      <x:c r="F985" s="84"/>
      <x:c r="G985" s="84"/>
    </x:row>
    <x:row r="986" ht="15.75" customHeight="1">
      <x:c r="A986" s="62"/>
      <x:c r="D986" s="62"/>
      <x:c r="F986" s="84"/>
      <x:c r="G986" s="84"/>
    </x:row>
    <x:row r="987" ht="15.75" customHeight="1">
      <x:c r="A987" s="62"/>
      <x:c r="D987" s="62"/>
      <x:c r="F987" s="84"/>
      <x:c r="G987" s="84"/>
    </x:row>
    <x:row r="988" ht="15.75" customHeight="1">
      <x:c r="A988" s="62"/>
      <x:c r="D988" s="62"/>
      <x:c r="F988" s="84"/>
      <x:c r="G988" s="84"/>
    </x:row>
    <x:row r="989" ht="15.75" customHeight="1">
      <x:c r="A989" s="62"/>
      <x:c r="D989" s="62"/>
      <x:c r="F989" s="84"/>
      <x:c r="G989" s="84"/>
    </x:row>
    <x:row r="990" ht="15.75" customHeight="1">
      <x:c r="A990" s="62"/>
      <x:c r="D990" s="62"/>
      <x:c r="F990" s="84"/>
      <x:c r="G990" s="84"/>
    </x:row>
    <x:row r="991" ht="15.75" customHeight="1">
      <x:c r="A991" s="62"/>
      <x:c r="D991" s="62"/>
      <x:c r="F991" s="84"/>
      <x:c r="G991" s="84"/>
    </x:row>
    <x:row r="992" ht="15.75" customHeight="1">
      <x:c r="A992" s="62"/>
      <x:c r="D992" s="62"/>
      <x:c r="F992" s="84"/>
      <x:c r="G992" s="84"/>
    </x:row>
    <x:row r="993" ht="15.75" customHeight="1">
      <x:c r="A993" s="62"/>
      <x:c r="D993" s="62"/>
      <x:c r="F993" s="84"/>
      <x:c r="G993" s="84"/>
    </x:row>
    <x:row r="994" ht="15.75" customHeight="1">
      <x:c r="A994" s="62"/>
      <x:c r="D994" s="62"/>
      <x:c r="F994" s="84"/>
      <x:c r="G994" s="84"/>
    </x:row>
    <x:row r="995" ht="15.75" customHeight="1">
      <x:c r="A995" s="62"/>
      <x:c r="D995" s="62"/>
      <x:c r="F995" s="84"/>
      <x:c r="G995" s="84"/>
    </x:row>
    <x:row r="996" ht="15.75" customHeight="1">
      <x:c r="A996" s="62"/>
      <x:c r="D996" s="62"/>
      <x:c r="F996" s="84"/>
      <x:c r="G996" s="84"/>
    </x:row>
    <x:row r="997" ht="15.75" customHeight="1">
      <x:c r="A997" s="62"/>
      <x:c r="D997" s="62"/>
      <x:c r="F997" s="84"/>
      <x:c r="G997" s="84"/>
    </x:row>
    <x:row r="998" ht="15.75" customHeight="1">
      <x:c r="A998" s="62"/>
      <x:c r="D998" s="62"/>
      <x:c r="F998" s="84"/>
      <x:c r="G998" s="84"/>
    </x:row>
    <x:row r="999" ht="15.75" customHeight="1">
      <x:c r="A999" s="62"/>
      <x:c r="D999" s="62"/>
      <x:c r="F999" s="84"/>
      <x:c r="G999" s="84"/>
    </x:row>
    <x:row r="1000" ht="15.75" customHeight="1">
      <x:c r="A1000" s="62"/>
      <x:c r="D1000" s="62"/>
      <x:c r="F1000" s="84"/>
      <x:c r="G1000" s="84"/>
    </x:row>
  </x:sheetData>
  <x:mergeCells>
    <x:mergeCell ref="L1:M1"/>
  </x:mergeCells>
  <x:conditionalFormatting sqref="F2:F150">
    <x:cfRule type="cellIs" dxfId="2" priority="1" operator="lessThanOrEqual">
      <x:formula>2</x:formula>
    </x:cfRule>
  </x:conditionalFormatting>
  <x:conditionalFormatting sqref="F2:F150">
    <x:cfRule type="cellIs" dxfId="1" priority="2" operator="equal">
      <x:formula>3</x:formula>
    </x:cfRule>
  </x:conditionalFormatting>
  <x:conditionalFormatting sqref="F2:F150">
    <x:cfRule type="cellIs" dxfId="0" priority="3" operator="greaterThanOrEqual">
      <x:formula>4</x:formula>
    </x:cfRule>
  </x:conditionalFormatting>
  <x:conditionalFormatting sqref="F2:F1000">
    <x:cfRule type="colorScale" priority="4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G2:G1000">
    <x:cfRule type="colorScale" priority="5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dataValidations count="4">
    <x:dataValidation type="list" allowBlank="1" sqref="I2:I150">
      <x:formula1>"Sim,Nao"</x:formula1>
    </x:dataValidation>
    <x:dataValidation type="list" sqref="I2:I1000">
      <x:formula1>"Sim,Não"</x:formula1>
    </x:dataValidation>
    <x:dataValidation operator="between" sqref="F2:F1000">
      <x:formula1>1</x:formula1>
      <x:formula2>5</x:formula2>
    </x:dataValidation>
    <x:dataValidation operator="between" sqref="G2:G1000">
      <x:formula1>0</x:formula1>
      <x:formula2>10</x:formula2>
    </x:dataValidation>
  </x:dataValidations>
  <x:pageMargins left="0.7" right="0.7" top="0.75" bottom="0.75" header="0.3" footer="0.3"/>
  <x:drawing xmlns:r="http://schemas.openxmlformats.org/officeDocument/2006/relationships" r:id="R33df58bb48a84430"/>
  <x:tableParts count="1">
    <x:tablePart xmlns:r="http://schemas.openxmlformats.org/officeDocument/2006/relationships" r:id="R231dba434dc24d6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6" width="22" customWidth="1"/>
    <x:col min="7" max="11" width="8.75" customWidth="1"/>
    <x:col min="12" max="26" width="14.380000114440918" customWidth="1"/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 ht="24" customHeight="1">
      <x:c r="A1" s="177" t="s">
        <x:v>0</x:v>
      </x:c>
      <x:c r="B1" s="177" t="s">
        <x:v>1</x:v>
      </x:c>
      <x:c r="C1" s="177" t="s">
        <x:v>2</x:v>
      </x:c>
      <x:c r="D1" s="177" t="s">
        <x:v>3</x:v>
      </x:c>
      <x:c r="E1" s="177" t="s">
        <x:v>4</x:v>
      </x:c>
      <x:c r="F1" s="177" t="s">
        <x:v>5</x:v>
      </x:c>
      <x:c r="G1" s="177" t="s">
        <x:v>6</x:v>
      </x:c>
      <x:c r="H1" s="177" t="s">
        <x:v>7</x:v>
      </x:c>
      <x:c r="I1" s="177" t="s">
        <x:v>8</x:v>
      </x:c>
      <x:c r="J1" s="177" t="s">
        <x:v>9</x:v>
      </x:c>
      <x:c r="K1" s="177" t="s">
        <x:v>10</x:v>
      </x:c>
    </x:row>
    <x:row r="2" ht="24" customHeight="1">
      <x:c r="A2" s="174" t="s">
        <x:v>11</x:v>
      </x:c>
      <x:c r="B2" s="174" t="s">
        <x:v>12</x:v>
      </x:c>
      <x:c r="C2" s="174" t="s">
        <x:v>13</x:v>
      </x:c>
      <x:c r="D2" s="174" t="s">
        <x:v>14</x:v>
      </x:c>
      <x:c r="E2" s="174" t="s">
        <x:v>15</x:v>
      </x:c>
      <x:c r="F2" s="174" t="s">
        <x:v>16</x:v>
      </x:c>
      <x:c r="G2" s="174" t="s">
        <x:v>17</x:v>
      </x:c>
      <x:c r="H2" s="174" t="s">
        <x:v>18</x:v>
      </x:c>
      <x:c r="I2" s="174" t="s">
        <x:v>19</x:v>
      </x:c>
      <x:c r="J2" s="174" t="s">
        <x:v>20</x:v>
      </x:c>
      <x:c r="K2" s="174" t="s">
        <x:v>21</x:v>
      </x:c>
    </x:row>
    <x:row r="3" ht="24" customHeight="1">
      <x:c r="A3" s="174" t="s">
        <x:v>22</x:v>
      </x:c>
      <x:c r="B3" s="174" t="s">
        <x:v>23</x:v>
      </x:c>
      <x:c r="C3" s="174" t="s">
        <x:v>24</x:v>
      </x:c>
      <x:c r="D3" s="174" t="s">
        <x:v>25</x:v>
      </x:c>
      <x:c r="E3" s="174" t="s">
        <x:v>26</x:v>
      </x:c>
      <x:c r="F3" s="174" t="s">
        <x:v>27</x:v>
      </x:c>
      <x:c r="G3" s="174" t="s">
        <x:v>28</x:v>
      </x:c>
      <x:c r="H3" s="174" t="s">
        <x:v>22</x:v>
      </x:c>
      <x:c r="I3" s="174" t="s">
        <x:v>29</x:v>
      </x:c>
      <x:c r="J3" s="174" t="s">
        <x:v>30</x:v>
      </x:c>
      <x:c r="K3" s="174" t="s">
        <x:v>31</x:v>
      </x:c>
    </x:row>
    <x:row r="4" ht="24" customHeight="1">
      <x:c r="A4" s="174" t="s">
        <x:v>32</x:v>
      </x:c>
      <x:c r="B4" s="174" t="s">
        <x:v>33</x:v>
      </x:c>
      <x:c r="C4" s="174" t="s">
        <x:v>34</x:v>
      </x:c>
      <x:c r="D4" s="174" t="s">
        <x:v>35</x:v>
      </x:c>
      <x:c r="E4" s="174" t="s">
        <x:v>36</x:v>
      </x:c>
      <x:c r="F4" s="174" t="s">
        <x:v>37</x:v>
      </x:c>
      <x:c r="G4" s="140"/>
      <x:c r="H4" s="174" t="s">
        <x:v>38</x:v>
      </x:c>
      <x:c r="I4" s="174" t="s">
        <x:v>39</x:v>
      </x:c>
      <x:c r="J4" s="174" t="s">
        <x:v>40</x:v>
      </x:c>
      <x:c r="K4" s="174" t="s">
        <x:v>41</x:v>
      </x:c>
    </x:row>
    <x:row r="5" ht="24" customHeight="1">
      <x:c r="A5" s="174" t="s">
        <x:v>42</x:v>
      </x:c>
      <x:c r="B5" s="140"/>
      <x:c r="C5" s="174" t="s">
        <x:v>43</x:v>
      </x:c>
      <x:c r="D5" s="174" t="s">
        <x:v>44</x:v>
      </x:c>
      <x:c r="E5" s="174" t="s">
        <x:v>45</x:v>
      </x:c>
      <x:c r="F5" s="174" t="s">
        <x:v>46</x:v>
      </x:c>
      <x:c r="G5" s="140"/>
      <x:c r="H5" s="174" t="s">
        <x:v>47</x:v>
      </x:c>
      <x:c r="I5" s="174" t="s">
        <x:v>48</x:v>
      </x:c>
      <x:c r="J5" s="174" t="s">
        <x:v>49</x:v>
      </x:c>
      <x:c r="K5" s="174" t="s">
        <x:v>50</x:v>
      </x:c>
    </x:row>
    <x:row r="6" ht="24" customHeight="1">
      <x:c r="A6" s="174" t="s">
        <x:v>51</x:v>
      </x:c>
      <x:c r="B6" s="140"/>
      <x:c r="C6" s="174" t="s">
        <x:v>52</x:v>
      </x:c>
      <x:c r="D6" s="174" t="s">
        <x:v>53</x:v>
      </x:c>
      <x:c r="E6" s="174" t="s">
        <x:v>54</x:v>
      </x:c>
      <x:c r="F6" s="174" t="s">
        <x:v>55</x:v>
      </x:c>
      <x:c r="G6" s="140"/>
      <x:c r="H6" s="140"/>
      <x:c r="I6" s="174" t="s">
        <x:v>56</x:v>
      </x:c>
      <x:c r="J6" s="174" t="s">
        <x:v>57</x:v>
      </x:c>
      <x:c r="K6" s="174" t="s">
        <x:v>58</x:v>
      </x:c>
    </x:row>
    <x:row r="7" ht="24" customHeight="1">
      <x:c r="A7" s="140"/>
      <x:c r="B7" s="140"/>
      <x:c r="C7" s="174" t="s">
        <x:v>59</x:v>
      </x:c>
      <x:c r="D7" s="174" t="s">
        <x:v>60</x:v>
      </x:c>
      <x:c r="E7" s="174" t="s">
        <x:v>61</x:v>
      </x:c>
      <x:c r="F7" s="174" t="s">
        <x:v>62</x:v>
      </x:c>
      <x:c r="G7" s="140"/>
      <x:c r="H7" s="140"/>
      <x:c r="I7" s="174" t="s">
        <x:v>63</x:v>
      </x:c>
      <x:c r="J7" s="174" t="s">
        <x:v>64</x:v>
      </x:c>
      <x:c r="K7" s="174" t="s">
        <x:v>65</x:v>
      </x:c>
    </x:row>
    <x:row r="8" ht="24" customHeight="1">
      <x:c r="A8" s="140"/>
      <x:c r="B8" s="140"/>
      <x:c r="C8" s="174" t="s">
        <x:v>44</x:v>
      </x:c>
      <x:c r="D8" s="174" t="s">
        <x:v>66</x:v>
      </x:c>
      <x:c r="E8" s="140"/>
      <x:c r="F8" s="174" t="s">
        <x:v>67</x:v>
      </x:c>
      <x:c r="G8" s="140"/>
      <x:c r="H8" s="140"/>
      <x:c r="I8" s="174" t="s">
        <x:v>68</x:v>
      </x:c>
      <x:c r="J8" s="174" t="s">
        <x:v>67</x:v>
      </x:c>
      <x:c r="K8" s="174" t="s">
        <x:v>67</x:v>
      </x:c>
    </x:row>
    <x:row r="9" ht="24" customHeight="1">
      <x:c r="A9" s="140"/>
      <x:c r="B9" s="140"/>
      <x:c r="C9" s="174" t="s">
        <x:v>69</x:v>
      </x:c>
      <x:c r="D9" s="174" t="s">
        <x:v>67</x:v>
      </x:c>
      <x:c r="E9" s="140"/>
      <x:c r="F9" s="140"/>
      <x:c r="G9" s="140"/>
      <x:c r="H9" s="140"/>
      <x:c r="I9" s="174" t="s">
        <x:v>70</x:v>
      </x:c>
      <x:c r="J9" s="140"/>
      <x:c r="K9" s="140"/>
    </x:row>
    <x:row r="10" ht="24" customHeight="1">
      <x:c r="A10" s="140"/>
      <x:c r="B10" s="140"/>
      <x:c r="C10" s="174" t="s">
        <x:v>71</x:v>
      </x:c>
      <x:c r="D10" s="140"/>
      <x:c r="E10" s="140"/>
      <x:c r="F10" s="140"/>
      <x:c r="G10" s="140"/>
      <x:c r="H10" s="140"/>
      <x:c r="I10" s="140"/>
      <x:c r="J10" s="140"/>
      <x:c r="K10" s="140"/>
    </x:row>
    <x:row r="11" ht="24" customHeight="1">
      <x:c r="A11" s="175" t="s">
        <x:v>72</x:v>
      </x:c>
      <x:c r="B11" s="140"/>
      <x:c r="C11" s="174" t="s">
        <x:v>70</x:v>
      </x:c>
      <x:c r="D11" s="140"/>
      <x:c r="E11" s="140"/>
      <x:c r="F11" s="140"/>
      <x:c r="G11" s="140"/>
      <x:c r="H11" s="140"/>
      <x:c r="I11" s="140"/>
      <x:c r="J11" s="140"/>
      <x:c r="K11" s="140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