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namedSheetViews/namedSheetView3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CEEDA68C4590EC/Documentos/"/>
    </mc:Choice>
  </mc:AlternateContent>
  <xr:revisionPtr revIDLastSave="4" documentId="8_{AE8FC701-9135-4457-B699-FB5E5AE48D5A}" xr6:coauthVersionLast="47" xr6:coauthVersionMax="47" xr10:uidLastSave="{49CC9491-5316-476D-92CE-5CABA1201B75}"/>
  <bookViews>
    <workbookView xWindow="-108" yWindow="-108" windowWidth="23256" windowHeight="12456" activeTab="1" xr2:uid="{D35E827F-FBAA-4144-B3D5-54F600EC3C8E}"/>
  </bookViews>
  <sheets>
    <sheet name="Modeladas" sheetId="3" r:id="rId1"/>
    <sheet name="Retas" sheetId="1" r:id="rId2"/>
    <sheet name="Triângulo" sheetId="5" r:id="rId3"/>
  </sheets>
  <definedNames>
    <definedName name="_xlnm._FilterDatabase" localSheetId="0" hidden="1">Modeladas!$B$17:$U$49</definedName>
    <definedName name="_xlnm._FilterDatabase" localSheetId="1" hidden="1">Retas!$B$17:$T$40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5" l="1"/>
  <c r="E19" i="5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S37" i="3" s="1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S28" i="3" s="1"/>
  <c r="G27" i="3"/>
  <c r="E27" i="3"/>
  <c r="G26" i="3"/>
  <c r="E26" i="3"/>
  <c r="G25" i="3"/>
  <c r="E25" i="3"/>
  <c r="G24" i="3"/>
  <c r="E24" i="3"/>
  <c r="G23" i="3"/>
  <c r="E23" i="3"/>
  <c r="G22" i="3"/>
  <c r="E22" i="3"/>
  <c r="H22" i="3" s="1"/>
  <c r="G19" i="3"/>
  <c r="E19" i="3"/>
  <c r="C34" i="1"/>
  <c r="E34" i="1"/>
  <c r="S45" i="3" l="1"/>
  <c r="U19" i="5"/>
  <c r="H19" i="5"/>
  <c r="S19" i="5"/>
  <c r="H19" i="3"/>
  <c r="S34" i="3"/>
  <c r="H33" i="3"/>
  <c r="S32" i="3"/>
  <c r="S23" i="3"/>
  <c r="T23" i="3" s="1"/>
  <c r="Q22" i="3"/>
  <c r="T22" i="3" s="1"/>
  <c r="S19" i="3"/>
  <c r="S30" i="3"/>
  <c r="S26" i="3"/>
  <c r="T26" i="3" s="1"/>
  <c r="Q24" i="3"/>
  <c r="H40" i="3"/>
  <c r="S39" i="3"/>
  <c r="Q38" i="3"/>
  <c r="T38" i="3" s="1"/>
  <c r="H37" i="3"/>
  <c r="Q36" i="3"/>
  <c r="T36" i="3" s="1"/>
  <c r="Q34" i="3"/>
  <c r="T34" i="3" s="1"/>
  <c r="Q32" i="3"/>
  <c r="T32" i="3" s="1"/>
  <c r="H30" i="3"/>
  <c r="Q25" i="3"/>
  <c r="H23" i="3"/>
  <c r="S46" i="3"/>
  <c r="S44" i="3"/>
  <c r="Q43" i="3"/>
  <c r="T43" i="3" s="1"/>
  <c r="Q42" i="3"/>
  <c r="T42" i="3" s="1"/>
  <c r="S41" i="3"/>
  <c r="H41" i="3"/>
  <c r="Q40" i="3"/>
  <c r="T40" i="3" s="1"/>
  <c r="H39" i="3"/>
  <c r="H38" i="3"/>
  <c r="Q37" i="3"/>
  <c r="T37" i="3" s="1"/>
  <c r="H34" i="3"/>
  <c r="Q33" i="3"/>
  <c r="T33" i="3" s="1"/>
  <c r="Q30" i="3"/>
  <c r="T30" i="3" s="1"/>
  <c r="Q29" i="3"/>
  <c r="Q28" i="3"/>
  <c r="H25" i="3"/>
  <c r="H24" i="3"/>
  <c r="S22" i="3"/>
  <c r="H46" i="3"/>
  <c r="H45" i="3"/>
  <c r="Q44" i="3"/>
  <c r="T44" i="3" s="1"/>
  <c r="H43" i="3"/>
  <c r="S35" i="3"/>
  <c r="S33" i="3"/>
  <c r="H29" i="3"/>
  <c r="Q47" i="3"/>
  <c r="T47" i="3" s="1"/>
  <c r="S36" i="3"/>
  <c r="Q35" i="3"/>
  <c r="T35" i="3" s="1"/>
  <c r="H28" i="3"/>
  <c r="Q26" i="3"/>
  <c r="S24" i="3"/>
  <c r="T24" i="3" s="1"/>
  <c r="Q23" i="3"/>
  <c r="Q19" i="3"/>
  <c r="S47" i="3"/>
  <c r="H47" i="3"/>
  <c r="Q46" i="3"/>
  <c r="T46" i="3" s="1"/>
  <c r="Q45" i="3"/>
  <c r="T45" i="3" s="1"/>
  <c r="H44" i="3"/>
  <c r="S43" i="3"/>
  <c r="S42" i="3"/>
  <c r="H42" i="3"/>
  <c r="Q41" i="3"/>
  <c r="T41" i="3" s="1"/>
  <c r="S40" i="3"/>
  <c r="Q39" i="3"/>
  <c r="T39" i="3" s="1"/>
  <c r="S38" i="3"/>
  <c r="H36" i="3"/>
  <c r="H35" i="3"/>
  <c r="H32" i="3"/>
  <c r="S29" i="3"/>
  <c r="T29" i="3" s="1"/>
  <c r="T28" i="3"/>
  <c r="H26" i="3"/>
  <c r="S25" i="3"/>
  <c r="T25" i="3" s="1"/>
  <c r="Q34" i="1"/>
  <c r="T34" i="1" s="1"/>
  <c r="F34" i="1"/>
  <c r="S34" i="1"/>
  <c r="E31" i="1"/>
  <c r="C31" i="1"/>
  <c r="C32" i="1"/>
  <c r="C30" i="1"/>
  <c r="C19" i="1"/>
  <c r="E23" i="1"/>
  <c r="C23" i="1"/>
  <c r="E25" i="1"/>
  <c r="C25" i="1"/>
  <c r="E37" i="1"/>
  <c r="E28" i="1"/>
  <c r="C33" i="1"/>
  <c r="E21" i="1"/>
  <c r="C20" i="1"/>
  <c r="C28" i="1"/>
  <c r="E36" i="1"/>
  <c r="C36" i="1"/>
  <c r="C26" i="1"/>
  <c r="E33" i="1"/>
  <c r="C24" i="1"/>
  <c r="E30" i="1"/>
  <c r="C29" i="1"/>
  <c r="E29" i="1"/>
  <c r="E27" i="1"/>
  <c r="C27" i="1"/>
  <c r="E26" i="1"/>
  <c r="C22" i="1"/>
  <c r="V19" i="5" l="1"/>
  <c r="V23" i="5" s="1"/>
  <c r="S23" i="5"/>
  <c r="Q52" i="3"/>
  <c r="T19" i="3"/>
  <c r="T52" i="3"/>
  <c r="S31" i="1"/>
  <c r="S30" i="1"/>
  <c r="F31" i="1"/>
  <c r="S27" i="1"/>
  <c r="S23" i="1"/>
  <c r="Q31" i="1"/>
  <c r="T31" i="1" s="1"/>
  <c r="F23" i="1"/>
  <c r="Q23" i="1"/>
  <c r="T23" i="1" s="1"/>
  <c r="S25" i="1"/>
  <c r="Q25" i="1"/>
  <c r="T25" i="1" s="1"/>
  <c r="F25" i="1"/>
  <c r="S28" i="1"/>
  <c r="F28" i="1"/>
  <c r="Q28" i="1"/>
  <c r="T28" i="1" s="1"/>
  <c r="S36" i="1"/>
  <c r="F36" i="1"/>
  <c r="Q36" i="1"/>
  <c r="T36" i="1" s="1"/>
  <c r="S33" i="1"/>
  <c r="F33" i="1"/>
  <c r="Q33" i="1"/>
  <c r="T33" i="1" s="1"/>
  <c r="F26" i="1"/>
  <c r="S29" i="1"/>
  <c r="F30" i="1"/>
  <c r="Q30" i="1"/>
  <c r="T30" i="1" s="1"/>
  <c r="F29" i="1"/>
  <c r="Q29" i="1"/>
  <c r="T29" i="1" s="1"/>
  <c r="Q27" i="1"/>
  <c r="T27" i="1" s="1"/>
  <c r="S26" i="1"/>
  <c r="F27" i="1"/>
  <c r="Q26" i="1"/>
  <c r="T26" i="1" s="1"/>
  <c r="E19" i="1" l="1"/>
  <c r="E20" i="1"/>
  <c r="E35" i="1"/>
  <c r="E24" i="1"/>
  <c r="E32" i="1"/>
  <c r="F32" i="1" s="1"/>
  <c r="E22" i="1"/>
  <c r="C37" i="1"/>
  <c r="C21" i="1"/>
  <c r="C35" i="1"/>
  <c r="F37" i="1" l="1"/>
  <c r="Q37" i="1"/>
  <c r="T37" i="1" s="1"/>
  <c r="S37" i="1"/>
  <c r="S21" i="1"/>
  <c r="T21" i="1" s="1"/>
  <c r="Q21" i="1"/>
  <c r="F21" i="1"/>
  <c r="Q32" i="1"/>
  <c r="S24" i="1"/>
  <c r="S19" i="1"/>
  <c r="T19" i="1" s="1"/>
  <c r="S20" i="1"/>
  <c r="T20" i="1" s="1"/>
  <c r="Q19" i="1"/>
  <c r="F19" i="1"/>
  <c r="Q20" i="1"/>
  <c r="F20" i="1"/>
  <c r="Q22" i="1"/>
  <c r="S35" i="1"/>
  <c r="Q35" i="1"/>
  <c r="T35" i="1" s="1"/>
  <c r="Q24" i="1"/>
  <c r="T24" i="1" s="1"/>
  <c r="S22" i="1"/>
  <c r="T22" i="1" s="1"/>
  <c r="S32" i="1"/>
  <c r="Q45" i="1" l="1"/>
  <c r="F22" i="1"/>
  <c r="T32" i="1"/>
  <c r="F24" i="1"/>
  <c r="F35" i="1" l="1"/>
  <c r="T45" i="1" l="1"/>
</calcChain>
</file>

<file path=xl/sharedStrings.xml><?xml version="1.0" encoding="utf-8"?>
<sst xmlns="http://schemas.openxmlformats.org/spreadsheetml/2006/main" count="388" uniqueCount="141">
  <si>
    <t>TEL.: 17 3421 2907 / 17 98126 3862</t>
  </si>
  <si>
    <t>RUA JOÃO VILLAR PONTES, 3424 - PQ. IND. 1</t>
  </si>
  <si>
    <t>CLIENTE:</t>
  </si>
  <si>
    <t>NOME FANTASIA:</t>
  </si>
  <si>
    <t>E-MAIL</t>
  </si>
  <si>
    <t>N°</t>
  </si>
  <si>
    <t>CEP:</t>
  </si>
  <si>
    <t>ESTADO</t>
  </si>
  <si>
    <t>COD. PAGAMENTOS:</t>
  </si>
  <si>
    <t>TEF:</t>
  </si>
  <si>
    <t>CNPJ/CPF:</t>
  </si>
  <si>
    <t>IE:</t>
  </si>
  <si>
    <t>PRAZO DE ENTREGA:</t>
  </si>
  <si>
    <t>DATA:</t>
  </si>
  <si>
    <t>QUANT.</t>
  </si>
  <si>
    <t>DENSIDADE</t>
  </si>
  <si>
    <t>COR</t>
  </si>
  <si>
    <t>M3</t>
  </si>
  <si>
    <t>PREÇO M3</t>
  </si>
  <si>
    <t>TOTAL</t>
  </si>
  <si>
    <t>DS</t>
  </si>
  <si>
    <t>x</t>
  </si>
  <si>
    <t>BRANCA</t>
  </si>
  <si>
    <t>DESCONTOS PRATICADOS:</t>
  </si>
  <si>
    <t>OBS.:</t>
  </si>
  <si>
    <t>REPRESENTANTE</t>
  </si>
  <si>
    <t>CEP 15.503-019 VOTUPORANGA - SP</t>
  </si>
  <si>
    <t>NOME</t>
  </si>
  <si>
    <t xml:space="preserve">* COMPRIMENTO E LARGURA É ACRESCENTADO 1 CM </t>
  </si>
  <si>
    <t xml:space="preserve">PEÇAS EMBALADA </t>
  </si>
  <si>
    <t>PREÇO PEÇA</t>
  </si>
  <si>
    <t xml:space="preserve">MEDIDAS*                                  </t>
  </si>
  <si>
    <t>ESP</t>
  </si>
  <si>
    <t>COMP</t>
  </si>
  <si>
    <t>LARG</t>
  </si>
  <si>
    <t>MATISSE CAVA ENCOSTO</t>
  </si>
  <si>
    <t>TOTAL M3:</t>
  </si>
  <si>
    <t>FECHA BRAÇO SOFA</t>
  </si>
  <si>
    <t>ELITE ENCOSTO SOFA</t>
  </si>
  <si>
    <t>ELITE ASSENTO SOFA</t>
  </si>
  <si>
    <t>LAVIER ENCOSTO LAVATÓRIO</t>
  </si>
  <si>
    <t>ESPERA ENCOSTO</t>
  </si>
  <si>
    <t>MATISSE CAVA ASSENTO</t>
  </si>
  <si>
    <t>LAVIER ASSENTO LAVATÓRIO</t>
  </si>
  <si>
    <t>ESPERA ASSENTO</t>
  </si>
  <si>
    <t>LAVIER 1 ASSENTO SOFA</t>
  </si>
  <si>
    <t>LAVIER 2 ASSENTO SOFA</t>
  </si>
  <si>
    <t>FABIO</t>
  </si>
  <si>
    <t xml:space="preserve">HADASSA </t>
  </si>
  <si>
    <t>DELLON</t>
  </si>
  <si>
    <t>LAVIER 2 ASSENTO LAVATÓRIO</t>
  </si>
  <si>
    <t>LAVIER 2 ENCOSTO LAVATÓRIO</t>
  </si>
  <si>
    <t>RODRIGO</t>
  </si>
  <si>
    <t>PEÇAS RETAS</t>
  </si>
  <si>
    <t xml:space="preserve">ATHENAS ASSENTO CAVA SOFA </t>
  </si>
  <si>
    <t>ATHENAS BRAÇOS SOFA</t>
  </si>
  <si>
    <t xml:space="preserve">ATHENAS ENCOSTO CAVA SOFA </t>
  </si>
  <si>
    <t>ATHENAS FAIXA BRAÇO SOFA</t>
  </si>
  <si>
    <t>LUXO BRAÇO</t>
  </si>
  <si>
    <t>LADY PESEIRA</t>
  </si>
  <si>
    <t>ENDEREÇO: Rua Jundiai, 605</t>
  </si>
  <si>
    <t>BAIRRO: Monte Belo</t>
  </si>
  <si>
    <t>CIDADE: Itaququecetuba</t>
  </si>
  <si>
    <t>ENDEREÇO DE ENTREGA: Rua Jundiai, 605</t>
  </si>
  <si>
    <t>ENDEREÇO: Rua jundiai , 605</t>
  </si>
  <si>
    <t>CIDADE: Itaquaquecetuba</t>
  </si>
  <si>
    <t xml:space="preserve"> PEÇAS MODELADAS</t>
  </si>
  <si>
    <t>ATHENAS ENCOSTO</t>
  </si>
  <si>
    <t>ATHENAS ASSENTO</t>
  </si>
  <si>
    <t>ATHENAS TESTA</t>
  </si>
  <si>
    <t>BARBEIRO ENCOSTO</t>
  </si>
  <si>
    <t>CIRANDIA ENCOSTO</t>
  </si>
  <si>
    <t>ELITE DESCANSO LAVATÓRIO</t>
  </si>
  <si>
    <t>ELITE ENCOSTO LAVATÓRIO</t>
  </si>
  <si>
    <t>Chanfrado</t>
  </si>
  <si>
    <t>FERRARI ASSENTO</t>
  </si>
  <si>
    <t>FERRARI CABEÇOTE</t>
  </si>
  <si>
    <t>FERRARI ENCOSTO</t>
  </si>
  <si>
    <t xml:space="preserve">GOBBI ASSENTO </t>
  </si>
  <si>
    <t>GOBBI ENCOSTO</t>
  </si>
  <si>
    <t>IRON PESEIRA</t>
  </si>
  <si>
    <t>IRON ASSENTO</t>
  </si>
  <si>
    <t>IRON ASSENTO LAVATÓRIO</t>
  </si>
  <si>
    <t>IRON CABEÇOTE</t>
  </si>
  <si>
    <t xml:space="preserve">IRON ENCOSTO  </t>
  </si>
  <si>
    <t>IRON ENCOSTO LAVATÓRIO</t>
  </si>
  <si>
    <t>MAQUIAGE PEZEIRA</t>
  </si>
  <si>
    <t>MAQUIAGEM ASSENTO</t>
  </si>
  <si>
    <t>MAQUIAGEM CABEÇOTE</t>
  </si>
  <si>
    <t>MAQUIAGEM ENCOSTO</t>
  </si>
  <si>
    <t>MATISSE ASSENTO</t>
  </si>
  <si>
    <t>MATISSE CABEÇOTE</t>
  </si>
  <si>
    <t>MATISSE ENCOSTO</t>
  </si>
  <si>
    <t>MOCHO ASSENTO SELA</t>
  </si>
  <si>
    <t>MOCHO ENCOSTO</t>
  </si>
  <si>
    <t>Moldado cabeça de et</t>
  </si>
  <si>
    <t>ELITE/EVIDENCE/SPLENDOR-SOFA CABEÇOTE</t>
  </si>
  <si>
    <t>TOPAZIO ENCOSTO</t>
  </si>
  <si>
    <t>ENDEREÇO DE ENTREGA: Rua: Jundiai, 605</t>
  </si>
  <si>
    <t xml:space="preserve"> PEÇAS TRIÂNGULO</t>
  </si>
  <si>
    <t>LADO 1</t>
  </si>
  <si>
    <t>LADO 2</t>
  </si>
  <si>
    <t>LADO 3</t>
  </si>
  <si>
    <t>LOMBAR APOIO</t>
  </si>
  <si>
    <t xml:space="preserve">ENCOSTO SOFA LAVIE </t>
  </si>
  <si>
    <t xml:space="preserve">ASSENTO SOFA ESPERA </t>
  </si>
  <si>
    <t xml:space="preserve">ENCOSTO SOFA ESPERA </t>
  </si>
  <si>
    <t>0,580  x 0,500 x 0,060</t>
  </si>
  <si>
    <t xml:space="preserve">ENCOSTO LAVATORIO EVIDENCE </t>
  </si>
  <si>
    <t>0,470 X 0,385 X 0,060</t>
  </si>
  <si>
    <t xml:space="preserve">SOFA ASSENTO LAVIE </t>
  </si>
  <si>
    <t>0,520 x 0,500 x 0,100</t>
  </si>
  <si>
    <t>0,510 x 0,310 x 0,050</t>
  </si>
  <si>
    <t>compl</t>
  </si>
  <si>
    <t xml:space="preserve">larg.        ESP       </t>
  </si>
  <si>
    <t>0,310  x 0,027</t>
  </si>
  <si>
    <t>0,430  x  0,06</t>
  </si>
  <si>
    <t>0,520 x  0,06</t>
  </si>
  <si>
    <t>0,420 x  0,06</t>
  </si>
  <si>
    <t>0,30 x  0,01</t>
  </si>
  <si>
    <t>0,315 x  0,05</t>
  </si>
  <si>
    <t>0,38 x  0,05</t>
  </si>
  <si>
    <t>0,115 x 0,06</t>
  </si>
  <si>
    <t>0,500 x 0,07</t>
  </si>
  <si>
    <t>0,50 x 0,06</t>
  </si>
  <si>
    <t>0,445 x 0,6</t>
  </si>
  <si>
    <t>0,430 x 0,06</t>
  </si>
  <si>
    <t>0,175 x 0,05</t>
  </si>
  <si>
    <t>0,485 x 0,06</t>
  </si>
  <si>
    <t>0,12 x 0,06</t>
  </si>
  <si>
    <t>0,42 x 0,05</t>
  </si>
  <si>
    <t>0,40 x 0,06</t>
  </si>
  <si>
    <t>0,47 x 0,065</t>
  </si>
  <si>
    <t>0,47 x 0,05</t>
  </si>
  <si>
    <t>0,47 x 0,06</t>
  </si>
  <si>
    <t>0,46 x 0,06</t>
  </si>
  <si>
    <t>0,39x 0,050</t>
  </si>
  <si>
    <t>0,26 x 0,05</t>
  </si>
  <si>
    <t>0,125 x 0,06</t>
  </si>
  <si>
    <t>0,40 x 0,05</t>
  </si>
  <si>
    <t>0,430 x0,395 x 0,10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</si>
</sst>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$&quot;\ #,##0.00"/>
    <numFmt numFmtId="165" formatCode="0.0000"/>
    <numFmt numFmtId="166" formatCode="0.000"/>
    <numFmt numFmtId="167" formatCode="\(00\)\ 00000\ 0000"/>
    <numFmt numFmtId="168" formatCode="&quot;&quot;00&quot;.&quot;000&quot;.&quot;000&quot;/&quot;0000\-00"/>
    <numFmt numFmtId="169" formatCode="&quot;&quot;000&quot;.&quot;000&quot;.&quot;000&quot;.&quot;000&quot;-&quot;00"/>
    <numFmt numFmtId="170" formatCode="&quot;&quot;00&quot;.&quot;000\-000"/>
    <numFmt numFmtId="171" formatCode="&quot;&quot;00&quot;/&quot;00&quot;/&quot;00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5" xfId="0" applyNumberForma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3" borderId="4" xfId="0" applyFill="1" applyBorder="1" applyAlignment="1" applyProtection="1">
      <alignment horizontal="left" vertical="center"/>
      <protection hidden="1"/>
    </xf>
    <xf numFmtId="0" fontId="0" fillId="3" borderId="2" xfId="0" applyFill="1" applyBorder="1" applyAlignment="1" applyProtection="1">
      <alignment horizontal="left" vertical="center"/>
      <protection hidden="1"/>
    </xf>
    <xf numFmtId="0" fontId="0" fillId="3" borderId="4" xfId="0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hidden="1"/>
    </xf>
    <xf numFmtId="166" fontId="0" fillId="2" borderId="0" xfId="0" applyNumberFormat="1" applyFill="1" applyAlignment="1" applyProtection="1">
      <alignment horizontal="center" vertical="center" wrapText="1"/>
      <protection hidden="1"/>
    </xf>
    <xf numFmtId="166" fontId="0" fillId="2" borderId="2" xfId="0" applyNumberForma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65" fontId="5" fillId="0" borderId="1" xfId="0" applyNumberFormat="1" applyFont="1" applyBorder="1" applyAlignment="1" applyProtection="1">
      <alignment horizontal="center" vertical="center"/>
      <protection hidden="1"/>
    </xf>
    <xf numFmtId="164" fontId="5" fillId="4" borderId="1" xfId="0" applyNumberFormat="1" applyFont="1" applyFill="1" applyBorder="1" applyAlignment="1" applyProtection="1">
      <alignment horizontal="center" vertical="center"/>
      <protection hidden="1"/>
    </xf>
    <xf numFmtId="164" fontId="0" fillId="3" borderId="1" xfId="0" applyNumberFormat="1" applyFill="1" applyBorder="1" applyAlignment="1" applyProtection="1">
      <alignment horizontal="center" vertical="center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164" fontId="0" fillId="0" borderId="1" xfId="0" applyNumberFormat="1" applyBorder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6" fontId="0" fillId="3" borderId="2" xfId="0" applyNumberFormat="1" applyFill="1" applyBorder="1" applyAlignment="1" applyProtection="1">
      <alignment horizontal="center" vertical="center"/>
      <protection locked="0"/>
    </xf>
    <xf numFmtId="166" fontId="0" fillId="3" borderId="4" xfId="0" applyNumberForma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166" fontId="11" fillId="0" borderId="4" xfId="0" applyNumberFormat="1" applyFont="1" applyBorder="1" applyAlignment="1" applyProtection="1">
      <alignment horizontal="center" vertical="center" shrinkToFit="1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" fontId="9" fillId="0" borderId="12" xfId="0" applyNumberFormat="1" applyFont="1" applyBorder="1" applyAlignment="1" applyProtection="1">
      <alignment horizontal="center" vertical="center" shrinkToFit="1"/>
      <protection locked="0"/>
    </xf>
    <xf numFmtId="166" fontId="11" fillId="0" borderId="2" xfId="0" applyNumberFormat="1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166" fontId="0" fillId="0" borderId="3" xfId="0" applyNumberForma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166" fontId="0" fillId="0" borderId="11" xfId="0" applyNumberFormat="1" applyBorder="1" applyAlignment="1" applyProtection="1">
      <alignment horizontal="center" vertical="center"/>
      <protection locked="0"/>
    </xf>
    <xf numFmtId="2" fontId="0" fillId="0" borderId="11" xfId="0" applyNumberFormat="1" applyBorder="1" applyAlignment="1" applyProtection="1">
      <alignment horizontal="center" vertical="center"/>
      <protection locked="0"/>
    </xf>
    <xf numFmtId="165" fontId="0" fillId="0" borderId="5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hidden="1"/>
    </xf>
    <xf numFmtId="169" fontId="0" fillId="3" borderId="2" xfId="0" applyNumberFormat="1" applyFill="1" applyBorder="1" applyAlignment="1" applyProtection="1">
      <alignment horizontal="center" vertical="center"/>
      <protection hidden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3" borderId="4" xfId="0" applyFill="1" applyBorder="1" applyAlignment="1" applyProtection="1">
      <alignment horizontal="left" vertical="center"/>
      <protection locked="0"/>
    </xf>
    <xf numFmtId="14" fontId="0" fillId="3" borderId="0" xfId="0" applyNumberFormat="1" applyFill="1" applyAlignment="1" applyProtection="1">
      <alignment horizontal="center" vertical="center"/>
      <protection hidden="1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left" vertical="center"/>
      <protection locked="0" hidden="1"/>
    </xf>
    <xf numFmtId="0" fontId="0" fillId="3" borderId="0" xfId="0" applyFill="1" applyAlignment="1" applyProtection="1">
      <alignment horizontal="center" vertical="center"/>
      <protection locked="0" hidden="1"/>
    </xf>
    <xf numFmtId="0" fontId="0" fillId="3" borderId="4" xfId="0" applyFill="1" applyBorder="1" applyAlignment="1" applyProtection="1">
      <alignment horizontal="center" vertical="center"/>
      <protection locked="0"/>
    </xf>
    <xf numFmtId="170" fontId="0" fillId="3" borderId="4" xfId="0" applyNumberFormat="1" applyFill="1" applyBorder="1" applyAlignment="1" applyProtection="1">
      <alignment horizontal="center" vertical="center"/>
      <protection locked="0"/>
    </xf>
    <xf numFmtId="170" fontId="0" fillId="3" borderId="0" xfId="0" applyNumberFormat="1" applyFill="1" applyAlignment="1" applyProtection="1">
      <alignment horizontal="left" vertical="center"/>
      <protection locked="0" hidden="1"/>
    </xf>
    <xf numFmtId="171" fontId="0" fillId="3" borderId="4" xfId="0" applyNumberFormat="1" applyFill="1" applyBorder="1" applyAlignment="1" applyProtection="1">
      <alignment horizontal="left" vertical="center"/>
      <protection locked="0" hidden="1"/>
    </xf>
    <xf numFmtId="167" fontId="0" fillId="3" borderId="4" xfId="0" applyNumberFormat="1" applyFill="1" applyBorder="1" applyAlignment="1" applyProtection="1">
      <alignment horizontal="center" vertical="center"/>
      <protection locked="0"/>
    </xf>
    <xf numFmtId="167" fontId="0" fillId="3" borderId="0" xfId="0" applyNumberFormat="1" applyFill="1" applyAlignment="1" applyProtection="1">
      <alignment horizontal="left" vertical="center"/>
      <protection locked="0" hidden="1"/>
    </xf>
    <xf numFmtId="169" fontId="0" fillId="3" borderId="4" xfId="0" applyNumberFormat="1" applyFill="1" applyBorder="1" applyAlignment="1" applyProtection="1">
      <alignment horizontal="center" vertical="center"/>
      <protection locked="0"/>
    </xf>
    <xf numFmtId="169" fontId="0" fillId="3" borderId="0" xfId="0" applyNumberFormat="1" applyFill="1" applyAlignment="1" applyProtection="1">
      <alignment horizontal="left" vertical="center"/>
      <protection locked="0" hidden="1"/>
    </xf>
    <xf numFmtId="14" fontId="0" fillId="3" borderId="0" xfId="0" applyNumberFormat="1" applyFill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0" fillId="0" borderId="5" xfId="0" applyNumberFormat="1" applyBorder="1" applyAlignment="1" applyProtection="1">
      <alignment horizontal="left" vertical="center"/>
      <protection locked="0"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166" fontId="11" fillId="0" borderId="3" xfId="0" applyNumberFormat="1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 hidden="1"/>
    </xf>
    <xf numFmtId="166" fontId="11" fillId="0" borderId="4" xfId="0" applyNumberFormat="1" applyFont="1" applyBorder="1" applyAlignment="1" applyProtection="1">
      <alignment horizontal="center" vertical="center" shrinkToFit="1"/>
      <protection locked="0" hidden="1"/>
    </xf>
    <xf numFmtId="166" fontId="5" fillId="0" borderId="4" xfId="0" applyNumberFormat="1" applyFont="1" applyBorder="1" applyAlignment="1" applyProtection="1">
      <alignment horizontal="center" vertical="center" wrapText="1"/>
      <protection locked="0" hidden="1"/>
    </xf>
    <xf numFmtId="164" fontId="5" fillId="0" borderId="1" xfId="0" applyNumberFormat="1" applyFont="1" applyBorder="1" applyAlignment="1" applyProtection="1">
      <alignment horizontal="center" vertical="center"/>
      <protection locked="0" hidden="1"/>
    </xf>
    <xf numFmtId="164" fontId="0" fillId="3" borderId="0" xfId="0" applyNumberFormat="1" applyFill="1" applyAlignment="1" applyProtection="1">
      <alignment horizontal="center" vertical="center"/>
      <protection hidden="1"/>
    </xf>
    <xf numFmtId="1" fontId="9" fillId="0" borderId="12" xfId="0" applyNumberFormat="1" applyFont="1" applyBorder="1" applyAlignment="1" applyProtection="1">
      <alignment horizontal="center" vertical="center" shrinkToFit="1"/>
      <protection locked="0" hidden="1"/>
    </xf>
    <xf numFmtId="164" fontId="13" fillId="5" borderId="0" xfId="0" applyNumberFormat="1" applyFont="1" applyFill="1" applyAlignment="1" applyProtection="1">
      <alignment horizontal="center" vertical="center"/>
      <protection hidden="1"/>
    </xf>
    <xf numFmtId="164" fontId="0" fillId="3" borderId="7" xfId="0" applyNumberFormat="1" applyFill="1" applyBorder="1" applyAlignment="1" applyProtection="1">
      <alignment horizontal="center" vertical="center"/>
      <protection hidden="1"/>
    </xf>
    <xf numFmtId="0" fontId="10" fillId="0" borderId="12" xfId="0" applyFont="1" applyBorder="1" applyAlignment="1" applyProtection="1">
      <alignment horizontal="center" vertical="center" wrapText="1"/>
      <protection locked="0" hidden="1"/>
    </xf>
    <xf numFmtId="164" fontId="13" fillId="5" borderId="7" xfId="0" applyNumberFormat="1" applyFont="1" applyFill="1" applyBorder="1" applyAlignment="1" applyProtection="1">
      <alignment horizontal="center" vertical="center"/>
      <protection hidden="1"/>
    </xf>
    <xf numFmtId="166" fontId="11" fillId="0" borderId="2" xfId="0" applyNumberFormat="1" applyFont="1" applyBorder="1" applyAlignment="1" applyProtection="1">
      <alignment horizontal="center" vertical="center" shrinkToFit="1"/>
      <protection locked="0" hidden="1"/>
    </xf>
    <xf numFmtId="3" fontId="7" fillId="0" borderId="1" xfId="0" applyNumberFormat="1" applyFont="1" applyBorder="1" applyAlignment="1" applyProtection="1">
      <alignment horizontal="center" vertical="center"/>
      <protection locked="0" hidden="1"/>
    </xf>
    <xf numFmtId="166" fontId="0" fillId="0" borderId="11" xfId="0" applyNumberFormat="1" applyBorder="1" applyAlignment="1" applyProtection="1">
      <alignment horizontal="center" vertical="center"/>
      <protection locked="0"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2" borderId="10" xfId="0" applyFill="1" applyBorder="1" applyAlignment="1" applyProtection="1">
      <alignment horizontal="center" vertical="center"/>
      <protection hidden="1"/>
    </xf>
    <xf numFmtId="166" fontId="0" fillId="0" borderId="11" xfId="0" applyNumberFormat="1" applyBorder="1" applyAlignment="1" applyProtection="1">
      <alignment vertical="center"/>
      <protection locked="0" hidden="1"/>
    </xf>
    <xf numFmtId="166" fontId="0" fillId="0" borderId="11" xfId="0" applyNumberFormat="1" applyBorder="1" applyAlignment="1" applyProtection="1">
      <alignment horizontal="left" vertical="center"/>
      <protection locked="0" hidden="1"/>
    </xf>
    <xf numFmtId="0" fontId="0" fillId="0" borderId="1" xfId="0" applyBorder="1" applyAlignment="1" applyProtection="1">
      <alignment vertical="center"/>
      <protection hidden="1"/>
    </xf>
    <xf numFmtId="166" fontId="0" fillId="0" borderId="3" xfId="0" applyNumberFormat="1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166" fontId="0" fillId="0" borderId="1" xfId="0" applyNumberFormat="1" applyBorder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2" fontId="0" fillId="0" borderId="11" xfId="0" applyNumberFormat="1" applyBorder="1" applyAlignment="1" applyProtection="1">
      <alignment vertical="center"/>
      <protection locked="0"/>
    </xf>
    <xf numFmtId="166" fontId="0" fillId="0" borderId="14" xfId="0" applyNumberForma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3" borderId="3" xfId="0" applyFill="1" applyBorder="1" applyAlignment="1" applyProtection="1">
      <alignment horizontal="left" vertical="center"/>
      <protection hidden="1"/>
    </xf>
    <xf numFmtId="0" fontId="0" fillId="3" borderId="4" xfId="0" applyFill="1" applyBorder="1" applyAlignment="1" applyProtection="1">
      <alignment horizontal="left" vertical="center"/>
      <protection hidden="1"/>
    </xf>
    <xf numFmtId="0" fontId="0" fillId="3" borderId="4" xfId="0" applyFill="1" applyBorder="1" applyAlignment="1" applyProtection="1">
      <alignment horizontal="left" vertical="center"/>
      <protection locked="0" hidden="1"/>
    </xf>
    <xf numFmtId="0" fontId="0" fillId="3" borderId="5" xfId="0" applyFill="1" applyBorder="1" applyAlignment="1" applyProtection="1">
      <alignment horizontal="left" vertical="center"/>
      <protection locked="0" hidden="1"/>
    </xf>
    <xf numFmtId="0" fontId="7" fillId="3" borderId="3" xfId="0" applyFont="1" applyFill="1" applyBorder="1" applyAlignment="1" applyProtection="1">
      <alignment horizontal="left" vertical="center"/>
      <protection hidden="1"/>
    </xf>
    <xf numFmtId="0" fontId="7" fillId="3" borderId="4" xfId="0" applyFont="1" applyFill="1" applyBorder="1" applyAlignment="1" applyProtection="1">
      <alignment horizontal="left" vertical="center"/>
      <protection hidden="1"/>
    </xf>
    <xf numFmtId="0" fontId="0" fillId="3" borderId="2" xfId="0" applyFill="1" applyBorder="1" applyAlignment="1" applyProtection="1">
      <alignment horizontal="left" vertical="center"/>
      <protection locked="0" hidden="1"/>
    </xf>
    <xf numFmtId="0" fontId="0" fillId="3" borderId="2" xfId="0" applyFill="1" applyBorder="1" applyAlignment="1" applyProtection="1">
      <alignment horizontal="center" vertical="center"/>
      <protection locked="0" hidden="1"/>
    </xf>
    <xf numFmtId="0" fontId="0" fillId="3" borderId="15" xfId="0" applyFill="1" applyBorder="1" applyAlignment="1" applyProtection="1">
      <alignment horizontal="center" vertical="center"/>
      <protection locked="0" hidden="1"/>
    </xf>
    <xf numFmtId="170" fontId="0" fillId="3" borderId="4" xfId="0" applyNumberFormat="1" applyFill="1" applyBorder="1" applyAlignment="1" applyProtection="1">
      <alignment horizontal="left" vertical="center"/>
      <protection locked="0" hidden="1"/>
    </xf>
    <xf numFmtId="170" fontId="0" fillId="3" borderId="5" xfId="0" applyNumberFormat="1" applyFill="1" applyBorder="1" applyAlignment="1" applyProtection="1">
      <alignment horizontal="left" vertical="center"/>
      <protection locked="0" hidden="1"/>
    </xf>
    <xf numFmtId="0" fontId="6" fillId="0" borderId="0" xfId="0" applyFont="1" applyAlignment="1" applyProtection="1">
      <alignment horizontal="center" vertical="center"/>
      <protection hidden="1"/>
    </xf>
    <xf numFmtId="14" fontId="0" fillId="3" borderId="0" xfId="0" applyNumberFormat="1" applyFill="1" applyAlignment="1" applyProtection="1">
      <alignment horizontal="center" vertical="center"/>
      <protection hidden="1"/>
    </xf>
    <xf numFmtId="171" fontId="0" fillId="3" borderId="4" xfId="0" applyNumberFormat="1" applyFill="1" applyBorder="1" applyAlignment="1" applyProtection="1">
      <alignment horizontal="left" vertical="center"/>
      <protection locked="0" hidden="1"/>
    </xf>
    <xf numFmtId="167" fontId="0" fillId="3" borderId="4" xfId="0" applyNumberFormat="1" applyFill="1" applyBorder="1" applyAlignment="1" applyProtection="1">
      <alignment horizontal="left" vertical="center"/>
      <protection locked="0" hidden="1"/>
    </xf>
    <xf numFmtId="167" fontId="0" fillId="3" borderId="5" xfId="0" applyNumberFormat="1" applyFill="1" applyBorder="1" applyAlignment="1" applyProtection="1">
      <alignment horizontal="left" vertical="center"/>
      <protection locked="0" hidden="1"/>
    </xf>
    <xf numFmtId="168" fontId="0" fillId="3" borderId="4" xfId="0" applyNumberFormat="1" applyFill="1" applyBorder="1" applyAlignment="1" applyProtection="1">
      <alignment horizontal="left" vertical="center"/>
      <protection locked="0" hidden="1"/>
    </xf>
    <xf numFmtId="169" fontId="0" fillId="3" borderId="4" xfId="0" applyNumberFormat="1" applyFill="1" applyBorder="1" applyAlignment="1" applyProtection="1">
      <alignment horizontal="left" vertical="center"/>
      <protection locked="0" hidden="1"/>
    </xf>
    <xf numFmtId="169" fontId="0" fillId="3" borderId="5" xfId="0" applyNumberFormat="1" applyFill="1" applyBorder="1" applyAlignment="1" applyProtection="1">
      <alignment horizontal="left" vertical="center"/>
      <protection locked="0" hidden="1"/>
    </xf>
    <xf numFmtId="14" fontId="0" fillId="3" borderId="4" xfId="0" applyNumberFormat="1" applyFill="1" applyBorder="1" applyAlignment="1" applyProtection="1">
      <alignment horizontal="left" vertical="center"/>
      <protection hidden="1"/>
    </xf>
    <xf numFmtId="14" fontId="0" fillId="3" borderId="5" xfId="0" applyNumberFormat="1" applyFill="1" applyBorder="1" applyAlignment="1" applyProtection="1">
      <alignment horizontal="left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 wrapText="1"/>
      <protection hidden="1"/>
    </xf>
    <xf numFmtId="0" fontId="0" fillId="2" borderId="13" xfId="0" applyFill="1" applyBorder="1" applyAlignment="1" applyProtection="1">
      <alignment horizontal="center" vertical="center" wrapText="1"/>
      <protection hidden="1"/>
    </xf>
    <xf numFmtId="0" fontId="0" fillId="2" borderId="9" xfId="0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15" xfId="0" applyFill="1" applyBorder="1" applyAlignment="1" applyProtection="1">
      <alignment horizontal="center" vertical="center"/>
      <protection hidden="1"/>
    </xf>
    <xf numFmtId="0" fontId="0" fillId="2" borderId="10" xfId="0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168" fontId="0" fillId="3" borderId="4" xfId="0" applyNumberFormat="1" applyFill="1" applyBorder="1" applyAlignment="1" applyProtection="1">
      <alignment horizontal="left" vertical="center"/>
      <protection locked="0"/>
    </xf>
    <xf numFmtId="169" fontId="0" fillId="3" borderId="4" xfId="0" applyNumberFormat="1" applyFill="1" applyBorder="1" applyAlignment="1" applyProtection="1">
      <alignment horizontal="left" vertical="center"/>
      <protection locked="0"/>
    </xf>
    <xf numFmtId="169" fontId="0" fillId="3" borderId="5" xfId="0" applyNumberFormat="1" applyFill="1" applyBorder="1" applyAlignment="1" applyProtection="1">
      <alignment horizontal="left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15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3" borderId="5" xfId="0" applyFill="1" applyBorder="1" applyAlignment="1" applyProtection="1">
      <alignment horizontal="left" vertical="center"/>
      <protection locked="0"/>
    </xf>
    <xf numFmtId="0" fontId="0" fillId="3" borderId="2" xfId="0" applyFill="1" applyBorder="1" applyAlignment="1" applyProtection="1">
      <alignment horizontal="left" vertical="center"/>
      <protection hidden="1"/>
    </xf>
    <xf numFmtId="0" fontId="0" fillId="2" borderId="8" xfId="0" applyFill="1" applyBorder="1" applyAlignment="1" applyProtection="1">
      <alignment horizontal="center" vertical="center" wrapText="1"/>
      <protection hidden="1"/>
    </xf>
    <xf numFmtId="170" fontId="0" fillId="3" borderId="4" xfId="0" applyNumberFormat="1" applyFill="1" applyBorder="1" applyAlignment="1" applyProtection="1">
      <alignment horizontal="left" vertical="center"/>
      <protection locked="0"/>
    </xf>
    <xf numFmtId="170" fontId="0" fillId="3" borderId="5" xfId="0" applyNumberFormat="1" applyFill="1" applyBorder="1" applyAlignment="1" applyProtection="1">
      <alignment horizontal="left" vertical="center"/>
      <protection locked="0"/>
    </xf>
    <xf numFmtId="167" fontId="0" fillId="3" borderId="4" xfId="0" applyNumberFormat="1" applyFill="1" applyBorder="1" applyAlignment="1" applyProtection="1">
      <alignment horizontal="left" vertical="center"/>
      <protection locked="0"/>
    </xf>
    <xf numFmtId="167" fontId="0" fillId="3" borderId="5" xfId="0" applyNumberFormat="1" applyFill="1" applyBorder="1" applyAlignment="1" applyProtection="1">
      <alignment horizontal="left" vertical="center"/>
      <protection locked="0"/>
    </xf>
    <xf numFmtId="14" fontId="0" fillId="3" borderId="4" xfId="0" applyNumberFormat="1" applyFill="1" applyBorder="1" applyAlignment="1" applyProtection="1">
      <alignment horizontal="left" vertical="center"/>
      <protection locked="0"/>
    </xf>
    <xf numFmtId="14" fontId="0" fillId="3" borderId="5" xfId="0" applyNumberFormat="1" applyFill="1" applyBorder="1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center" vertical="center"/>
      <protection hidden="1"/>
    </xf>
    <xf numFmtId="166" fontId="0" fillId="0" borderId="1" xfId="0" applyNumberFormat="1" applyBorder="1" applyAlignment="1" applyProtection="1">
      <alignment vertical="center"/>
      <protection locked="0"/>
    </xf>
    <xf numFmtId="0" fontId="0" fillId="3" borderId="2" xfId="0" applyFill="1" applyBorder="1" applyAlignment="1" applyProtection="1">
      <alignment horizontal="left" vertical="center"/>
      <protection locked="0"/>
    </xf>
    <xf numFmtId="171" fontId="0" fillId="3" borderId="4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155575</xdr:colOff>
      <xdr:row>0</xdr:row>
      <xdr:rowOff>57150</xdr:rowOff>
    </xdr:from>
    <xdr:to>
      <xdr:col>9</xdr:col>
      <xdr:colOff>1069975</xdr:colOff>
      <xdr:row>4</xdr:row>
      <xdr:rowOff>22296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5D68D1-08C8-4E09-8C27-64961864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" y="57150"/>
          <a:ext cx="1495425" cy="73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155575</xdr:colOff>
      <xdr:row>0</xdr:row>
      <xdr:rowOff>57150</xdr:rowOff>
    </xdr:from>
    <xdr:to>
      <xdr:col>7</xdr:col>
      <xdr:colOff>1069975</xdr:colOff>
      <xdr:row>4</xdr:row>
      <xdr:rowOff>26106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692C12-62D1-424F-AE75-B4E5385B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25" y="57150"/>
          <a:ext cx="1495425" cy="73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155575</xdr:colOff>
      <xdr:row>0</xdr:row>
      <xdr:rowOff>57150</xdr:rowOff>
    </xdr:from>
    <xdr:to>
      <xdr:col>9</xdr:col>
      <xdr:colOff>1069975</xdr:colOff>
      <xdr:row>4</xdr:row>
      <xdr:rowOff>26106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8507D1-D60A-4FF5-8BF7-8F728C4E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" y="57150"/>
          <a:ext cx="1495425" cy="730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006B2FD3-7A31-407B-986D-64D2AC366857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5A084AD3-A1EF-41C3-9581-713F3ACCE573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FA4FABB-16F3-47EB-B994-E544BB13A1AB}"/>
</namedSheetView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F63A-C9F7-48F1-A407-472F72CECE50}">
  <sheetPr filterMode="1"/>
  <dimension ref="B2:Z56"/>
  <sheetViews>
    <sheetView showGridLines="0" topLeftCell="A13" zoomScaleNormal="100" workbookViewId="0">
      <selection activeCell="J17" sqref="J17:J18"/>
    </sheetView>
  </sheetViews>
  <sheetFormatPr defaultColWidth="8.6640625" defaultRowHeight="14.4" x14ac:dyDescent="0.3"/>
  <cols>
    <col min="1" max="1" width="4.33203125" style="24" customWidth="1"/>
    <col min="2" max="7" width="8.6640625" style="24" hidden="1" customWidth="1"/>
    <col min="8" max="8" width="1.44140625" style="24" hidden="1" customWidth="1"/>
    <col min="9" max="9" width="8.6640625" style="22"/>
    <col min="10" max="10" width="24.109375" style="23" customWidth="1"/>
    <col min="11" max="11" width="5" style="24" customWidth="1"/>
    <col min="12" max="12" width="5.88671875" style="24" customWidth="1"/>
    <col min="13" max="13" width="13.109375" style="24" customWidth="1"/>
    <col min="14" max="14" width="6.88671875" style="31" customWidth="1"/>
    <col min="15" max="15" width="1.44140625" style="24" customWidth="1"/>
    <col min="16" max="16" width="16.21875" style="31" customWidth="1"/>
    <col min="17" max="17" width="9.109375" style="24" customWidth="1"/>
    <col min="18" max="18" width="11.33203125" style="24" customWidth="1"/>
    <col min="19" max="19" width="12.109375" style="24" customWidth="1"/>
    <col min="20" max="20" width="19.44140625" style="24" customWidth="1"/>
    <col min="21" max="21" width="24.6640625" style="24" customWidth="1"/>
    <col min="22" max="22" width="14.6640625" style="24" customWidth="1"/>
    <col min="23" max="16384" width="8.6640625" style="24"/>
  </cols>
  <sheetData>
    <row r="2" spans="9:26" x14ac:dyDescent="0.3">
      <c r="M2" s="99"/>
      <c r="N2" s="99"/>
      <c r="O2" s="99"/>
      <c r="P2" s="99"/>
      <c r="Q2" s="99"/>
    </row>
    <row r="3" spans="9:26" s="25" customFormat="1" x14ac:dyDescent="0.3">
      <c r="I3" s="22"/>
      <c r="J3" s="23"/>
      <c r="K3" s="24"/>
      <c r="L3" s="100" t="s">
        <v>0</v>
      </c>
      <c r="M3" s="100"/>
      <c r="N3" s="100"/>
      <c r="O3" s="100"/>
      <c r="P3" s="100"/>
      <c r="Q3" s="100"/>
      <c r="T3" s="24"/>
      <c r="U3" s="24"/>
      <c r="V3" s="24"/>
      <c r="W3" s="24"/>
      <c r="X3" s="24"/>
    </row>
    <row r="4" spans="9:26" s="25" customFormat="1" x14ac:dyDescent="0.3">
      <c r="I4" s="22"/>
      <c r="J4" s="23"/>
      <c r="K4" s="100" t="s">
        <v>1</v>
      </c>
      <c r="L4" s="100"/>
      <c r="M4" s="100"/>
      <c r="N4" s="100"/>
      <c r="O4" s="100"/>
      <c r="P4" s="100"/>
      <c r="Q4" s="100"/>
      <c r="T4" s="24"/>
      <c r="U4" s="24"/>
    </row>
    <row r="5" spans="9:26" s="25" customFormat="1" x14ac:dyDescent="0.3">
      <c r="I5" s="22"/>
      <c r="J5" s="23"/>
      <c r="K5" s="101" t="s">
        <v>26</v>
      </c>
      <c r="L5" s="101"/>
      <c r="M5" s="101"/>
      <c r="N5" s="101"/>
      <c r="O5" s="101"/>
      <c r="P5" s="101"/>
      <c r="Q5" s="101"/>
      <c r="T5" s="24"/>
      <c r="U5" s="24"/>
      <c r="V5" s="24"/>
    </row>
    <row r="6" spans="9:26" x14ac:dyDescent="0.3">
      <c r="I6" s="102" t="s">
        <v>2</v>
      </c>
      <c r="J6" s="103"/>
      <c r="K6" s="103"/>
      <c r="L6" s="104" t="s">
        <v>49</v>
      </c>
      <c r="M6" s="104"/>
      <c r="N6" s="104"/>
      <c r="O6" s="104"/>
      <c r="P6" s="104"/>
      <c r="Q6" s="104"/>
      <c r="R6" s="104"/>
      <c r="S6" s="104"/>
      <c r="T6" s="105"/>
      <c r="U6" s="58"/>
    </row>
    <row r="7" spans="9:26" x14ac:dyDescent="0.3">
      <c r="I7" s="106" t="s">
        <v>3</v>
      </c>
      <c r="J7" s="107"/>
      <c r="K7" s="55"/>
      <c r="L7" s="108" t="s">
        <v>48</v>
      </c>
      <c r="M7" s="108"/>
      <c r="N7" s="108"/>
      <c r="O7" s="108"/>
      <c r="P7" s="26"/>
      <c r="Q7" s="5"/>
      <c r="R7" s="57"/>
      <c r="S7" s="109"/>
      <c r="T7" s="110"/>
      <c r="U7" s="59"/>
    </row>
    <row r="8" spans="9:26" x14ac:dyDescent="0.3">
      <c r="I8" s="102" t="s">
        <v>64</v>
      </c>
      <c r="J8" s="103"/>
      <c r="K8" s="103"/>
      <c r="L8" s="104"/>
      <c r="M8" s="104"/>
      <c r="N8" s="104"/>
      <c r="O8" s="104"/>
      <c r="P8" s="27"/>
      <c r="Q8" s="4"/>
      <c r="R8" s="60"/>
      <c r="S8" s="104"/>
      <c r="T8" s="105"/>
      <c r="U8" s="58"/>
      <c r="V8" s="28"/>
    </row>
    <row r="9" spans="9:26" x14ac:dyDescent="0.3">
      <c r="I9" s="102" t="s">
        <v>61</v>
      </c>
      <c r="J9" s="103"/>
      <c r="K9" s="103"/>
      <c r="L9" s="104"/>
      <c r="M9" s="104"/>
      <c r="N9" s="104"/>
      <c r="O9" s="104"/>
      <c r="P9" s="27"/>
      <c r="Q9" s="4"/>
      <c r="R9" s="61"/>
      <c r="S9" s="111"/>
      <c r="T9" s="112"/>
      <c r="U9" s="62"/>
    </row>
    <row r="10" spans="9:26" x14ac:dyDescent="0.3">
      <c r="I10" s="102" t="s">
        <v>65</v>
      </c>
      <c r="J10" s="103"/>
      <c r="K10" s="103"/>
      <c r="L10" s="104"/>
      <c r="M10" s="104"/>
      <c r="N10" s="104"/>
      <c r="O10" s="104"/>
      <c r="P10" s="27"/>
      <c r="Q10" s="4"/>
      <c r="R10" s="60"/>
      <c r="S10" s="104"/>
      <c r="T10" s="105"/>
      <c r="U10" s="58"/>
    </row>
    <row r="11" spans="9:26" x14ac:dyDescent="0.3">
      <c r="I11" s="102" t="s">
        <v>8</v>
      </c>
      <c r="J11" s="103"/>
      <c r="K11" s="103"/>
      <c r="L11" s="115"/>
      <c r="M11" s="115"/>
      <c r="N11" s="115"/>
      <c r="O11" s="115"/>
      <c r="P11" s="27"/>
      <c r="Q11" s="4"/>
      <c r="R11" s="64"/>
      <c r="S11" s="116"/>
      <c r="T11" s="117"/>
      <c r="U11" s="65"/>
    </row>
    <row r="12" spans="9:26" x14ac:dyDescent="0.3">
      <c r="I12" s="102" t="s">
        <v>10</v>
      </c>
      <c r="J12" s="103"/>
      <c r="K12" s="103"/>
      <c r="L12" s="118"/>
      <c r="M12" s="118"/>
      <c r="N12" s="118"/>
      <c r="O12" s="118"/>
      <c r="P12" s="27"/>
      <c r="Q12" s="4" t="s">
        <v>11</v>
      </c>
      <c r="R12" s="66"/>
      <c r="S12" s="119"/>
      <c r="T12" s="120"/>
      <c r="U12" s="67"/>
    </row>
    <row r="13" spans="9:26" x14ac:dyDescent="0.3">
      <c r="I13" s="102" t="s">
        <v>63</v>
      </c>
      <c r="J13" s="103"/>
      <c r="K13" s="103"/>
      <c r="L13" s="104"/>
      <c r="M13" s="104"/>
      <c r="N13" s="104"/>
      <c r="O13" s="104"/>
      <c r="P13" s="27"/>
      <c r="Q13" s="103"/>
      <c r="R13" s="103"/>
      <c r="S13" s="121"/>
      <c r="T13" s="122"/>
      <c r="U13" s="68"/>
    </row>
    <row r="14" spans="9:26" s="25" customFormat="1" x14ac:dyDescent="0.3">
      <c r="I14" s="29"/>
      <c r="J14" s="30"/>
      <c r="M14" s="123"/>
      <c r="N14" s="123"/>
      <c r="O14" s="123"/>
      <c r="P14" s="31"/>
      <c r="Q14" s="24"/>
      <c r="R14" s="24"/>
      <c r="S14" s="24"/>
      <c r="T14" s="32"/>
      <c r="U14" s="32"/>
      <c r="V14" s="32"/>
      <c r="Z14" s="69"/>
    </row>
    <row r="15" spans="9:26" s="25" customFormat="1" x14ac:dyDescent="0.3">
      <c r="I15" s="7" t="s">
        <v>13</v>
      </c>
      <c r="J15" s="70"/>
      <c r="K15" s="1"/>
      <c r="L15" s="113" t="s">
        <v>66</v>
      </c>
      <c r="M15" s="113"/>
      <c r="N15" s="113"/>
      <c r="O15" s="113"/>
      <c r="P15" s="113"/>
      <c r="Q15" s="114"/>
      <c r="R15" s="114"/>
      <c r="S15" s="114"/>
      <c r="T15" s="114"/>
      <c r="U15" s="56"/>
      <c r="V15" s="32"/>
    </row>
    <row r="17" spans="2:22" ht="17.25" customHeight="1" x14ac:dyDescent="0.3">
      <c r="I17" s="130" t="s">
        <v>14</v>
      </c>
      <c r="J17" s="126" t="s">
        <v>27</v>
      </c>
      <c r="K17" s="132" t="s">
        <v>15</v>
      </c>
      <c r="L17" s="133"/>
      <c r="M17" s="132" t="s">
        <v>16</v>
      </c>
      <c r="N17" s="136"/>
      <c r="O17" s="136"/>
      <c r="P17" s="136"/>
      <c r="Q17" s="126" t="s">
        <v>17</v>
      </c>
      <c r="R17" s="124" t="s">
        <v>18</v>
      </c>
      <c r="S17" s="124" t="s">
        <v>30</v>
      </c>
      <c r="T17" s="126" t="s">
        <v>19</v>
      </c>
      <c r="U17" s="72"/>
    </row>
    <row r="18" spans="2:22" ht="16.5" hidden="1" customHeight="1" x14ac:dyDescent="0.3">
      <c r="I18" s="131"/>
      <c r="J18" s="127"/>
      <c r="K18" s="134"/>
      <c r="L18" s="135"/>
      <c r="M18" s="134"/>
      <c r="N18" s="10" t="s">
        <v>113</v>
      </c>
      <c r="O18" s="9"/>
      <c r="P18" s="11" t="s">
        <v>114</v>
      </c>
      <c r="Q18" s="127"/>
      <c r="R18" s="125"/>
      <c r="S18" s="125"/>
      <c r="T18" s="127"/>
      <c r="U18" s="72"/>
    </row>
    <row r="19" spans="2:22" hidden="1" x14ac:dyDescent="0.3">
      <c r="B19" s="73">
        <v>1</v>
      </c>
      <c r="C19" s="74" t="s">
        <v>21</v>
      </c>
      <c r="D19" s="36">
        <v>0.02</v>
      </c>
      <c r="E19" s="35">
        <f t="shared" ref="E19:E47" si="0">SUM(N19:N19)</f>
        <v>0.48</v>
      </c>
      <c r="F19" s="37">
        <v>0</v>
      </c>
      <c r="G19" s="35">
        <f t="shared" ref="G19:G47" si="1">SUM(P19:P19)</f>
        <v>0</v>
      </c>
      <c r="H19" s="33">
        <f t="shared" ref="H19:H29" si="2">SUM(B19*E19*G19)</f>
        <v>0</v>
      </c>
      <c r="I19" s="75">
        <v>25</v>
      </c>
      <c r="J19" s="34" t="s">
        <v>67</v>
      </c>
      <c r="K19" s="12" t="s">
        <v>20</v>
      </c>
      <c r="L19" s="13">
        <v>3503</v>
      </c>
      <c r="M19" s="14" t="s">
        <v>22</v>
      </c>
      <c r="N19" s="76">
        <v>0.48</v>
      </c>
      <c r="O19" s="36" t="s">
        <v>21</v>
      </c>
      <c r="P19" s="77" t="s">
        <v>116</v>
      </c>
      <c r="Q19" s="15">
        <f>SUM(I19*B19*E19*G19+D19)</f>
        <v>0.02</v>
      </c>
      <c r="R19" s="78">
        <v>865</v>
      </c>
      <c r="S19" s="16">
        <f t="shared" ref="S19:S47" si="3">SUM(B19*E19*G19*R19)</f>
        <v>0</v>
      </c>
      <c r="T19" s="17">
        <f>SUM(Q19*R19)</f>
        <v>17.3</v>
      </c>
      <c r="U19" s="79"/>
    </row>
    <row r="20" spans="2:22" hidden="1" x14ac:dyDescent="0.3">
      <c r="B20" s="73"/>
      <c r="C20" s="74"/>
      <c r="D20" s="36"/>
      <c r="E20" s="35"/>
      <c r="F20" s="37"/>
      <c r="G20" s="35"/>
      <c r="H20" s="33"/>
      <c r="I20" s="75">
        <v>25</v>
      </c>
      <c r="J20" s="34" t="s">
        <v>68</v>
      </c>
      <c r="K20" s="12" t="s">
        <v>20</v>
      </c>
      <c r="L20" s="13">
        <v>3503</v>
      </c>
      <c r="M20" s="14" t="s">
        <v>22</v>
      </c>
      <c r="N20" s="76">
        <v>0.46500000000000002</v>
      </c>
      <c r="O20" s="36" t="s">
        <v>21</v>
      </c>
      <c r="P20" s="77" t="s">
        <v>117</v>
      </c>
      <c r="Q20" s="15"/>
      <c r="R20" s="78"/>
      <c r="S20" s="16"/>
      <c r="T20" s="17"/>
      <c r="U20" s="79"/>
    </row>
    <row r="21" spans="2:22" hidden="1" x14ac:dyDescent="0.3">
      <c r="B21" s="73"/>
      <c r="C21" s="74"/>
      <c r="D21" s="36"/>
      <c r="E21" s="35"/>
      <c r="F21" s="37"/>
      <c r="G21" s="35"/>
      <c r="H21" s="33"/>
      <c r="I21" s="75"/>
      <c r="J21" s="34" t="s">
        <v>69</v>
      </c>
      <c r="K21" s="12" t="s">
        <v>20</v>
      </c>
      <c r="L21" s="13">
        <v>3503</v>
      </c>
      <c r="M21" s="14" t="s">
        <v>22</v>
      </c>
      <c r="N21" s="76">
        <v>0.5</v>
      </c>
      <c r="O21" s="36" t="s">
        <v>21</v>
      </c>
      <c r="P21" s="77" t="s">
        <v>115</v>
      </c>
      <c r="Q21" s="15"/>
      <c r="R21" s="78"/>
      <c r="S21" s="16"/>
      <c r="T21" s="17"/>
      <c r="U21" s="79"/>
    </row>
    <row r="22" spans="2:22" hidden="1" x14ac:dyDescent="0.3">
      <c r="B22" s="73">
        <v>1</v>
      </c>
      <c r="C22" s="74" t="s">
        <v>21</v>
      </c>
      <c r="D22" s="36">
        <v>0.02</v>
      </c>
      <c r="E22" s="35">
        <f t="shared" si="0"/>
        <v>0.46</v>
      </c>
      <c r="F22" s="37">
        <v>0</v>
      </c>
      <c r="G22" s="35">
        <f t="shared" si="1"/>
        <v>0</v>
      </c>
      <c r="H22" s="33">
        <f t="shared" si="2"/>
        <v>0</v>
      </c>
      <c r="I22" s="75"/>
      <c r="J22" s="34" t="s">
        <v>70</v>
      </c>
      <c r="K22" s="12" t="s">
        <v>20</v>
      </c>
      <c r="L22" s="13">
        <v>3503</v>
      </c>
      <c r="M22" s="14" t="s">
        <v>22</v>
      </c>
      <c r="N22" s="76">
        <v>0.46</v>
      </c>
      <c r="O22" s="36" t="s">
        <v>21</v>
      </c>
      <c r="P22" s="77" t="s">
        <v>118</v>
      </c>
      <c r="Q22" s="15">
        <f t="shared" ref="Q22:Q47" si="4">SUM(I22*B22*E22*G22+D22)</f>
        <v>0.02</v>
      </c>
      <c r="R22" s="78">
        <v>865</v>
      </c>
      <c r="S22" s="16">
        <f t="shared" si="3"/>
        <v>0</v>
      </c>
      <c r="T22" s="17">
        <f>SUM(Q22*R22)</f>
        <v>17.3</v>
      </c>
      <c r="U22" s="79"/>
    </row>
    <row r="23" spans="2:22" hidden="1" x14ac:dyDescent="0.3">
      <c r="B23" s="73">
        <v>1</v>
      </c>
      <c r="C23" s="74" t="s">
        <v>21</v>
      </c>
      <c r="D23" s="36">
        <v>0.02</v>
      </c>
      <c r="E23" s="35">
        <f t="shared" si="0"/>
        <v>0.4</v>
      </c>
      <c r="F23" s="37">
        <v>0</v>
      </c>
      <c r="G23" s="35">
        <f t="shared" si="1"/>
        <v>0</v>
      </c>
      <c r="H23" s="33">
        <f t="shared" si="2"/>
        <v>0</v>
      </c>
      <c r="I23" s="80"/>
      <c r="J23" s="34" t="s">
        <v>71</v>
      </c>
      <c r="K23" s="12" t="s">
        <v>20</v>
      </c>
      <c r="L23" s="13">
        <v>3503</v>
      </c>
      <c r="M23" s="14" t="s">
        <v>22</v>
      </c>
      <c r="N23" s="76">
        <v>0.4</v>
      </c>
      <c r="O23" s="36" t="s">
        <v>21</v>
      </c>
      <c r="P23" s="77" t="s">
        <v>119</v>
      </c>
      <c r="Q23" s="15">
        <f t="shared" si="4"/>
        <v>0.02</v>
      </c>
      <c r="R23" s="78">
        <v>865</v>
      </c>
      <c r="S23" s="16">
        <f t="shared" si="3"/>
        <v>0</v>
      </c>
      <c r="T23" s="17">
        <f t="shared" ref="T23:T29" si="5">SUM(I23*S23)</f>
        <v>0</v>
      </c>
      <c r="U23" s="79"/>
    </row>
    <row r="24" spans="2:22" ht="28.8" hidden="1" x14ac:dyDescent="0.3">
      <c r="B24" s="73">
        <v>1</v>
      </c>
      <c r="C24" s="74" t="s">
        <v>21</v>
      </c>
      <c r="D24" s="36">
        <v>0.02</v>
      </c>
      <c r="E24" s="35">
        <f t="shared" si="0"/>
        <v>0.46</v>
      </c>
      <c r="F24" s="37">
        <v>0</v>
      </c>
      <c r="G24" s="35">
        <f t="shared" si="1"/>
        <v>0</v>
      </c>
      <c r="H24" s="33">
        <f t="shared" si="2"/>
        <v>0</v>
      </c>
      <c r="I24" s="80"/>
      <c r="J24" s="34" t="s">
        <v>72</v>
      </c>
      <c r="K24" s="12" t="s">
        <v>20</v>
      </c>
      <c r="L24" s="13">
        <v>3503</v>
      </c>
      <c r="M24" s="14" t="s">
        <v>22</v>
      </c>
      <c r="N24" s="76">
        <v>0.46</v>
      </c>
      <c r="O24" s="36" t="s">
        <v>21</v>
      </c>
      <c r="P24" s="77" t="s">
        <v>120</v>
      </c>
      <c r="Q24" s="15">
        <f t="shared" si="4"/>
        <v>0.02</v>
      </c>
      <c r="R24" s="78">
        <v>865</v>
      </c>
      <c r="S24" s="16">
        <f t="shared" si="3"/>
        <v>0</v>
      </c>
      <c r="T24" s="17">
        <f t="shared" si="5"/>
        <v>0</v>
      </c>
      <c r="U24" s="79"/>
    </row>
    <row r="25" spans="2:22" ht="28.8" hidden="1" x14ac:dyDescent="0.3">
      <c r="B25" s="73">
        <v>1</v>
      </c>
      <c r="C25" s="74" t="s">
        <v>21</v>
      </c>
      <c r="D25" s="36">
        <v>0.02</v>
      </c>
      <c r="E25" s="35">
        <f t="shared" si="0"/>
        <v>0.495</v>
      </c>
      <c r="F25" s="37">
        <v>0</v>
      </c>
      <c r="G25" s="35">
        <f t="shared" si="1"/>
        <v>0</v>
      </c>
      <c r="H25" s="33">
        <f t="shared" si="2"/>
        <v>0</v>
      </c>
      <c r="I25" s="80"/>
      <c r="J25" s="34" t="s">
        <v>73</v>
      </c>
      <c r="K25" s="12" t="s">
        <v>20</v>
      </c>
      <c r="L25" s="13">
        <v>3503</v>
      </c>
      <c r="M25" s="14" t="s">
        <v>22</v>
      </c>
      <c r="N25" s="76">
        <v>0.495</v>
      </c>
      <c r="O25" s="36" t="s">
        <v>21</v>
      </c>
      <c r="P25" s="77" t="s">
        <v>121</v>
      </c>
      <c r="Q25" s="15">
        <f t="shared" si="4"/>
        <v>0.02</v>
      </c>
      <c r="R25" s="78">
        <v>865</v>
      </c>
      <c r="S25" s="16">
        <f t="shared" si="3"/>
        <v>0</v>
      </c>
      <c r="T25" s="17">
        <f t="shared" si="5"/>
        <v>0</v>
      </c>
      <c r="U25" s="81" t="s">
        <v>74</v>
      </c>
    </row>
    <row r="26" spans="2:22" hidden="1" x14ac:dyDescent="0.3">
      <c r="B26" s="73">
        <v>1</v>
      </c>
      <c r="C26" s="74" t="s">
        <v>21</v>
      </c>
      <c r="D26" s="36">
        <v>0.02</v>
      </c>
      <c r="E26" s="35">
        <f t="shared" si="0"/>
        <v>0.48499999999999999</v>
      </c>
      <c r="F26" s="37">
        <v>0</v>
      </c>
      <c r="G26" s="35">
        <f t="shared" si="1"/>
        <v>0</v>
      </c>
      <c r="H26" s="33">
        <f t="shared" si="2"/>
        <v>0</v>
      </c>
      <c r="I26" s="80">
        <v>10</v>
      </c>
      <c r="J26" s="34" t="s">
        <v>75</v>
      </c>
      <c r="K26" s="12" t="s">
        <v>20</v>
      </c>
      <c r="L26" s="13">
        <v>3503</v>
      </c>
      <c r="M26" s="14" t="s">
        <v>22</v>
      </c>
      <c r="N26" s="76">
        <v>0.48499999999999999</v>
      </c>
      <c r="O26" s="36" t="s">
        <v>21</v>
      </c>
      <c r="P26" s="77" t="s">
        <v>124</v>
      </c>
      <c r="Q26" s="15">
        <f t="shared" si="4"/>
        <v>0.02</v>
      </c>
      <c r="R26" s="78">
        <v>865</v>
      </c>
      <c r="S26" s="16">
        <f t="shared" si="3"/>
        <v>0</v>
      </c>
      <c r="T26" s="17">
        <f t="shared" si="5"/>
        <v>0</v>
      </c>
      <c r="U26" s="79"/>
    </row>
    <row r="27" spans="2:22" hidden="1" x14ac:dyDescent="0.3">
      <c r="B27" s="73"/>
      <c r="C27" s="74"/>
      <c r="D27" s="36"/>
      <c r="E27" s="35">
        <f t="shared" si="0"/>
        <v>0.17499999999999999</v>
      </c>
      <c r="F27" s="37"/>
      <c r="G27" s="35">
        <f t="shared" si="1"/>
        <v>0</v>
      </c>
      <c r="H27" s="33"/>
      <c r="I27" s="80">
        <v>20</v>
      </c>
      <c r="J27" s="34" t="s">
        <v>76</v>
      </c>
      <c r="K27" s="12" t="s">
        <v>20</v>
      </c>
      <c r="L27" s="13">
        <v>3503</v>
      </c>
      <c r="M27" s="14" t="s">
        <v>22</v>
      </c>
      <c r="N27" s="76">
        <v>0.17499999999999999</v>
      </c>
      <c r="O27" s="36" t="s">
        <v>21</v>
      </c>
      <c r="P27" s="77" t="s">
        <v>122</v>
      </c>
      <c r="Q27" s="15"/>
      <c r="R27" s="78"/>
      <c r="S27" s="16"/>
      <c r="T27" s="17"/>
      <c r="U27" s="79"/>
    </row>
    <row r="28" spans="2:22" hidden="1" x14ac:dyDescent="0.3">
      <c r="B28" s="73">
        <v>1</v>
      </c>
      <c r="C28" s="74" t="s">
        <v>21</v>
      </c>
      <c r="D28" s="36">
        <v>0.02</v>
      </c>
      <c r="E28" s="35">
        <f t="shared" si="0"/>
        <v>0.53</v>
      </c>
      <c r="F28" s="37">
        <v>0</v>
      </c>
      <c r="G28" s="35">
        <f t="shared" si="1"/>
        <v>0</v>
      </c>
      <c r="H28" s="33">
        <f t="shared" si="2"/>
        <v>0</v>
      </c>
      <c r="I28" s="80">
        <v>6</v>
      </c>
      <c r="J28" s="34" t="s">
        <v>77</v>
      </c>
      <c r="K28" s="12" t="s">
        <v>20</v>
      </c>
      <c r="L28" s="13">
        <v>3503</v>
      </c>
      <c r="M28" s="14" t="s">
        <v>22</v>
      </c>
      <c r="N28" s="76">
        <v>0.53</v>
      </c>
      <c r="O28" s="36" t="s">
        <v>21</v>
      </c>
      <c r="P28" s="77" t="s">
        <v>125</v>
      </c>
      <c r="Q28" s="15">
        <f t="shared" si="4"/>
        <v>0.02</v>
      </c>
      <c r="R28" s="78">
        <v>865</v>
      </c>
      <c r="S28" s="16">
        <f t="shared" si="3"/>
        <v>0</v>
      </c>
      <c r="T28" s="17">
        <f t="shared" si="5"/>
        <v>0</v>
      </c>
      <c r="U28" s="79"/>
    </row>
    <row r="29" spans="2:22" hidden="1" x14ac:dyDescent="0.3">
      <c r="B29" s="73">
        <v>1</v>
      </c>
      <c r="C29" s="74" t="s">
        <v>21</v>
      </c>
      <c r="D29" s="36">
        <v>0.02</v>
      </c>
      <c r="E29" s="35">
        <f t="shared" si="0"/>
        <v>0.49</v>
      </c>
      <c r="F29" s="37">
        <v>0</v>
      </c>
      <c r="G29" s="35">
        <f t="shared" si="1"/>
        <v>0</v>
      </c>
      <c r="H29" s="33">
        <f t="shared" si="2"/>
        <v>0</v>
      </c>
      <c r="I29" s="80"/>
      <c r="J29" s="34" t="s">
        <v>78</v>
      </c>
      <c r="K29" s="12" t="s">
        <v>20</v>
      </c>
      <c r="L29" s="13">
        <v>3503</v>
      </c>
      <c r="M29" s="14" t="s">
        <v>22</v>
      </c>
      <c r="N29" s="77">
        <v>0.49</v>
      </c>
      <c r="O29" s="36" t="s">
        <v>21</v>
      </c>
      <c r="P29" s="77" t="s">
        <v>123</v>
      </c>
      <c r="Q29" s="15">
        <f t="shared" si="4"/>
        <v>0.02</v>
      </c>
      <c r="R29" s="78">
        <v>865</v>
      </c>
      <c r="S29" s="16">
        <f t="shared" si="3"/>
        <v>0</v>
      </c>
      <c r="T29" s="17">
        <f t="shared" si="5"/>
        <v>0</v>
      </c>
      <c r="U29" s="79"/>
    </row>
    <row r="30" spans="2:22" hidden="1" x14ac:dyDescent="0.3">
      <c r="B30" s="73">
        <v>1</v>
      </c>
      <c r="C30" s="74" t="s">
        <v>21</v>
      </c>
      <c r="D30" s="36">
        <v>0.02</v>
      </c>
      <c r="E30" s="35">
        <f t="shared" si="0"/>
        <v>0.51</v>
      </c>
      <c r="F30" s="37">
        <v>0</v>
      </c>
      <c r="G30" s="35">
        <f t="shared" si="1"/>
        <v>0</v>
      </c>
      <c r="H30" s="33">
        <f t="shared" ref="H30:H47" si="6">SUM(G30*E30*B30)</f>
        <v>0</v>
      </c>
      <c r="I30" s="80"/>
      <c r="J30" s="34" t="s">
        <v>79</v>
      </c>
      <c r="K30" s="12" t="s">
        <v>20</v>
      </c>
      <c r="L30" s="13">
        <v>3503</v>
      </c>
      <c r="M30" s="14" t="s">
        <v>22</v>
      </c>
      <c r="N30" s="76">
        <v>0.51</v>
      </c>
      <c r="O30" s="36" t="s">
        <v>21</v>
      </c>
      <c r="P30" s="77" t="s">
        <v>126</v>
      </c>
      <c r="Q30" s="15">
        <f t="shared" si="4"/>
        <v>0.02</v>
      </c>
      <c r="R30" s="78">
        <v>865</v>
      </c>
      <c r="S30" s="16">
        <f t="shared" si="3"/>
        <v>0</v>
      </c>
      <c r="T30" s="17">
        <f t="shared" ref="T30:T47" si="7">SUM(Q30*R30)</f>
        <v>17.3</v>
      </c>
      <c r="U30" s="82"/>
      <c r="V30" s="28"/>
    </row>
    <row r="31" spans="2:22" hidden="1" x14ac:dyDescent="0.3">
      <c r="B31" s="73"/>
      <c r="C31" s="74"/>
      <c r="D31" s="36"/>
      <c r="E31" s="35">
        <f t="shared" si="0"/>
        <v>0.34</v>
      </c>
      <c r="F31" s="37"/>
      <c r="G31" s="35">
        <f t="shared" si="1"/>
        <v>0</v>
      </c>
      <c r="H31" s="33"/>
      <c r="I31" s="80">
        <v>290</v>
      </c>
      <c r="J31" s="34" t="s">
        <v>80</v>
      </c>
      <c r="K31" s="12" t="s">
        <v>20</v>
      </c>
      <c r="L31" s="13">
        <v>3503</v>
      </c>
      <c r="M31" s="14" t="s">
        <v>22</v>
      </c>
      <c r="N31" s="76">
        <v>0.34</v>
      </c>
      <c r="O31" s="36" t="s">
        <v>21</v>
      </c>
      <c r="P31" s="77" t="s">
        <v>127</v>
      </c>
      <c r="Q31" s="15"/>
      <c r="R31" s="78"/>
      <c r="S31" s="16"/>
      <c r="T31" s="17"/>
      <c r="U31" s="82"/>
      <c r="V31" s="28"/>
    </row>
    <row r="32" spans="2:22" hidden="1" x14ac:dyDescent="0.3">
      <c r="B32" s="73">
        <v>1</v>
      </c>
      <c r="C32" s="74" t="s">
        <v>21</v>
      </c>
      <c r="D32" s="36">
        <v>0.02</v>
      </c>
      <c r="E32" s="35">
        <f t="shared" si="0"/>
        <v>0.45</v>
      </c>
      <c r="F32" s="37">
        <v>0</v>
      </c>
      <c r="G32" s="35">
        <f t="shared" si="1"/>
        <v>0</v>
      </c>
      <c r="H32" s="33">
        <f t="shared" si="6"/>
        <v>0</v>
      </c>
      <c r="I32" s="80">
        <v>350</v>
      </c>
      <c r="J32" s="34" t="s">
        <v>81</v>
      </c>
      <c r="K32" s="12" t="s">
        <v>20</v>
      </c>
      <c r="L32" s="13">
        <v>3503</v>
      </c>
      <c r="M32" s="14" t="s">
        <v>22</v>
      </c>
      <c r="N32" s="76">
        <v>0.45</v>
      </c>
      <c r="O32" s="36" t="s">
        <v>21</v>
      </c>
      <c r="P32" s="77" t="s">
        <v>128</v>
      </c>
      <c r="Q32" s="15">
        <f t="shared" si="4"/>
        <v>0.02</v>
      </c>
      <c r="R32" s="78">
        <v>865</v>
      </c>
      <c r="S32" s="16">
        <f t="shared" si="3"/>
        <v>0</v>
      </c>
      <c r="T32" s="17">
        <f t="shared" si="7"/>
        <v>17.3</v>
      </c>
      <c r="U32" s="82"/>
      <c r="V32" s="28"/>
    </row>
    <row r="33" spans="2:22" hidden="1" x14ac:dyDescent="0.3">
      <c r="B33" s="73">
        <v>1</v>
      </c>
      <c r="C33" s="74" t="s">
        <v>21</v>
      </c>
      <c r="D33" s="36">
        <v>0.02</v>
      </c>
      <c r="E33" s="35">
        <f t="shared" si="0"/>
        <v>0.45</v>
      </c>
      <c r="F33" s="37">
        <v>0</v>
      </c>
      <c r="G33" s="35">
        <f t="shared" si="1"/>
        <v>0</v>
      </c>
      <c r="H33" s="33">
        <f t="shared" si="6"/>
        <v>0</v>
      </c>
      <c r="I33" s="80"/>
      <c r="J33" s="34" t="s">
        <v>82</v>
      </c>
      <c r="K33" s="12" t="s">
        <v>20</v>
      </c>
      <c r="L33" s="13">
        <v>3503</v>
      </c>
      <c r="M33" s="14" t="s">
        <v>22</v>
      </c>
      <c r="N33" s="76">
        <v>0.45</v>
      </c>
      <c r="O33" s="36" t="s">
        <v>21</v>
      </c>
      <c r="P33" s="77" t="s">
        <v>128</v>
      </c>
      <c r="Q33" s="15">
        <f t="shared" si="4"/>
        <v>0.02</v>
      </c>
      <c r="R33" s="78">
        <v>865</v>
      </c>
      <c r="S33" s="16">
        <f t="shared" si="3"/>
        <v>0</v>
      </c>
      <c r="T33" s="17">
        <f t="shared" si="7"/>
        <v>17.3</v>
      </c>
      <c r="U33" s="82"/>
      <c r="V33" s="28"/>
    </row>
    <row r="34" spans="2:22" hidden="1" x14ac:dyDescent="0.3">
      <c r="B34" s="73">
        <v>1</v>
      </c>
      <c r="C34" s="74" t="s">
        <v>21</v>
      </c>
      <c r="D34" s="36">
        <v>0.02</v>
      </c>
      <c r="E34" s="35">
        <f t="shared" si="0"/>
        <v>0.20499999999999999</v>
      </c>
      <c r="F34" s="37">
        <v>0</v>
      </c>
      <c r="G34" s="35">
        <f t="shared" si="1"/>
        <v>0</v>
      </c>
      <c r="H34" s="33">
        <f t="shared" si="6"/>
        <v>0</v>
      </c>
      <c r="I34" s="80">
        <v>135</v>
      </c>
      <c r="J34" s="34" t="s">
        <v>83</v>
      </c>
      <c r="K34" s="12" t="s">
        <v>20</v>
      </c>
      <c r="L34" s="13">
        <v>3503</v>
      </c>
      <c r="M34" s="14" t="s">
        <v>22</v>
      </c>
      <c r="N34" s="76">
        <v>0.20499999999999999</v>
      </c>
      <c r="O34" s="36" t="s">
        <v>21</v>
      </c>
      <c r="P34" s="77" t="s">
        <v>129</v>
      </c>
      <c r="Q34" s="15">
        <f t="shared" si="4"/>
        <v>0.02</v>
      </c>
      <c r="R34" s="78">
        <v>865</v>
      </c>
      <c r="S34" s="16">
        <f t="shared" si="3"/>
        <v>0</v>
      </c>
      <c r="T34" s="17">
        <f t="shared" si="7"/>
        <v>17.3</v>
      </c>
      <c r="U34" s="82"/>
      <c r="V34" s="28"/>
    </row>
    <row r="35" spans="2:22" hidden="1" x14ac:dyDescent="0.3">
      <c r="B35" s="73">
        <v>1</v>
      </c>
      <c r="C35" s="74" t="s">
        <v>21</v>
      </c>
      <c r="D35" s="36">
        <v>0.02</v>
      </c>
      <c r="E35" s="35">
        <f t="shared" si="0"/>
        <v>0.48</v>
      </c>
      <c r="F35" s="37">
        <v>0</v>
      </c>
      <c r="G35" s="35">
        <f t="shared" si="1"/>
        <v>0</v>
      </c>
      <c r="H35" s="33">
        <f t="shared" si="6"/>
        <v>0</v>
      </c>
      <c r="I35" s="80">
        <v>155</v>
      </c>
      <c r="J35" s="34" t="s">
        <v>84</v>
      </c>
      <c r="K35" s="12" t="s">
        <v>20</v>
      </c>
      <c r="L35" s="13">
        <v>3503</v>
      </c>
      <c r="M35" s="14" t="s">
        <v>22</v>
      </c>
      <c r="N35" s="76">
        <v>0.48</v>
      </c>
      <c r="O35" s="36" t="s">
        <v>21</v>
      </c>
      <c r="P35" s="77" t="s">
        <v>130</v>
      </c>
      <c r="Q35" s="15">
        <f t="shared" si="4"/>
        <v>0.02</v>
      </c>
      <c r="R35" s="78">
        <v>865</v>
      </c>
      <c r="S35" s="16">
        <f t="shared" si="3"/>
        <v>0</v>
      </c>
      <c r="T35" s="17">
        <f t="shared" si="7"/>
        <v>17.3</v>
      </c>
      <c r="U35" s="82"/>
      <c r="V35" s="28"/>
    </row>
    <row r="36" spans="2:22" hidden="1" x14ac:dyDescent="0.3">
      <c r="B36" s="73">
        <v>1</v>
      </c>
      <c r="C36" s="74" t="s">
        <v>21</v>
      </c>
      <c r="D36" s="36">
        <v>0.02</v>
      </c>
      <c r="E36" s="35">
        <f t="shared" si="0"/>
        <v>0.48</v>
      </c>
      <c r="F36" s="37">
        <v>0</v>
      </c>
      <c r="G36" s="35">
        <f t="shared" si="1"/>
        <v>0</v>
      </c>
      <c r="H36" s="33">
        <f t="shared" si="6"/>
        <v>0</v>
      </c>
      <c r="I36" s="80"/>
      <c r="J36" s="34" t="s">
        <v>85</v>
      </c>
      <c r="K36" s="12" t="s">
        <v>20</v>
      </c>
      <c r="L36" s="13">
        <v>3503</v>
      </c>
      <c r="M36" s="14" t="s">
        <v>22</v>
      </c>
      <c r="N36" s="76">
        <v>0.48</v>
      </c>
      <c r="O36" s="36" t="s">
        <v>21</v>
      </c>
      <c r="P36" s="77" t="s">
        <v>130</v>
      </c>
      <c r="Q36" s="15">
        <f t="shared" si="4"/>
        <v>0.02</v>
      </c>
      <c r="R36" s="78">
        <v>865</v>
      </c>
      <c r="S36" s="16">
        <f t="shared" si="3"/>
        <v>0</v>
      </c>
      <c r="T36" s="17">
        <f t="shared" si="7"/>
        <v>17.3</v>
      </c>
      <c r="U36" s="82"/>
      <c r="V36" s="28"/>
    </row>
    <row r="37" spans="2:22" hidden="1" x14ac:dyDescent="0.3">
      <c r="B37" s="73">
        <v>1</v>
      </c>
      <c r="C37" s="74" t="s">
        <v>21</v>
      </c>
      <c r="D37" s="36">
        <v>0.02</v>
      </c>
      <c r="E37" s="35">
        <f t="shared" si="0"/>
        <v>0.46</v>
      </c>
      <c r="F37" s="37">
        <v>0</v>
      </c>
      <c r="G37" s="35">
        <f t="shared" si="1"/>
        <v>0</v>
      </c>
      <c r="H37" s="33">
        <f t="shared" si="6"/>
        <v>0</v>
      </c>
      <c r="I37" s="83"/>
      <c r="J37" s="34" t="s">
        <v>86</v>
      </c>
      <c r="K37" s="12" t="s">
        <v>20</v>
      </c>
      <c r="L37" s="13">
        <v>3503</v>
      </c>
      <c r="M37" s="14" t="s">
        <v>22</v>
      </c>
      <c r="N37" s="76">
        <v>0.46</v>
      </c>
      <c r="O37" s="36" t="s">
        <v>21</v>
      </c>
      <c r="P37" s="77" t="s">
        <v>131</v>
      </c>
      <c r="Q37" s="15">
        <f t="shared" si="4"/>
        <v>0.02</v>
      </c>
      <c r="R37" s="78">
        <v>865</v>
      </c>
      <c r="S37" s="16">
        <f t="shared" si="3"/>
        <v>0</v>
      </c>
      <c r="T37" s="17">
        <f t="shared" si="7"/>
        <v>17.3</v>
      </c>
      <c r="U37" s="82"/>
      <c r="V37" s="28"/>
    </row>
    <row r="38" spans="2:22" hidden="1" x14ac:dyDescent="0.3">
      <c r="B38" s="73">
        <v>1</v>
      </c>
      <c r="C38" s="74" t="s">
        <v>21</v>
      </c>
      <c r="D38" s="36">
        <v>0.02</v>
      </c>
      <c r="E38" s="35">
        <f t="shared" si="0"/>
        <v>0.52</v>
      </c>
      <c r="F38" s="37">
        <v>0</v>
      </c>
      <c r="G38" s="35">
        <f t="shared" si="1"/>
        <v>0</v>
      </c>
      <c r="H38" s="33">
        <f t="shared" si="6"/>
        <v>0</v>
      </c>
      <c r="I38" s="80"/>
      <c r="J38" s="34" t="s">
        <v>87</v>
      </c>
      <c r="K38" s="12" t="s">
        <v>20</v>
      </c>
      <c r="L38" s="13">
        <v>3503</v>
      </c>
      <c r="M38" s="14" t="s">
        <v>22</v>
      </c>
      <c r="N38" s="76">
        <v>0.52</v>
      </c>
      <c r="O38" s="36" t="s">
        <v>21</v>
      </c>
      <c r="P38" s="77" t="s">
        <v>132</v>
      </c>
      <c r="Q38" s="15">
        <f t="shared" si="4"/>
        <v>0.02</v>
      </c>
      <c r="R38" s="78">
        <v>865</v>
      </c>
      <c r="S38" s="16">
        <f t="shared" si="3"/>
        <v>0</v>
      </c>
      <c r="T38" s="17">
        <f t="shared" si="7"/>
        <v>17.3</v>
      </c>
      <c r="U38" s="82"/>
      <c r="V38" s="28"/>
    </row>
    <row r="39" spans="2:22" hidden="1" x14ac:dyDescent="0.3">
      <c r="B39" s="73">
        <v>1</v>
      </c>
      <c r="C39" s="74" t="s">
        <v>21</v>
      </c>
      <c r="D39" s="36">
        <v>0.02</v>
      </c>
      <c r="E39" s="35">
        <f t="shared" si="0"/>
        <v>0.22</v>
      </c>
      <c r="F39" s="37">
        <v>0</v>
      </c>
      <c r="G39" s="35">
        <f t="shared" si="1"/>
        <v>0</v>
      </c>
      <c r="H39" s="33">
        <f t="shared" si="6"/>
        <v>0</v>
      </c>
      <c r="I39" s="80"/>
      <c r="J39" s="34" t="s">
        <v>88</v>
      </c>
      <c r="K39" s="12" t="s">
        <v>20</v>
      </c>
      <c r="L39" s="13">
        <v>3503</v>
      </c>
      <c r="M39" s="14" t="s">
        <v>22</v>
      </c>
      <c r="N39" s="76">
        <v>0.22</v>
      </c>
      <c r="O39" s="36" t="s">
        <v>21</v>
      </c>
      <c r="P39" s="77" t="s">
        <v>129</v>
      </c>
      <c r="Q39" s="15">
        <f t="shared" si="4"/>
        <v>0.02</v>
      </c>
      <c r="R39" s="78">
        <v>865</v>
      </c>
      <c r="S39" s="16">
        <f t="shared" si="3"/>
        <v>0</v>
      </c>
      <c r="T39" s="17">
        <f t="shared" si="7"/>
        <v>17.3</v>
      </c>
      <c r="U39" s="82"/>
      <c r="V39" s="28"/>
    </row>
    <row r="40" spans="2:22" hidden="1" x14ac:dyDescent="0.3">
      <c r="B40" s="73">
        <v>1</v>
      </c>
      <c r="C40" s="74" t="s">
        <v>21</v>
      </c>
      <c r="D40" s="36">
        <v>0.02</v>
      </c>
      <c r="E40" s="35">
        <f t="shared" si="0"/>
        <v>0.51</v>
      </c>
      <c r="F40" s="37">
        <v>0</v>
      </c>
      <c r="G40" s="35">
        <f t="shared" si="1"/>
        <v>0</v>
      </c>
      <c r="H40" s="33">
        <f t="shared" si="6"/>
        <v>0</v>
      </c>
      <c r="I40" s="80"/>
      <c r="J40" s="34" t="s">
        <v>89</v>
      </c>
      <c r="K40" s="12" t="s">
        <v>20</v>
      </c>
      <c r="L40" s="13">
        <v>3503</v>
      </c>
      <c r="M40" s="14" t="s">
        <v>22</v>
      </c>
      <c r="N40" s="76">
        <v>0.51</v>
      </c>
      <c r="O40" s="36" t="s">
        <v>21</v>
      </c>
      <c r="P40" s="77" t="s">
        <v>133</v>
      </c>
      <c r="Q40" s="15">
        <f t="shared" si="4"/>
        <v>0.02</v>
      </c>
      <c r="R40" s="78">
        <v>865</v>
      </c>
      <c r="S40" s="16">
        <f t="shared" si="3"/>
        <v>0</v>
      </c>
      <c r="T40" s="17">
        <f t="shared" si="7"/>
        <v>17.3</v>
      </c>
      <c r="U40" s="82"/>
      <c r="V40" s="28"/>
    </row>
    <row r="41" spans="2:22" hidden="1" x14ac:dyDescent="0.3">
      <c r="B41" s="73">
        <v>1</v>
      </c>
      <c r="C41" s="74" t="s">
        <v>21</v>
      </c>
      <c r="D41" s="36">
        <v>0.02</v>
      </c>
      <c r="E41" s="35">
        <f t="shared" si="0"/>
        <v>0.54</v>
      </c>
      <c r="F41" s="37">
        <v>0</v>
      </c>
      <c r="G41" s="35">
        <f t="shared" si="1"/>
        <v>0</v>
      </c>
      <c r="H41" s="33">
        <f t="shared" si="6"/>
        <v>0</v>
      </c>
      <c r="I41" s="80"/>
      <c r="J41" s="34" t="s">
        <v>90</v>
      </c>
      <c r="K41" s="12" t="s">
        <v>20</v>
      </c>
      <c r="L41" s="13">
        <v>3503</v>
      </c>
      <c r="M41" s="14" t="s">
        <v>22</v>
      </c>
      <c r="N41" s="76">
        <v>0.54</v>
      </c>
      <c r="O41" s="36" t="s">
        <v>21</v>
      </c>
      <c r="P41" s="77" t="s">
        <v>134</v>
      </c>
      <c r="Q41" s="15">
        <f t="shared" si="4"/>
        <v>0.02</v>
      </c>
      <c r="R41" s="78">
        <v>865</v>
      </c>
      <c r="S41" s="16">
        <f t="shared" si="3"/>
        <v>0</v>
      </c>
      <c r="T41" s="17">
        <f t="shared" si="7"/>
        <v>17.3</v>
      </c>
      <c r="U41" s="82"/>
      <c r="V41" s="28"/>
    </row>
    <row r="42" spans="2:22" hidden="1" x14ac:dyDescent="0.3">
      <c r="B42" s="73">
        <v>1</v>
      </c>
      <c r="C42" s="74" t="s">
        <v>21</v>
      </c>
      <c r="D42" s="36">
        <v>0.02</v>
      </c>
      <c r="E42" s="35">
        <f t="shared" si="0"/>
        <v>0.22</v>
      </c>
      <c r="F42" s="37">
        <v>0</v>
      </c>
      <c r="G42" s="35">
        <f t="shared" si="1"/>
        <v>0</v>
      </c>
      <c r="H42" s="33">
        <f t="shared" si="6"/>
        <v>0</v>
      </c>
      <c r="I42" s="80"/>
      <c r="J42" s="34" t="s">
        <v>91</v>
      </c>
      <c r="K42" s="12" t="s">
        <v>20</v>
      </c>
      <c r="L42" s="13">
        <v>3503</v>
      </c>
      <c r="M42" s="14" t="s">
        <v>22</v>
      </c>
      <c r="N42" s="76">
        <v>0.22</v>
      </c>
      <c r="O42" s="36" t="s">
        <v>21</v>
      </c>
      <c r="P42" s="77" t="s">
        <v>129</v>
      </c>
      <c r="Q42" s="15">
        <f t="shared" si="4"/>
        <v>0.02</v>
      </c>
      <c r="R42" s="78">
        <v>865</v>
      </c>
      <c r="S42" s="16">
        <f t="shared" si="3"/>
        <v>0</v>
      </c>
      <c r="T42" s="17">
        <f t="shared" si="7"/>
        <v>17.3</v>
      </c>
      <c r="U42" s="82"/>
      <c r="V42" s="28"/>
    </row>
    <row r="43" spans="2:22" hidden="1" x14ac:dyDescent="0.3">
      <c r="B43" s="73">
        <v>1</v>
      </c>
      <c r="C43" s="74" t="s">
        <v>21</v>
      </c>
      <c r="D43" s="36">
        <v>0.02</v>
      </c>
      <c r="E43" s="35">
        <f t="shared" si="0"/>
        <v>0.49</v>
      </c>
      <c r="F43" s="37">
        <v>0</v>
      </c>
      <c r="G43" s="35">
        <f t="shared" si="1"/>
        <v>0</v>
      </c>
      <c r="H43" s="33">
        <f t="shared" si="6"/>
        <v>0</v>
      </c>
      <c r="I43" s="80"/>
      <c r="J43" s="34" t="s">
        <v>92</v>
      </c>
      <c r="K43" s="12" t="s">
        <v>20</v>
      </c>
      <c r="L43" s="13">
        <v>3503</v>
      </c>
      <c r="M43" s="14" t="s">
        <v>22</v>
      </c>
      <c r="N43" s="76">
        <v>0.49</v>
      </c>
      <c r="O43" s="36" t="s">
        <v>21</v>
      </c>
      <c r="P43" s="77" t="s">
        <v>135</v>
      </c>
      <c r="Q43" s="15">
        <f t="shared" si="4"/>
        <v>0.02</v>
      </c>
      <c r="R43" s="78">
        <v>865</v>
      </c>
      <c r="S43" s="16">
        <f t="shared" si="3"/>
        <v>0</v>
      </c>
      <c r="T43" s="17">
        <f t="shared" si="7"/>
        <v>17.3</v>
      </c>
      <c r="U43" s="82"/>
      <c r="V43" s="28"/>
    </row>
    <row r="44" spans="2:22" x14ac:dyDescent="0.3">
      <c r="B44" s="73">
        <v>1</v>
      </c>
      <c r="C44" s="74" t="s">
        <v>21</v>
      </c>
      <c r="D44" s="36">
        <v>0.02</v>
      </c>
      <c r="E44" s="35">
        <f t="shared" si="0"/>
        <v>0.43</v>
      </c>
      <c r="F44" s="37">
        <v>0</v>
      </c>
      <c r="G44" s="35">
        <f t="shared" si="1"/>
        <v>0</v>
      </c>
      <c r="H44" s="33">
        <f t="shared" si="6"/>
        <v>0</v>
      </c>
      <c r="I44" s="80">
        <v>15</v>
      </c>
      <c r="J44" s="34" t="s">
        <v>93</v>
      </c>
      <c r="K44" s="12" t="s">
        <v>20</v>
      </c>
      <c r="L44" s="13">
        <v>3503</v>
      </c>
      <c r="M44" s="14" t="s">
        <v>22</v>
      </c>
      <c r="N44" s="76">
        <v>0.43</v>
      </c>
      <c r="O44" s="36" t="s">
        <v>21</v>
      </c>
      <c r="P44" s="77" t="s">
        <v>136</v>
      </c>
      <c r="Q44" s="15">
        <f t="shared" si="4"/>
        <v>0.02</v>
      </c>
      <c r="R44" s="78">
        <v>865</v>
      </c>
      <c r="S44" s="16">
        <f t="shared" si="3"/>
        <v>0</v>
      </c>
      <c r="T44" s="17">
        <f t="shared" si="7"/>
        <v>17.3</v>
      </c>
      <c r="U44" s="82"/>
      <c r="V44" s="28"/>
    </row>
    <row r="45" spans="2:22" x14ac:dyDescent="0.3">
      <c r="B45" s="73">
        <v>1</v>
      </c>
      <c r="C45" s="74" t="s">
        <v>21</v>
      </c>
      <c r="D45" s="36">
        <v>0.02</v>
      </c>
      <c r="E45" s="35">
        <f t="shared" si="0"/>
        <v>0.43</v>
      </c>
      <c r="F45" s="37">
        <v>0</v>
      </c>
      <c r="G45" s="35">
        <f t="shared" si="1"/>
        <v>0</v>
      </c>
      <c r="H45" s="33">
        <f t="shared" si="6"/>
        <v>0</v>
      </c>
      <c r="I45" s="80"/>
      <c r="J45" s="34" t="s">
        <v>94</v>
      </c>
      <c r="K45" s="12" t="s">
        <v>20</v>
      </c>
      <c r="L45" s="13">
        <v>3503</v>
      </c>
      <c r="M45" s="14" t="s">
        <v>22</v>
      </c>
      <c r="N45" s="76">
        <v>0.43</v>
      </c>
      <c r="O45" s="36" t="s">
        <v>21</v>
      </c>
      <c r="P45" s="77" t="s">
        <v>137</v>
      </c>
      <c r="Q45" s="15">
        <f t="shared" si="4"/>
        <v>0.02</v>
      </c>
      <c r="R45" s="78">
        <v>865</v>
      </c>
      <c r="S45" s="16">
        <f t="shared" si="3"/>
        <v>0</v>
      </c>
      <c r="T45" s="17">
        <f t="shared" si="7"/>
        <v>17.3</v>
      </c>
      <c r="U45" s="84" t="s">
        <v>95</v>
      </c>
      <c r="V45" s="28"/>
    </row>
    <row r="46" spans="2:22" ht="28.8" hidden="1" x14ac:dyDescent="0.3">
      <c r="B46" s="73">
        <v>1</v>
      </c>
      <c r="C46" s="74" t="s">
        <v>21</v>
      </c>
      <c r="D46" s="36">
        <v>0.02</v>
      </c>
      <c r="E46" s="35">
        <f t="shared" si="0"/>
        <v>0.245</v>
      </c>
      <c r="F46" s="37">
        <v>0</v>
      </c>
      <c r="G46" s="35">
        <f t="shared" si="1"/>
        <v>0</v>
      </c>
      <c r="H46" s="33">
        <f t="shared" si="6"/>
        <v>0</v>
      </c>
      <c r="I46" s="80">
        <v>300</v>
      </c>
      <c r="J46" s="34" t="s">
        <v>96</v>
      </c>
      <c r="K46" s="12" t="s">
        <v>20</v>
      </c>
      <c r="L46" s="13">
        <v>3503</v>
      </c>
      <c r="M46" s="14" t="s">
        <v>22</v>
      </c>
      <c r="N46" s="76">
        <v>0.245</v>
      </c>
      <c r="O46" s="36" t="s">
        <v>21</v>
      </c>
      <c r="P46" s="77" t="s">
        <v>138</v>
      </c>
      <c r="Q46" s="15">
        <f t="shared" si="4"/>
        <v>0.02</v>
      </c>
      <c r="R46" s="78">
        <v>865</v>
      </c>
      <c r="S46" s="16">
        <f t="shared" si="3"/>
        <v>0</v>
      </c>
      <c r="T46" s="17">
        <f t="shared" si="7"/>
        <v>17.3</v>
      </c>
      <c r="U46" s="82"/>
      <c r="V46" s="28"/>
    </row>
    <row r="47" spans="2:22" hidden="1" x14ac:dyDescent="0.3">
      <c r="B47" s="73">
        <v>1</v>
      </c>
      <c r="C47" s="74" t="s">
        <v>21</v>
      </c>
      <c r="D47" s="36">
        <v>0.02</v>
      </c>
      <c r="E47" s="40">
        <f t="shared" si="0"/>
        <v>0.48</v>
      </c>
      <c r="F47" s="37">
        <v>0</v>
      </c>
      <c r="G47" s="35">
        <f t="shared" si="1"/>
        <v>0</v>
      </c>
      <c r="H47" s="33">
        <f t="shared" si="6"/>
        <v>0</v>
      </c>
      <c r="I47" s="80"/>
      <c r="J47" s="34" t="s">
        <v>97</v>
      </c>
      <c r="K47" s="12" t="s">
        <v>20</v>
      </c>
      <c r="L47" s="13">
        <v>3503</v>
      </c>
      <c r="M47" s="14" t="s">
        <v>22</v>
      </c>
      <c r="N47" s="85">
        <v>0.48</v>
      </c>
      <c r="O47" s="36" t="s">
        <v>21</v>
      </c>
      <c r="P47" s="77" t="s">
        <v>139</v>
      </c>
      <c r="Q47" s="15">
        <f t="shared" si="4"/>
        <v>0.02</v>
      </c>
      <c r="R47" s="78">
        <v>865</v>
      </c>
      <c r="S47" s="16">
        <f t="shared" si="3"/>
        <v>0</v>
      </c>
      <c r="T47" s="17">
        <f t="shared" si="7"/>
        <v>17.3</v>
      </c>
      <c r="U47" s="82"/>
      <c r="V47" s="28"/>
    </row>
    <row r="48" spans="2:22" hidden="1" x14ac:dyDescent="0.3">
      <c r="B48" s="45"/>
      <c r="C48" s="46"/>
      <c r="D48" s="46"/>
      <c r="E48" s="47"/>
      <c r="F48" s="48"/>
      <c r="G48" s="49"/>
      <c r="H48" s="33"/>
      <c r="I48" s="86">
        <v>15</v>
      </c>
      <c r="J48" s="44" t="s">
        <v>104</v>
      </c>
      <c r="K48" s="12"/>
      <c r="L48" s="13"/>
      <c r="M48" s="14"/>
      <c r="N48" s="91" t="s">
        <v>140</v>
      </c>
      <c r="O48" s="48"/>
      <c r="P48" s="77"/>
      <c r="Q48" s="15"/>
      <c r="R48" s="78"/>
      <c r="S48" s="18"/>
      <c r="T48" s="19"/>
      <c r="U48" s="88"/>
    </row>
    <row r="49" spans="2:21" hidden="1" x14ac:dyDescent="0.3">
      <c r="B49" s="45"/>
      <c r="C49" s="46"/>
      <c r="D49" s="46"/>
      <c r="E49" s="47"/>
      <c r="F49" s="48"/>
      <c r="G49" s="49"/>
      <c r="H49" s="33"/>
      <c r="I49" s="43">
        <v>10</v>
      </c>
      <c r="J49" s="44" t="s">
        <v>106</v>
      </c>
      <c r="K49" s="12"/>
      <c r="L49" s="13"/>
      <c r="M49" s="92"/>
      <c r="N49" s="98" t="s">
        <v>112</v>
      </c>
      <c r="O49" s="94"/>
      <c r="P49" s="95"/>
      <c r="Q49" s="97"/>
      <c r="R49" s="47"/>
      <c r="S49" s="18"/>
      <c r="T49" s="19"/>
      <c r="U49" s="88"/>
    </row>
    <row r="50" spans="2:21" x14ac:dyDescent="0.3">
      <c r="B50" s="45"/>
      <c r="C50" s="46"/>
      <c r="D50" s="46"/>
      <c r="E50" s="47"/>
      <c r="F50" s="48"/>
      <c r="G50" s="49"/>
      <c r="H50" s="33"/>
      <c r="I50" s="86"/>
      <c r="J50" s="44"/>
      <c r="K50" s="12"/>
      <c r="L50" s="13"/>
      <c r="M50" s="14"/>
      <c r="N50" s="90"/>
      <c r="O50" s="48"/>
      <c r="P50" s="77"/>
      <c r="Q50" s="15"/>
      <c r="R50" s="78"/>
      <c r="S50" s="18"/>
      <c r="T50" s="19"/>
      <c r="U50" s="88"/>
    </row>
    <row r="51" spans="2:21" ht="5.0999999999999996" customHeight="1" x14ac:dyDescent="0.3">
      <c r="Q51" s="31"/>
      <c r="S51" s="31"/>
    </row>
    <row r="52" spans="2:21" ht="18" customHeight="1" x14ac:dyDescent="0.3">
      <c r="K52" s="96"/>
      <c r="N52" s="128" t="s">
        <v>36</v>
      </c>
      <c r="O52" s="128"/>
      <c r="P52" s="128"/>
      <c r="Q52" s="21">
        <f>SUM(Q19:Q50)</f>
        <v>0.50000000000000011</v>
      </c>
      <c r="R52" s="3"/>
      <c r="S52" s="21"/>
      <c r="T52" s="20">
        <f>SUM(T22:T47)</f>
        <v>311.40000000000009</v>
      </c>
      <c r="U52" s="20"/>
    </row>
    <row r="53" spans="2:21" ht="14.4" customHeight="1" x14ac:dyDescent="0.3">
      <c r="I53" s="101" t="s">
        <v>23</v>
      </c>
      <c r="J53" s="101"/>
      <c r="K53" s="101"/>
      <c r="L53" s="101"/>
      <c r="M53" s="24" t="s">
        <v>24</v>
      </c>
      <c r="N53" s="129"/>
      <c r="O53" s="129"/>
      <c r="P53" s="129"/>
      <c r="Q53" s="129"/>
      <c r="R53" s="129"/>
      <c r="S53" s="129"/>
      <c r="T53" s="129"/>
      <c r="U53" s="71"/>
    </row>
    <row r="54" spans="2:21" ht="14.4" customHeight="1" x14ac:dyDescent="0.3">
      <c r="I54" s="137" t="s">
        <v>52</v>
      </c>
      <c r="J54" s="138"/>
      <c r="K54" s="138"/>
      <c r="L54" s="139"/>
      <c r="N54" s="129"/>
      <c r="O54" s="129"/>
      <c r="P54" s="129"/>
      <c r="Q54" s="129"/>
      <c r="R54" s="129"/>
      <c r="S54" s="129"/>
      <c r="T54" s="129"/>
      <c r="U54" s="71"/>
    </row>
    <row r="55" spans="2:21" x14ac:dyDescent="0.3">
      <c r="I55" s="101" t="s">
        <v>47</v>
      </c>
      <c r="J55" s="101"/>
      <c r="K55" s="101"/>
      <c r="L55" s="101"/>
      <c r="N55" s="129"/>
      <c r="O55" s="129"/>
      <c r="P55" s="129"/>
      <c r="Q55" s="129"/>
      <c r="R55" s="129"/>
      <c r="S55" s="129"/>
      <c r="T55" s="129"/>
      <c r="U55" s="71"/>
    </row>
    <row r="56" spans="2:21" x14ac:dyDescent="0.3">
      <c r="I56" s="140" t="s">
        <v>25</v>
      </c>
      <c r="J56" s="140"/>
      <c r="K56" s="140"/>
      <c r="L56" s="140"/>
      <c r="N56" s="129"/>
      <c r="O56" s="129"/>
      <c r="P56" s="129"/>
      <c r="Q56" s="129"/>
      <c r="R56" s="129"/>
      <c r="S56" s="129"/>
      <c r="T56" s="129"/>
      <c r="U56" s="71"/>
    </row>
  </sheetData>
  <autoFilter ref="B17:U49" xr:uid="{1FF5F63A-C9F7-48F1-A407-472F72CECE50}">
    <filterColumn colId="8">
      <filters>
        <filter val="MOCHO ASSENTO SELA"/>
        <filter val="MOCHO ENCOSTO"/>
      </filters>
    </filterColumn>
    <filterColumn colId="9" showButton="0"/>
    <filterColumn colId="12" showButton="0"/>
    <filterColumn colId="13" showButton="0"/>
  </autoFilter>
  <mergeCells count="50">
    <mergeCell ref="I54:L54"/>
    <mergeCell ref="N54:T54"/>
    <mergeCell ref="I55:L55"/>
    <mergeCell ref="N55:T55"/>
    <mergeCell ref="I56:L56"/>
    <mergeCell ref="N56:T56"/>
    <mergeCell ref="R17:R18"/>
    <mergeCell ref="S17:S18"/>
    <mergeCell ref="T17:T18"/>
    <mergeCell ref="N52:P52"/>
    <mergeCell ref="I53:L53"/>
    <mergeCell ref="N53:T53"/>
    <mergeCell ref="I17:I18"/>
    <mergeCell ref="J17:J18"/>
    <mergeCell ref="K17:L18"/>
    <mergeCell ref="M17:M18"/>
    <mergeCell ref="N17:P17"/>
    <mergeCell ref="Q17:Q18"/>
    <mergeCell ref="L15:P15"/>
    <mergeCell ref="Q15:T15"/>
    <mergeCell ref="I11:K11"/>
    <mergeCell ref="L11:M11"/>
    <mergeCell ref="N11:O11"/>
    <mergeCell ref="S11:T11"/>
    <mergeCell ref="I12:K12"/>
    <mergeCell ref="L12:O12"/>
    <mergeCell ref="S12:T12"/>
    <mergeCell ref="I13:K13"/>
    <mergeCell ref="L13:O13"/>
    <mergeCell ref="Q13:R13"/>
    <mergeCell ref="S13:T13"/>
    <mergeCell ref="M14:O14"/>
    <mergeCell ref="I9:K9"/>
    <mergeCell ref="L9:O9"/>
    <mergeCell ref="S9:T9"/>
    <mergeCell ref="I10:K10"/>
    <mergeCell ref="L10:O10"/>
    <mergeCell ref="S10:T10"/>
    <mergeCell ref="I7:J7"/>
    <mergeCell ref="L7:O7"/>
    <mergeCell ref="S7:T7"/>
    <mergeCell ref="I8:K8"/>
    <mergeCell ref="L8:O8"/>
    <mergeCell ref="S8:T8"/>
    <mergeCell ref="M2:Q2"/>
    <mergeCell ref="L3:Q3"/>
    <mergeCell ref="K4:Q4"/>
    <mergeCell ref="K5:Q5"/>
    <mergeCell ref="I6:K6"/>
    <mergeCell ref="L6:T6"/>
  </mergeCells>
  <dataValidations count="2">
    <dataValidation type="list" allowBlank="1" showInputMessage="1" showErrorMessage="1" sqref="K19:K50" xr:uid="{7001CF4E-F318-46F8-8DB5-0BDFCDEABD83}">
      <formula1>"NRM,NR,NRF,NRD,LNC,NRAE,DS"</formula1>
    </dataValidation>
    <dataValidation allowBlank="1" showErrorMessage="1" sqref="J1:J48 J50:J1048576" xr:uid="{0919D409-3237-4155-8E6A-A751B286D68E}"/>
  </dataValidations>
  <pageMargins left="0.23622047244094491" right="0.23622047244094491" top="0" bottom="0" header="0.31496062992125984" footer="0.31496062992125984"/>
  <pageSetup paperSize="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48AF-89E9-43AD-BC46-DF6B5639C31C}">
  <dimension ref="B2:W49"/>
  <sheetViews>
    <sheetView showGridLines="0" tabSelected="1" topLeftCell="A28" zoomScaleNormal="100" workbookViewId="0">
      <selection activeCell="H17" sqref="H17:H18"/>
    </sheetView>
  </sheetViews>
  <sheetFormatPr defaultColWidth="8.6640625" defaultRowHeight="14.4" x14ac:dyDescent="0.3"/>
  <cols>
    <col min="1" max="1" width="3.33203125" style="24" customWidth="1"/>
    <col min="2" max="5" width="8.6640625" style="24" hidden="1" customWidth="1"/>
    <col min="6" max="6" width="1.44140625" style="24" hidden="1" customWidth="1"/>
    <col min="7" max="7" width="8.6640625" style="22"/>
    <col min="8" max="8" width="28.6640625" style="23" bestFit="1" customWidth="1"/>
    <col min="9" max="9" width="5" style="24" customWidth="1"/>
    <col min="10" max="10" width="5.88671875" style="24" customWidth="1"/>
    <col min="11" max="11" width="13.109375" style="24" customWidth="1"/>
    <col min="12" max="12" width="7" style="24" customWidth="1"/>
    <col min="13" max="13" width="1.44140625" style="24" customWidth="1"/>
    <col min="14" max="14" width="6.33203125" style="31" customWidth="1"/>
    <col min="15" max="15" width="1.44140625" style="24" customWidth="1"/>
    <col min="16" max="16" width="6.44140625" style="31" customWidth="1"/>
    <col min="17" max="17" width="9.109375" style="24" customWidth="1"/>
    <col min="18" max="18" width="11.33203125" style="24" customWidth="1"/>
    <col min="19" max="19" width="12.109375" style="24" customWidth="1"/>
    <col min="20" max="20" width="19.44140625" style="24" customWidth="1"/>
    <col min="21" max="21" width="14.6640625" style="24" customWidth="1"/>
    <col min="22" max="16384" width="8.6640625" style="24"/>
  </cols>
  <sheetData>
    <row r="2" spans="7:23" x14ac:dyDescent="0.3">
      <c r="K2" s="99"/>
      <c r="L2" s="99"/>
      <c r="M2" s="99"/>
      <c r="N2" s="99"/>
      <c r="O2" s="99"/>
      <c r="P2" s="99"/>
      <c r="Q2" s="99"/>
    </row>
    <row r="3" spans="7:23" s="25" customFormat="1" x14ac:dyDescent="0.3">
      <c r="G3" s="22"/>
      <c r="H3" s="23"/>
      <c r="I3" s="3"/>
      <c r="J3" s="100" t="s">
        <v>0</v>
      </c>
      <c r="K3" s="100"/>
      <c r="L3" s="100"/>
      <c r="M3" s="100"/>
      <c r="N3" s="100"/>
      <c r="O3" s="100"/>
      <c r="P3" s="100"/>
      <c r="Q3" s="100"/>
      <c r="T3" s="24"/>
      <c r="U3" s="24"/>
      <c r="V3" s="24"/>
      <c r="W3" s="24"/>
    </row>
    <row r="4" spans="7:23" s="25" customFormat="1" x14ac:dyDescent="0.3">
      <c r="G4" s="22"/>
      <c r="H4" s="23"/>
      <c r="I4" s="100" t="s">
        <v>1</v>
      </c>
      <c r="J4" s="100"/>
      <c r="K4" s="100"/>
      <c r="L4" s="100"/>
      <c r="M4" s="100"/>
      <c r="N4" s="100"/>
      <c r="O4" s="100"/>
      <c r="P4" s="100"/>
      <c r="Q4" s="100"/>
      <c r="T4" s="24"/>
    </row>
    <row r="5" spans="7:23" s="25" customFormat="1" x14ac:dyDescent="0.3">
      <c r="G5" s="22"/>
      <c r="H5" s="23"/>
      <c r="I5" s="101" t="s">
        <v>26</v>
      </c>
      <c r="J5" s="101"/>
      <c r="K5" s="101"/>
      <c r="L5" s="101"/>
      <c r="M5" s="101"/>
      <c r="N5" s="101"/>
      <c r="O5" s="101"/>
      <c r="P5" s="101"/>
      <c r="Q5" s="101"/>
      <c r="T5" s="24"/>
      <c r="U5" s="24"/>
    </row>
    <row r="6" spans="7:23" x14ac:dyDescent="0.3">
      <c r="G6" s="102" t="s">
        <v>2</v>
      </c>
      <c r="H6" s="103"/>
      <c r="I6" s="103"/>
      <c r="J6" s="146" t="s">
        <v>49</v>
      </c>
      <c r="K6" s="146"/>
      <c r="L6" s="146"/>
      <c r="M6" s="146"/>
      <c r="N6" s="146"/>
      <c r="O6" s="146"/>
      <c r="P6" s="146"/>
      <c r="Q6" s="146"/>
      <c r="R6" s="146"/>
      <c r="S6" s="146"/>
      <c r="T6" s="147"/>
    </row>
    <row r="7" spans="7:23" x14ac:dyDescent="0.3">
      <c r="G7" s="106" t="s">
        <v>3</v>
      </c>
      <c r="H7" s="107"/>
      <c r="I7" s="4"/>
      <c r="J7" s="158" t="s">
        <v>48</v>
      </c>
      <c r="K7" s="158"/>
      <c r="L7" s="158"/>
      <c r="M7" s="158"/>
      <c r="N7" s="158"/>
      <c r="O7" s="158"/>
      <c r="P7" s="26"/>
      <c r="Q7" s="5" t="s">
        <v>4</v>
      </c>
      <c r="R7" s="50"/>
      <c r="S7" s="144"/>
      <c r="T7" s="145"/>
    </row>
    <row r="8" spans="7:23" x14ac:dyDescent="0.3">
      <c r="G8" s="102" t="s">
        <v>60</v>
      </c>
      <c r="H8" s="103"/>
      <c r="I8" s="103"/>
      <c r="J8" s="146"/>
      <c r="K8" s="146"/>
      <c r="L8" s="146"/>
      <c r="M8" s="146"/>
      <c r="N8" s="146"/>
      <c r="O8" s="146"/>
      <c r="P8" s="27"/>
      <c r="Q8" s="4" t="s">
        <v>5</v>
      </c>
      <c r="R8" s="6"/>
      <c r="S8" s="146"/>
      <c r="T8" s="147"/>
      <c r="U8" s="28"/>
    </row>
    <row r="9" spans="7:23" x14ac:dyDescent="0.3">
      <c r="G9" s="102" t="s">
        <v>61</v>
      </c>
      <c r="H9" s="103"/>
      <c r="I9" s="103"/>
      <c r="J9" s="146"/>
      <c r="K9" s="146"/>
      <c r="L9" s="146"/>
      <c r="M9" s="146"/>
      <c r="N9" s="146"/>
      <c r="O9" s="146"/>
      <c r="P9" s="27"/>
      <c r="Q9" s="148" t="s">
        <v>6</v>
      </c>
      <c r="R9" s="148"/>
      <c r="S9" s="150"/>
      <c r="T9" s="151"/>
    </row>
    <row r="10" spans="7:23" x14ac:dyDescent="0.3">
      <c r="G10" s="102" t="s">
        <v>62</v>
      </c>
      <c r="H10" s="103"/>
      <c r="I10" s="103"/>
      <c r="J10" s="146"/>
      <c r="K10" s="146"/>
      <c r="L10" s="146"/>
      <c r="M10" s="146"/>
      <c r="N10" s="146"/>
      <c r="O10" s="146"/>
      <c r="P10" s="27"/>
      <c r="Q10" s="148" t="s">
        <v>7</v>
      </c>
      <c r="R10" s="148"/>
      <c r="S10" s="146"/>
      <c r="T10" s="147"/>
    </row>
    <row r="11" spans="7:23" x14ac:dyDescent="0.3">
      <c r="G11" s="102" t="s">
        <v>8</v>
      </c>
      <c r="H11" s="103"/>
      <c r="I11" s="103"/>
      <c r="J11" s="159"/>
      <c r="K11" s="159"/>
      <c r="L11" s="159"/>
      <c r="M11" s="159"/>
      <c r="N11" s="159"/>
      <c r="O11" s="159"/>
      <c r="P11" s="27"/>
      <c r="Q11" s="148" t="s">
        <v>9</v>
      </c>
      <c r="R11" s="148"/>
      <c r="S11" s="152"/>
      <c r="T11" s="153"/>
    </row>
    <row r="12" spans="7:23" x14ac:dyDescent="0.3">
      <c r="G12" s="102" t="s">
        <v>10</v>
      </c>
      <c r="H12" s="103"/>
      <c r="I12" s="103"/>
      <c r="J12" s="141"/>
      <c r="K12" s="141"/>
      <c r="L12" s="141"/>
      <c r="M12" s="141"/>
      <c r="N12" s="141"/>
      <c r="O12" s="141"/>
      <c r="P12" s="27"/>
      <c r="Q12" s="5" t="s">
        <v>11</v>
      </c>
      <c r="R12" s="51"/>
      <c r="S12" s="142"/>
      <c r="T12" s="143"/>
    </row>
    <row r="13" spans="7:23" x14ac:dyDescent="0.3">
      <c r="G13" s="102" t="s">
        <v>63</v>
      </c>
      <c r="H13" s="103"/>
      <c r="I13" s="103"/>
      <c r="J13" s="146"/>
      <c r="K13" s="146"/>
      <c r="L13" s="146"/>
      <c r="M13" s="146"/>
      <c r="N13" s="146"/>
      <c r="O13" s="146"/>
      <c r="P13" s="27"/>
      <c r="Q13" s="148" t="s">
        <v>12</v>
      </c>
      <c r="R13" s="148"/>
      <c r="S13" s="154"/>
      <c r="T13" s="155"/>
    </row>
    <row r="14" spans="7:23" s="25" customFormat="1" x14ac:dyDescent="0.3">
      <c r="G14" s="29"/>
      <c r="H14" s="30"/>
      <c r="K14" s="123"/>
      <c r="L14" s="123"/>
      <c r="M14" s="123"/>
      <c r="N14" s="123"/>
      <c r="O14" s="123"/>
      <c r="P14" s="31"/>
      <c r="Q14" s="24"/>
      <c r="R14" s="24"/>
      <c r="S14" s="24"/>
      <c r="T14" s="32"/>
      <c r="U14" s="32"/>
    </row>
    <row r="15" spans="7:23" s="25" customFormat="1" x14ac:dyDescent="0.3">
      <c r="G15" s="7" t="s">
        <v>13</v>
      </c>
      <c r="H15" s="2"/>
      <c r="I15" s="1"/>
      <c r="J15" s="24"/>
      <c r="K15" s="156" t="s">
        <v>53</v>
      </c>
      <c r="L15" s="156"/>
      <c r="M15" s="156"/>
      <c r="N15" s="156"/>
      <c r="O15" s="1"/>
      <c r="P15" s="31"/>
      <c r="Q15" s="114"/>
      <c r="R15" s="114"/>
      <c r="S15" s="114"/>
      <c r="T15" s="114"/>
      <c r="U15" s="32"/>
    </row>
    <row r="17" spans="2:21" ht="17.25" customHeight="1" x14ac:dyDescent="0.3">
      <c r="G17" s="130" t="s">
        <v>14</v>
      </c>
      <c r="H17" s="126" t="s">
        <v>27</v>
      </c>
      <c r="I17" s="132" t="s">
        <v>15</v>
      </c>
      <c r="J17" s="133"/>
      <c r="K17" s="132" t="s">
        <v>16</v>
      </c>
      <c r="L17" s="149" t="s">
        <v>31</v>
      </c>
      <c r="M17" s="136"/>
      <c r="N17" s="136"/>
      <c r="O17" s="136"/>
      <c r="P17" s="136"/>
      <c r="Q17" s="126" t="s">
        <v>17</v>
      </c>
      <c r="R17" s="124" t="s">
        <v>18</v>
      </c>
      <c r="S17" s="124" t="s">
        <v>30</v>
      </c>
      <c r="T17" s="126" t="s">
        <v>19</v>
      </c>
    </row>
    <row r="18" spans="2:21" ht="16.5" customHeight="1" x14ac:dyDescent="0.3">
      <c r="G18" s="131"/>
      <c r="H18" s="127"/>
      <c r="I18" s="134"/>
      <c r="J18" s="135"/>
      <c r="K18" s="134"/>
      <c r="L18" s="8" t="s">
        <v>32</v>
      </c>
      <c r="M18" s="9"/>
      <c r="N18" s="10" t="s">
        <v>33</v>
      </c>
      <c r="O18" s="9"/>
      <c r="P18" s="11" t="s">
        <v>34</v>
      </c>
      <c r="Q18" s="127"/>
      <c r="R18" s="125"/>
      <c r="S18" s="125"/>
      <c r="T18" s="127"/>
    </row>
    <row r="19" spans="2:21" ht="29.4" thickBot="1" x14ac:dyDescent="0.35">
      <c r="B19" s="36">
        <v>0.01</v>
      </c>
      <c r="C19" s="35">
        <f t="shared" ref="C19:C37" si="0">SUM(N19:N19)</f>
        <v>0.46500000000000002</v>
      </c>
      <c r="D19" s="37">
        <v>0.01</v>
      </c>
      <c r="E19" s="35">
        <f t="shared" ref="E19:E37" si="1">SUM(P19:P19)</f>
        <v>0.25</v>
      </c>
      <c r="F19" s="33">
        <f t="shared" ref="F19:F22" si="2">SUM(L19*C19*E19)</f>
        <v>1.6275000000000001E-2</v>
      </c>
      <c r="G19" s="39"/>
      <c r="H19" s="34" t="s">
        <v>54</v>
      </c>
      <c r="I19" s="12" t="s">
        <v>20</v>
      </c>
      <c r="J19" s="13">
        <v>3503</v>
      </c>
      <c r="K19" s="14" t="s">
        <v>22</v>
      </c>
      <c r="L19" s="52">
        <v>0.14000000000000001</v>
      </c>
      <c r="M19" s="53" t="s">
        <v>21</v>
      </c>
      <c r="N19" s="53">
        <v>0.46500000000000002</v>
      </c>
      <c r="O19" s="53" t="s">
        <v>21</v>
      </c>
      <c r="P19" s="54">
        <v>0.25</v>
      </c>
      <c r="Q19" s="15">
        <f t="shared" ref="Q19:Q37" si="3">SUM(G19*L19*C19*E19)</f>
        <v>0</v>
      </c>
      <c r="R19" s="38">
        <v>865</v>
      </c>
      <c r="S19" s="16">
        <f t="shared" ref="S19:S37" si="4">SUM(L19*C19*E19*R19)</f>
        <v>14.077875000000001</v>
      </c>
      <c r="T19" s="17">
        <f t="shared" ref="T19:T22" si="5">SUM(G19*S19)</f>
        <v>0</v>
      </c>
    </row>
    <row r="20" spans="2:21" ht="15" thickBot="1" x14ac:dyDescent="0.35">
      <c r="B20" s="36">
        <v>0.01</v>
      </c>
      <c r="C20" s="35">
        <f t="shared" si="0"/>
        <v>0.61</v>
      </c>
      <c r="D20" s="37">
        <v>0.01</v>
      </c>
      <c r="E20" s="35">
        <f t="shared" si="1"/>
        <v>0.4</v>
      </c>
      <c r="F20" s="33">
        <f t="shared" si="2"/>
        <v>1.2200000000000002E-3</v>
      </c>
      <c r="G20" s="39"/>
      <c r="H20" s="34" t="s">
        <v>55</v>
      </c>
      <c r="I20" s="12" t="s">
        <v>20</v>
      </c>
      <c r="J20" s="13">
        <v>3503</v>
      </c>
      <c r="K20" s="14" t="s">
        <v>22</v>
      </c>
      <c r="L20" s="52">
        <v>5.0000000000000001E-3</v>
      </c>
      <c r="M20" s="53" t="s">
        <v>21</v>
      </c>
      <c r="N20" s="53">
        <v>0.61</v>
      </c>
      <c r="O20" s="53" t="s">
        <v>21</v>
      </c>
      <c r="P20" s="54">
        <v>0.4</v>
      </c>
      <c r="Q20" s="15">
        <f t="shared" si="3"/>
        <v>0</v>
      </c>
      <c r="R20" s="38">
        <v>865</v>
      </c>
      <c r="S20" s="16">
        <f t="shared" si="4"/>
        <v>1.0553000000000001</v>
      </c>
      <c r="T20" s="17">
        <f t="shared" si="5"/>
        <v>0</v>
      </c>
    </row>
    <row r="21" spans="2:21" ht="29.4" thickBot="1" x14ac:dyDescent="0.35">
      <c r="B21" s="36">
        <v>0.01</v>
      </c>
      <c r="C21" s="35">
        <f t="shared" si="0"/>
        <v>0.46</v>
      </c>
      <c r="D21" s="37">
        <v>0.01</v>
      </c>
      <c r="E21" s="35">
        <f t="shared" si="1"/>
        <v>0.12</v>
      </c>
      <c r="F21" s="33">
        <f t="shared" si="2"/>
        <v>1.3800000000000002E-3</v>
      </c>
      <c r="G21" s="39"/>
      <c r="H21" s="34" t="s">
        <v>56</v>
      </c>
      <c r="I21" s="12" t="s">
        <v>20</v>
      </c>
      <c r="J21" s="13">
        <v>3503</v>
      </c>
      <c r="K21" s="14" t="s">
        <v>22</v>
      </c>
      <c r="L21" s="52">
        <v>2.5000000000000001E-2</v>
      </c>
      <c r="M21" s="53" t="s">
        <v>21</v>
      </c>
      <c r="N21" s="53">
        <v>0.46</v>
      </c>
      <c r="O21" s="53" t="s">
        <v>21</v>
      </c>
      <c r="P21" s="54">
        <v>0.12</v>
      </c>
      <c r="Q21" s="15">
        <f t="shared" si="3"/>
        <v>0</v>
      </c>
      <c r="R21" s="38">
        <v>865</v>
      </c>
      <c r="S21" s="16">
        <f t="shared" si="4"/>
        <v>1.1937000000000002</v>
      </c>
      <c r="T21" s="17">
        <f t="shared" si="5"/>
        <v>0</v>
      </c>
    </row>
    <row r="22" spans="2:21" ht="15" thickBot="1" x14ac:dyDescent="0.35">
      <c r="B22" s="36">
        <v>0.01</v>
      </c>
      <c r="C22" s="35">
        <f t="shared" si="0"/>
        <v>1.36</v>
      </c>
      <c r="D22" s="37">
        <v>0.01</v>
      </c>
      <c r="E22" s="35">
        <f t="shared" si="1"/>
        <v>0.05</v>
      </c>
      <c r="F22" s="33">
        <f t="shared" si="2"/>
        <v>3.4000000000000002E-4</v>
      </c>
      <c r="G22" s="39"/>
      <c r="H22" s="34" t="s">
        <v>57</v>
      </c>
      <c r="I22" s="12" t="s">
        <v>20</v>
      </c>
      <c r="J22" s="13">
        <v>3503</v>
      </c>
      <c r="K22" s="14" t="s">
        <v>22</v>
      </c>
      <c r="L22" s="52">
        <v>5.0000000000000001E-3</v>
      </c>
      <c r="M22" s="53" t="s">
        <v>21</v>
      </c>
      <c r="N22" s="53">
        <v>1.36</v>
      </c>
      <c r="O22" s="53" t="s">
        <v>21</v>
      </c>
      <c r="P22" s="54">
        <v>0.05</v>
      </c>
      <c r="Q22" s="15">
        <f t="shared" si="3"/>
        <v>0</v>
      </c>
      <c r="R22" s="38">
        <v>865</v>
      </c>
      <c r="S22" s="16">
        <f t="shared" si="4"/>
        <v>0.29410000000000003</v>
      </c>
      <c r="T22" s="17">
        <f t="shared" si="5"/>
        <v>0</v>
      </c>
    </row>
    <row r="23" spans="2:21" ht="15" thickBot="1" x14ac:dyDescent="0.35">
      <c r="B23" s="36">
        <v>0.01</v>
      </c>
      <c r="C23" s="35">
        <f t="shared" si="0"/>
        <v>0.53</v>
      </c>
      <c r="D23" s="37">
        <v>0.01</v>
      </c>
      <c r="E23" s="35">
        <f t="shared" si="1"/>
        <v>0.495</v>
      </c>
      <c r="F23" s="33">
        <f t="shared" ref="F23:F26" si="6">SUM(E23*C23*L23)</f>
        <v>1.8364500000000002E-2</v>
      </c>
      <c r="G23" s="39"/>
      <c r="H23" s="34" t="s">
        <v>39</v>
      </c>
      <c r="I23" s="12" t="s">
        <v>20</v>
      </c>
      <c r="J23" s="13">
        <v>3503</v>
      </c>
      <c r="K23" s="14" t="s">
        <v>22</v>
      </c>
      <c r="L23" s="52">
        <v>7.0000000000000007E-2</v>
      </c>
      <c r="M23" s="53" t="s">
        <v>21</v>
      </c>
      <c r="N23" s="53">
        <v>0.53</v>
      </c>
      <c r="O23" s="53" t="s">
        <v>21</v>
      </c>
      <c r="P23" s="54">
        <v>0.495</v>
      </c>
      <c r="Q23" s="15">
        <f t="shared" si="3"/>
        <v>0</v>
      </c>
      <c r="R23" s="38">
        <v>865</v>
      </c>
      <c r="S23" s="16">
        <f t="shared" si="4"/>
        <v>15.885292500000002</v>
      </c>
      <c r="T23" s="17">
        <f t="shared" ref="T23:T26" si="7">SUM(Q23*R23)</f>
        <v>0</v>
      </c>
      <c r="U23" s="28"/>
    </row>
    <row r="24" spans="2:21" ht="15" thickBot="1" x14ac:dyDescent="0.35">
      <c r="B24" s="36">
        <v>0.01</v>
      </c>
      <c r="C24" s="35">
        <f t="shared" si="0"/>
        <v>0.47</v>
      </c>
      <c r="D24" s="37">
        <v>0.01</v>
      </c>
      <c r="E24" s="35">
        <f t="shared" si="1"/>
        <v>0.38500000000000001</v>
      </c>
      <c r="F24" s="33">
        <f t="shared" si="6"/>
        <v>1.0857E-2</v>
      </c>
      <c r="G24" s="39">
        <v>250</v>
      </c>
      <c r="H24" s="34" t="s">
        <v>38</v>
      </c>
      <c r="I24" s="12" t="s">
        <v>20</v>
      </c>
      <c r="J24" s="13">
        <v>3503</v>
      </c>
      <c r="K24" s="14" t="s">
        <v>22</v>
      </c>
      <c r="L24" s="52">
        <v>0.06</v>
      </c>
      <c r="M24" s="53" t="s">
        <v>21</v>
      </c>
      <c r="N24" s="53">
        <v>0.47</v>
      </c>
      <c r="O24" s="53" t="s">
        <v>21</v>
      </c>
      <c r="P24" s="54">
        <v>0.38500000000000001</v>
      </c>
      <c r="Q24" s="15">
        <f t="shared" si="3"/>
        <v>2.7142499999999998</v>
      </c>
      <c r="R24" s="38">
        <v>865</v>
      </c>
      <c r="S24" s="16">
        <f t="shared" si="4"/>
        <v>9.3913049999999991</v>
      </c>
      <c r="T24" s="17">
        <f t="shared" si="7"/>
        <v>2347.8262500000001</v>
      </c>
      <c r="U24" s="28"/>
    </row>
    <row r="25" spans="2:21" ht="15" thickBot="1" x14ac:dyDescent="0.35">
      <c r="B25" s="36">
        <v>0.01</v>
      </c>
      <c r="C25" s="35">
        <f t="shared" si="0"/>
        <v>0.57999999999999996</v>
      </c>
      <c r="D25" s="37">
        <v>0.01</v>
      </c>
      <c r="E25" s="35">
        <f t="shared" si="1"/>
        <v>0.5</v>
      </c>
      <c r="F25" s="33">
        <f t="shared" si="6"/>
        <v>1.7399999999999999E-2</v>
      </c>
      <c r="G25" s="39"/>
      <c r="H25" s="34" t="s">
        <v>44</v>
      </c>
      <c r="I25" s="12" t="s">
        <v>20</v>
      </c>
      <c r="J25" s="13">
        <v>3503</v>
      </c>
      <c r="K25" s="14" t="s">
        <v>22</v>
      </c>
      <c r="L25" s="52">
        <v>0.06</v>
      </c>
      <c r="M25" s="53" t="s">
        <v>21</v>
      </c>
      <c r="N25" s="53">
        <v>0.57999999999999996</v>
      </c>
      <c r="O25" s="53" t="s">
        <v>21</v>
      </c>
      <c r="P25" s="54">
        <v>0.5</v>
      </c>
      <c r="Q25" s="15">
        <f t="shared" si="3"/>
        <v>0</v>
      </c>
      <c r="R25" s="38">
        <v>865</v>
      </c>
      <c r="S25" s="16">
        <f t="shared" si="4"/>
        <v>15.050999999999998</v>
      </c>
      <c r="T25" s="17">
        <f t="shared" si="7"/>
        <v>0</v>
      </c>
      <c r="U25" s="28"/>
    </row>
    <row r="26" spans="2:21" ht="15" thickBot="1" x14ac:dyDescent="0.35">
      <c r="B26" s="36">
        <v>0.01</v>
      </c>
      <c r="C26" s="35">
        <f t="shared" si="0"/>
        <v>0.5</v>
      </c>
      <c r="D26" s="37">
        <v>0.01</v>
      </c>
      <c r="E26" s="35">
        <f t="shared" si="1"/>
        <v>0.30499999999999999</v>
      </c>
      <c r="F26" s="33">
        <f t="shared" si="6"/>
        <v>7.6249999999999998E-3</v>
      </c>
      <c r="G26" s="39">
        <v>10</v>
      </c>
      <c r="H26" s="34" t="s">
        <v>41</v>
      </c>
      <c r="I26" s="12" t="s">
        <v>20</v>
      </c>
      <c r="J26" s="13">
        <v>3503</v>
      </c>
      <c r="K26" s="14" t="s">
        <v>22</v>
      </c>
      <c r="L26" s="52">
        <v>0.05</v>
      </c>
      <c r="M26" s="53" t="s">
        <v>21</v>
      </c>
      <c r="N26" s="53">
        <v>0.5</v>
      </c>
      <c r="O26" s="53" t="s">
        <v>21</v>
      </c>
      <c r="P26" s="54">
        <v>0.30499999999999999</v>
      </c>
      <c r="Q26" s="15">
        <f t="shared" si="3"/>
        <v>7.6249999999999998E-2</v>
      </c>
      <c r="R26" s="38">
        <v>865</v>
      </c>
      <c r="S26" s="16">
        <f t="shared" si="4"/>
        <v>6.5956250000000001</v>
      </c>
      <c r="T26" s="17">
        <f t="shared" si="7"/>
        <v>65.956249999999997</v>
      </c>
      <c r="U26" s="28"/>
    </row>
    <row r="27" spans="2:21" ht="15" thickBot="1" x14ac:dyDescent="0.35">
      <c r="B27" s="36">
        <v>0.01</v>
      </c>
      <c r="C27" s="35">
        <f t="shared" si="0"/>
        <v>0.67</v>
      </c>
      <c r="D27" s="37">
        <v>0.01</v>
      </c>
      <c r="E27" s="40">
        <f t="shared" si="1"/>
        <v>0.54</v>
      </c>
      <c r="F27" s="33">
        <f>SUM(L27*C27*E27)</f>
        <v>1.8090000000000002E-2</v>
      </c>
      <c r="G27" s="39">
        <v>880</v>
      </c>
      <c r="H27" s="34" t="s">
        <v>37</v>
      </c>
      <c r="I27" s="12" t="s">
        <v>20</v>
      </c>
      <c r="J27" s="13">
        <v>3503</v>
      </c>
      <c r="K27" s="14" t="s">
        <v>22</v>
      </c>
      <c r="L27" s="52">
        <v>0.05</v>
      </c>
      <c r="M27" s="53" t="s">
        <v>21</v>
      </c>
      <c r="N27" s="53">
        <v>0.67</v>
      </c>
      <c r="O27" s="53" t="s">
        <v>21</v>
      </c>
      <c r="P27" s="54">
        <v>0.54</v>
      </c>
      <c r="Q27" s="15">
        <f t="shared" si="3"/>
        <v>15.919200000000002</v>
      </c>
      <c r="R27" s="38">
        <v>865</v>
      </c>
      <c r="S27" s="16">
        <f t="shared" si="4"/>
        <v>15.647850000000002</v>
      </c>
      <c r="T27" s="17">
        <f t="shared" ref="T27" si="8">SUM(Q27*R27)</f>
        <v>13770.108000000002</v>
      </c>
    </row>
    <row r="28" spans="2:21" ht="15" thickBot="1" x14ac:dyDescent="0.35">
      <c r="B28" s="36">
        <v>0.01</v>
      </c>
      <c r="C28" s="35">
        <f t="shared" si="0"/>
        <v>0.46</v>
      </c>
      <c r="D28" s="37">
        <v>0.01</v>
      </c>
      <c r="E28" s="35">
        <f t="shared" si="1"/>
        <v>0.34499999999999997</v>
      </c>
      <c r="F28" s="33">
        <f t="shared" ref="F28:F37" si="9">SUM(E28*C28*L28)</f>
        <v>9.5220000000000009E-3</v>
      </c>
      <c r="G28" s="39"/>
      <c r="H28" s="34" t="s">
        <v>59</v>
      </c>
      <c r="I28" s="12" t="s">
        <v>20</v>
      </c>
      <c r="J28" s="13">
        <v>3503</v>
      </c>
      <c r="K28" s="14" t="s">
        <v>22</v>
      </c>
      <c r="L28" s="52">
        <v>0.06</v>
      </c>
      <c r="M28" s="53" t="s">
        <v>21</v>
      </c>
      <c r="N28" s="53">
        <v>0.46</v>
      </c>
      <c r="O28" s="53" t="s">
        <v>21</v>
      </c>
      <c r="P28" s="54">
        <v>0.34499999999999997</v>
      </c>
      <c r="Q28" s="15">
        <f t="shared" si="3"/>
        <v>0</v>
      </c>
      <c r="R28" s="38">
        <v>865</v>
      </c>
      <c r="S28" s="16">
        <f t="shared" si="4"/>
        <v>8.2365300000000001</v>
      </c>
      <c r="T28" s="17">
        <f t="shared" ref="T28:T36" si="10">SUM(Q28*R28)</f>
        <v>0</v>
      </c>
      <c r="U28" s="28"/>
    </row>
    <row r="29" spans="2:21" ht="15" thickBot="1" x14ac:dyDescent="0.35">
      <c r="B29" s="36">
        <v>0.01</v>
      </c>
      <c r="C29" s="35">
        <f t="shared" si="0"/>
        <v>0.74</v>
      </c>
      <c r="D29" s="37">
        <v>0.01</v>
      </c>
      <c r="E29" s="35">
        <f t="shared" si="1"/>
        <v>0.495</v>
      </c>
      <c r="F29" s="33">
        <f t="shared" si="9"/>
        <v>3.6630000000000003E-2</v>
      </c>
      <c r="G29" s="39">
        <v>15</v>
      </c>
      <c r="H29" s="34" t="s">
        <v>45</v>
      </c>
      <c r="I29" s="12" t="s">
        <v>20</v>
      </c>
      <c r="J29" s="13">
        <v>3503</v>
      </c>
      <c r="K29" s="14" t="s">
        <v>22</v>
      </c>
      <c r="L29" s="52">
        <v>0.1</v>
      </c>
      <c r="M29" s="53" t="s">
        <v>21</v>
      </c>
      <c r="N29" s="53">
        <v>0.74</v>
      </c>
      <c r="O29" s="53" t="s">
        <v>21</v>
      </c>
      <c r="P29" s="54">
        <v>0.495</v>
      </c>
      <c r="Q29" s="15">
        <f t="shared" si="3"/>
        <v>0.54944999999999988</v>
      </c>
      <c r="R29" s="38">
        <v>865</v>
      </c>
      <c r="S29" s="16">
        <f t="shared" si="4"/>
        <v>31.684949999999997</v>
      </c>
      <c r="T29" s="17">
        <f t="shared" ref="T29:T31" si="11">SUM(Q29*R29)</f>
        <v>475.27424999999988</v>
      </c>
      <c r="U29" s="28"/>
    </row>
    <row r="30" spans="2:21" ht="15" thickBot="1" x14ac:dyDescent="0.35">
      <c r="B30" s="36">
        <v>0.01</v>
      </c>
      <c r="C30" s="35">
        <f t="shared" si="0"/>
        <v>0.52</v>
      </c>
      <c r="D30" s="37">
        <v>0.01</v>
      </c>
      <c r="E30" s="35">
        <f t="shared" si="1"/>
        <v>0.5</v>
      </c>
      <c r="F30" s="33">
        <f t="shared" si="9"/>
        <v>2.6000000000000003E-3</v>
      </c>
      <c r="G30" s="39">
        <v>15</v>
      </c>
      <c r="H30" s="34" t="s">
        <v>46</v>
      </c>
      <c r="I30" s="12" t="s">
        <v>20</v>
      </c>
      <c r="J30" s="13">
        <v>3503</v>
      </c>
      <c r="K30" s="14" t="s">
        <v>22</v>
      </c>
      <c r="L30" s="52">
        <v>0.01</v>
      </c>
      <c r="M30" s="53" t="s">
        <v>21</v>
      </c>
      <c r="N30" s="53">
        <v>0.52</v>
      </c>
      <c r="O30" s="53" t="s">
        <v>21</v>
      </c>
      <c r="P30" s="54">
        <v>0.5</v>
      </c>
      <c r="Q30" s="15">
        <f t="shared" si="3"/>
        <v>3.9E-2</v>
      </c>
      <c r="R30" s="38">
        <v>865</v>
      </c>
      <c r="S30" s="16">
        <f t="shared" si="4"/>
        <v>2.2490000000000001</v>
      </c>
      <c r="T30" s="17">
        <f t="shared" si="11"/>
        <v>33.734999999999999</v>
      </c>
      <c r="U30" s="28"/>
    </row>
    <row r="31" spans="2:21" ht="15" thickBot="1" x14ac:dyDescent="0.35">
      <c r="B31" s="36">
        <v>0.01</v>
      </c>
      <c r="C31" s="35">
        <f t="shared" si="0"/>
        <v>1</v>
      </c>
      <c r="D31" s="37">
        <v>0.01</v>
      </c>
      <c r="E31" s="35">
        <f t="shared" si="1"/>
        <v>0.505</v>
      </c>
      <c r="F31" s="33">
        <f t="shared" si="9"/>
        <v>1.01E-2</v>
      </c>
      <c r="G31" s="39">
        <v>10</v>
      </c>
      <c r="H31" s="34" t="s">
        <v>50</v>
      </c>
      <c r="I31" s="12" t="s">
        <v>20</v>
      </c>
      <c r="J31" s="13">
        <v>3503</v>
      </c>
      <c r="K31" s="14" t="s">
        <v>22</v>
      </c>
      <c r="L31" s="52">
        <v>0.02</v>
      </c>
      <c r="M31" s="53" t="s">
        <v>21</v>
      </c>
      <c r="N31" s="53">
        <v>1</v>
      </c>
      <c r="O31" s="53" t="s">
        <v>21</v>
      </c>
      <c r="P31" s="54">
        <v>0.505</v>
      </c>
      <c r="Q31" s="15">
        <f t="shared" si="3"/>
        <v>0.10100000000000001</v>
      </c>
      <c r="R31" s="38">
        <v>865</v>
      </c>
      <c r="S31" s="16">
        <f t="shared" si="4"/>
        <v>8.7364999999999995</v>
      </c>
      <c r="T31" s="17">
        <f t="shared" si="11"/>
        <v>87.365000000000009</v>
      </c>
      <c r="U31" s="28"/>
    </row>
    <row r="32" spans="2:21" ht="15" thickBot="1" x14ac:dyDescent="0.35">
      <c r="B32" s="36">
        <v>0.01</v>
      </c>
      <c r="C32" s="35">
        <f t="shared" si="0"/>
        <v>0.44</v>
      </c>
      <c r="D32" s="37">
        <v>0.01</v>
      </c>
      <c r="E32" s="35">
        <f t="shared" si="1"/>
        <v>0.39</v>
      </c>
      <c r="F32" s="33">
        <f t="shared" si="9"/>
        <v>3.4320000000000002E-3</v>
      </c>
      <c r="G32" s="39"/>
      <c r="H32" s="34" t="s">
        <v>51</v>
      </c>
      <c r="I32" s="12" t="s">
        <v>20</v>
      </c>
      <c r="J32" s="13">
        <v>3503</v>
      </c>
      <c r="K32" s="14" t="s">
        <v>22</v>
      </c>
      <c r="L32" s="52">
        <v>0.02</v>
      </c>
      <c r="M32" s="53" t="s">
        <v>21</v>
      </c>
      <c r="N32" s="53">
        <v>0.44</v>
      </c>
      <c r="O32" s="53" t="s">
        <v>21</v>
      </c>
      <c r="P32" s="54">
        <v>0.39</v>
      </c>
      <c r="Q32" s="15">
        <f t="shared" si="3"/>
        <v>0</v>
      </c>
      <c r="R32" s="38">
        <v>865</v>
      </c>
      <c r="S32" s="16">
        <f t="shared" si="4"/>
        <v>2.96868</v>
      </c>
      <c r="T32" s="17">
        <f t="shared" si="10"/>
        <v>0</v>
      </c>
      <c r="U32" s="28"/>
    </row>
    <row r="33" spans="2:21" ht="15" thickBot="1" x14ac:dyDescent="0.35">
      <c r="B33" s="36">
        <v>0.01</v>
      </c>
      <c r="C33" s="35">
        <f t="shared" si="0"/>
        <v>0.505</v>
      </c>
      <c r="D33" s="37">
        <v>0.01</v>
      </c>
      <c r="E33" s="35">
        <f t="shared" si="1"/>
        <v>0.43</v>
      </c>
      <c r="F33" s="33">
        <f t="shared" si="9"/>
        <v>1.0857500000000001E-2</v>
      </c>
      <c r="G33" s="39"/>
      <c r="H33" s="34" t="s">
        <v>43</v>
      </c>
      <c r="I33" s="12" t="s">
        <v>20</v>
      </c>
      <c r="J33" s="13">
        <v>3503</v>
      </c>
      <c r="K33" s="14" t="s">
        <v>22</v>
      </c>
      <c r="L33" s="52">
        <v>0.05</v>
      </c>
      <c r="M33" s="53" t="s">
        <v>21</v>
      </c>
      <c r="N33" s="53">
        <v>0.505</v>
      </c>
      <c r="O33" s="53" t="s">
        <v>21</v>
      </c>
      <c r="P33" s="54">
        <v>0.43</v>
      </c>
      <c r="Q33" s="15">
        <f t="shared" si="3"/>
        <v>0</v>
      </c>
      <c r="R33" s="38">
        <v>865</v>
      </c>
      <c r="S33" s="16">
        <f t="shared" si="4"/>
        <v>9.3917375000000014</v>
      </c>
      <c r="T33" s="17">
        <f t="shared" ref="T33" si="12">SUM(Q33*R33)</f>
        <v>0</v>
      </c>
      <c r="U33" s="28"/>
    </row>
    <row r="34" spans="2:21" ht="15" thickBot="1" x14ac:dyDescent="0.35">
      <c r="B34" s="36">
        <v>0.01</v>
      </c>
      <c r="C34" s="35">
        <f t="shared" si="0"/>
        <v>0.43</v>
      </c>
      <c r="D34" s="37">
        <v>0.01</v>
      </c>
      <c r="E34" s="35">
        <f t="shared" si="1"/>
        <v>0.38500000000000001</v>
      </c>
      <c r="F34" s="33">
        <f t="shared" si="9"/>
        <v>1.6555E-2</v>
      </c>
      <c r="G34" s="39"/>
      <c r="H34" s="34" t="s">
        <v>40</v>
      </c>
      <c r="I34" s="12" t="s">
        <v>20</v>
      </c>
      <c r="J34" s="13">
        <v>3503</v>
      </c>
      <c r="K34" s="14" t="s">
        <v>22</v>
      </c>
      <c r="L34" s="52">
        <v>0.1</v>
      </c>
      <c r="M34" s="53" t="s">
        <v>21</v>
      </c>
      <c r="N34" s="53">
        <v>0.43</v>
      </c>
      <c r="O34" s="53" t="s">
        <v>21</v>
      </c>
      <c r="P34" s="54">
        <v>0.38500000000000001</v>
      </c>
      <c r="Q34" s="15">
        <f t="shared" si="3"/>
        <v>0</v>
      </c>
      <c r="R34" s="38">
        <v>865</v>
      </c>
      <c r="S34" s="16">
        <f t="shared" si="4"/>
        <v>14.320075000000001</v>
      </c>
      <c r="T34" s="17">
        <f>SUM(Q34*R34)</f>
        <v>0</v>
      </c>
      <c r="U34" s="28"/>
    </row>
    <row r="35" spans="2:21" ht="15" thickBot="1" x14ac:dyDescent="0.35">
      <c r="B35" s="42">
        <v>0.01</v>
      </c>
      <c r="C35" s="40">
        <f t="shared" si="0"/>
        <v>0.32</v>
      </c>
      <c r="D35" s="37">
        <v>0.01</v>
      </c>
      <c r="E35" s="35">
        <f t="shared" si="1"/>
        <v>7.0000000000000007E-2</v>
      </c>
      <c r="F35" s="33">
        <f t="shared" si="9"/>
        <v>4.4800000000000005E-4</v>
      </c>
      <c r="G35" s="39"/>
      <c r="H35" s="34" t="s">
        <v>58</v>
      </c>
      <c r="I35" s="12" t="s">
        <v>20</v>
      </c>
      <c r="J35" s="13">
        <v>3503</v>
      </c>
      <c r="K35" s="14" t="s">
        <v>22</v>
      </c>
      <c r="L35" s="52">
        <v>0.02</v>
      </c>
      <c r="M35" s="53" t="s">
        <v>21</v>
      </c>
      <c r="N35" s="53">
        <v>0.32</v>
      </c>
      <c r="O35" s="53" t="s">
        <v>21</v>
      </c>
      <c r="P35" s="54">
        <v>7.0000000000000007E-2</v>
      </c>
      <c r="Q35" s="15">
        <f t="shared" si="3"/>
        <v>0</v>
      </c>
      <c r="R35" s="38">
        <v>865</v>
      </c>
      <c r="S35" s="16">
        <f t="shared" si="4"/>
        <v>0.38752000000000003</v>
      </c>
      <c r="T35" s="17">
        <f t="shared" si="10"/>
        <v>0</v>
      </c>
      <c r="U35" s="28"/>
    </row>
    <row r="36" spans="2:21" ht="15" thickBot="1" x14ac:dyDescent="0.35">
      <c r="B36" s="36">
        <v>0.01</v>
      </c>
      <c r="C36" s="35">
        <f t="shared" si="0"/>
        <v>0.46</v>
      </c>
      <c r="D36" s="37">
        <v>0.01</v>
      </c>
      <c r="E36" s="35">
        <f t="shared" si="1"/>
        <v>0.14000000000000001</v>
      </c>
      <c r="F36" s="33">
        <f t="shared" si="9"/>
        <v>1.6100000000000003E-3</v>
      </c>
      <c r="G36" s="41"/>
      <c r="H36" s="34" t="s">
        <v>42</v>
      </c>
      <c r="I36" s="12" t="s">
        <v>20</v>
      </c>
      <c r="J36" s="13">
        <v>3503</v>
      </c>
      <c r="K36" s="14" t="s">
        <v>22</v>
      </c>
      <c r="L36" s="52">
        <v>2.5000000000000001E-2</v>
      </c>
      <c r="M36" s="53" t="s">
        <v>21</v>
      </c>
      <c r="N36" s="53">
        <v>0.46</v>
      </c>
      <c r="O36" s="53" t="s">
        <v>21</v>
      </c>
      <c r="P36" s="54">
        <v>0.14000000000000001</v>
      </c>
      <c r="Q36" s="15">
        <f t="shared" si="3"/>
        <v>0</v>
      </c>
      <c r="R36" s="38">
        <v>865</v>
      </c>
      <c r="S36" s="16">
        <f t="shared" si="4"/>
        <v>1.3926500000000002</v>
      </c>
      <c r="T36" s="17">
        <f t="shared" si="10"/>
        <v>0</v>
      </c>
      <c r="U36" s="28"/>
    </row>
    <row r="37" spans="2:21" ht="15" thickBot="1" x14ac:dyDescent="0.35">
      <c r="B37" s="36">
        <v>0.01</v>
      </c>
      <c r="C37" s="35">
        <f t="shared" si="0"/>
        <v>0.46</v>
      </c>
      <c r="D37" s="37">
        <v>0.01</v>
      </c>
      <c r="E37" s="35">
        <f t="shared" si="1"/>
        <v>0.12</v>
      </c>
      <c r="F37" s="33">
        <f t="shared" si="9"/>
        <v>1.3800000000000002E-3</v>
      </c>
      <c r="G37" s="41">
        <v>525</v>
      </c>
      <c r="H37" s="34" t="s">
        <v>35</v>
      </c>
      <c r="I37" s="12" t="s">
        <v>20</v>
      </c>
      <c r="J37" s="13">
        <v>3503</v>
      </c>
      <c r="K37" s="14" t="s">
        <v>22</v>
      </c>
      <c r="L37" s="52">
        <v>2.5000000000000001E-2</v>
      </c>
      <c r="M37" s="53" t="s">
        <v>21</v>
      </c>
      <c r="N37" s="53">
        <v>0.46</v>
      </c>
      <c r="O37" s="53" t="s">
        <v>21</v>
      </c>
      <c r="P37" s="54">
        <v>0.12</v>
      </c>
      <c r="Q37" s="15">
        <f t="shared" si="3"/>
        <v>0.72450000000000003</v>
      </c>
      <c r="R37" s="38">
        <v>865</v>
      </c>
      <c r="S37" s="16">
        <f t="shared" si="4"/>
        <v>1.1937000000000002</v>
      </c>
      <c r="T37" s="17">
        <f t="shared" ref="T37" si="13">SUM(Q37*R37)</f>
        <v>626.6925</v>
      </c>
      <c r="U37" s="28"/>
    </row>
    <row r="38" spans="2:21" x14ac:dyDescent="0.3">
      <c r="B38" s="46"/>
      <c r="C38" s="47"/>
      <c r="D38" s="48"/>
      <c r="E38" s="49"/>
      <c r="F38" s="33"/>
      <c r="G38" s="43">
        <v>20</v>
      </c>
      <c r="H38" s="44" t="s">
        <v>105</v>
      </c>
      <c r="I38" s="12"/>
      <c r="J38" s="13"/>
      <c r="K38" s="14"/>
      <c r="L38" s="157" t="s">
        <v>107</v>
      </c>
      <c r="M38" s="157"/>
      <c r="N38" s="157"/>
      <c r="O38" s="157"/>
      <c r="P38" s="157"/>
      <c r="Q38" s="15"/>
      <c r="R38" s="38"/>
      <c r="S38" s="18"/>
      <c r="T38" s="19"/>
    </row>
    <row r="39" spans="2:21" x14ac:dyDescent="0.3">
      <c r="B39" s="46"/>
      <c r="C39" s="47"/>
      <c r="D39" s="48"/>
      <c r="E39" s="49"/>
      <c r="F39" s="33"/>
      <c r="G39" s="43">
        <v>15</v>
      </c>
      <c r="H39" s="44" t="s">
        <v>108</v>
      </c>
      <c r="I39" s="12"/>
      <c r="J39" s="13"/>
      <c r="K39" s="92"/>
      <c r="L39" s="95" t="s">
        <v>109</v>
      </c>
      <c r="M39" s="46"/>
      <c r="N39" s="47"/>
      <c r="O39" s="48"/>
      <c r="P39" s="47"/>
      <c r="Q39" s="15"/>
      <c r="R39" s="38"/>
      <c r="S39" s="18"/>
      <c r="T39" s="19"/>
    </row>
    <row r="40" spans="2:21" x14ac:dyDescent="0.3">
      <c r="B40" s="46"/>
      <c r="C40" s="47"/>
      <c r="D40" s="48"/>
      <c r="E40" s="49"/>
      <c r="F40" s="33"/>
      <c r="G40" s="43">
        <v>15</v>
      </c>
      <c r="H40" s="44" t="s">
        <v>110</v>
      </c>
      <c r="I40" s="12"/>
      <c r="J40" s="13"/>
      <c r="K40" s="14"/>
      <c r="L40" s="93" t="s">
        <v>111</v>
      </c>
      <c r="M40" s="46"/>
      <c r="N40" s="47"/>
      <c r="O40" s="48"/>
      <c r="P40" s="47"/>
      <c r="Q40" s="15"/>
      <c r="R40" s="38"/>
      <c r="S40" s="18"/>
      <c r="T40" s="19"/>
    </row>
    <row r="41" spans="2:21" x14ac:dyDescent="0.3">
      <c r="B41" s="46"/>
      <c r="C41" s="47"/>
      <c r="D41" s="48"/>
      <c r="E41" s="49"/>
      <c r="F41" s="33"/>
      <c r="G41" s="43"/>
      <c r="H41" s="44"/>
      <c r="I41" s="12"/>
      <c r="J41" s="13"/>
      <c r="K41" s="14"/>
      <c r="L41" s="45"/>
      <c r="M41" s="46"/>
      <c r="N41" s="47"/>
      <c r="O41" s="48"/>
      <c r="P41" s="47"/>
      <c r="Q41" s="15"/>
      <c r="R41" s="38"/>
      <c r="S41" s="18"/>
      <c r="T41" s="19"/>
    </row>
    <row r="42" spans="2:21" x14ac:dyDescent="0.3">
      <c r="B42" s="46"/>
      <c r="C42" s="47"/>
      <c r="D42" s="48"/>
      <c r="E42" s="49"/>
      <c r="F42" s="33"/>
      <c r="G42" s="43"/>
      <c r="H42" s="44"/>
      <c r="I42" s="12"/>
      <c r="J42" s="13"/>
      <c r="K42" s="14"/>
      <c r="L42" s="45"/>
      <c r="M42" s="46"/>
      <c r="N42" s="47"/>
      <c r="O42" s="48"/>
      <c r="P42" s="47"/>
      <c r="Q42" s="15"/>
      <c r="R42" s="38"/>
      <c r="S42" s="18"/>
      <c r="T42" s="19"/>
    </row>
    <row r="43" spans="2:21" x14ac:dyDescent="0.3">
      <c r="D43" s="48"/>
      <c r="E43" s="49"/>
      <c r="F43" s="33"/>
      <c r="G43" s="43"/>
      <c r="H43" s="44"/>
      <c r="I43" s="12"/>
      <c r="J43" s="13"/>
      <c r="K43" s="14"/>
      <c r="L43" s="45"/>
      <c r="M43" s="46"/>
      <c r="N43" s="47"/>
      <c r="O43" s="48"/>
      <c r="P43" s="47"/>
      <c r="Q43" s="15"/>
      <c r="R43" s="38"/>
      <c r="S43" s="18"/>
      <c r="T43" s="19"/>
    </row>
    <row r="44" spans="2:21" ht="5.0999999999999996" customHeight="1" x14ac:dyDescent="0.3">
      <c r="Q44" s="31"/>
      <c r="S44" s="31"/>
    </row>
    <row r="45" spans="2:21" ht="18" customHeight="1" x14ac:dyDescent="0.3">
      <c r="L45" s="3"/>
      <c r="M45" s="3"/>
      <c r="N45" s="128" t="s">
        <v>36</v>
      </c>
      <c r="O45" s="128"/>
      <c r="P45" s="128"/>
      <c r="Q45" s="21">
        <f>SUM(Q19:Q43)</f>
        <v>20.123650000000001</v>
      </c>
      <c r="R45" s="3"/>
      <c r="S45" s="21"/>
      <c r="T45" s="20">
        <f>SUM(T19:T37)</f>
        <v>17406.957250000003</v>
      </c>
    </row>
    <row r="46" spans="2:21" ht="14.4" customHeight="1" x14ac:dyDescent="0.3">
      <c r="G46" s="101" t="s">
        <v>23</v>
      </c>
      <c r="H46" s="101"/>
      <c r="I46" s="101"/>
      <c r="J46" s="101"/>
      <c r="K46" s="24" t="s">
        <v>24</v>
      </c>
      <c r="L46" s="129" t="s">
        <v>28</v>
      </c>
      <c r="M46" s="129"/>
      <c r="N46" s="129"/>
      <c r="O46" s="129"/>
      <c r="P46" s="129"/>
      <c r="Q46" s="129"/>
      <c r="R46" s="129"/>
      <c r="S46" s="129"/>
      <c r="T46" s="129"/>
    </row>
    <row r="47" spans="2:21" ht="14.4" customHeight="1" x14ac:dyDescent="0.3">
      <c r="G47" s="137" t="s">
        <v>52</v>
      </c>
      <c r="H47" s="138"/>
      <c r="I47" s="138"/>
      <c r="J47" s="139"/>
      <c r="L47" s="129" t="s">
        <v>29</v>
      </c>
      <c r="M47" s="129"/>
      <c r="N47" s="129"/>
      <c r="O47" s="129"/>
      <c r="P47" s="129"/>
      <c r="Q47" s="129"/>
      <c r="R47" s="129"/>
      <c r="S47" s="129"/>
      <c r="T47" s="129"/>
    </row>
    <row r="48" spans="2:21" x14ac:dyDescent="0.3">
      <c r="G48" s="101" t="s">
        <v>47</v>
      </c>
      <c r="H48" s="101"/>
      <c r="I48" s="101"/>
      <c r="J48" s="101"/>
      <c r="L48" s="129"/>
      <c r="M48" s="129"/>
      <c r="N48" s="129"/>
      <c r="O48" s="129"/>
      <c r="P48" s="129"/>
      <c r="Q48" s="129"/>
      <c r="R48" s="129"/>
      <c r="S48" s="129"/>
      <c r="T48" s="129"/>
    </row>
    <row r="49" spans="7:20" x14ac:dyDescent="0.3">
      <c r="G49" s="140" t="s">
        <v>25</v>
      </c>
      <c r="H49" s="140"/>
      <c r="I49" s="140"/>
      <c r="J49" s="140"/>
      <c r="L49" s="129"/>
      <c r="M49" s="129"/>
      <c r="N49" s="129"/>
      <c r="O49" s="129"/>
      <c r="P49" s="129"/>
      <c r="Q49" s="129"/>
      <c r="R49" s="129"/>
      <c r="S49" s="129"/>
      <c r="T49" s="129"/>
    </row>
  </sheetData>
  <autoFilter ref="B17:T40" xr:uid="{684948AF-89E9-43AD-BC46-DF6B5639C31C}">
    <filterColumn colId="7" showButton="0"/>
    <filterColumn colId="10" showButton="0"/>
    <filterColumn colId="11" showButton="0"/>
    <filterColumn colId="12" showButton="0"/>
    <filterColumn colId="13" showButton="0"/>
  </autoFilter>
  <sortState xmlns:xlrd2="http://schemas.microsoft.com/office/spreadsheetml/2017/richdata2" ref="H19:P37">
    <sortCondition ref="H19:H37"/>
  </sortState>
  <mergeCells count="53">
    <mergeCell ref="I4:Q4"/>
    <mergeCell ref="I5:Q5"/>
    <mergeCell ref="G11:I11"/>
    <mergeCell ref="G10:I10"/>
    <mergeCell ref="G8:I8"/>
    <mergeCell ref="G6:I6"/>
    <mergeCell ref="J7:O7"/>
    <mergeCell ref="J6:T6"/>
    <mergeCell ref="G9:I9"/>
    <mergeCell ref="J8:O8"/>
    <mergeCell ref="J9:O9"/>
    <mergeCell ref="G7:H7"/>
    <mergeCell ref="J11:O11"/>
    <mergeCell ref="G17:G18"/>
    <mergeCell ref="H17:H18"/>
    <mergeCell ref="I17:J18"/>
    <mergeCell ref="K17:K18"/>
    <mergeCell ref="Q17:Q18"/>
    <mergeCell ref="L46:T46"/>
    <mergeCell ref="L47:T47"/>
    <mergeCell ref="S13:T13"/>
    <mergeCell ref="S17:S18"/>
    <mergeCell ref="R17:R18"/>
    <mergeCell ref="N45:P45"/>
    <mergeCell ref="Q15:T15"/>
    <mergeCell ref="T17:T18"/>
    <mergeCell ref="Q13:R13"/>
    <mergeCell ref="K15:N15"/>
    <mergeCell ref="K14:O14"/>
    <mergeCell ref="L38:P38"/>
    <mergeCell ref="K2:Q2"/>
    <mergeCell ref="J3:Q3"/>
    <mergeCell ref="G49:J49"/>
    <mergeCell ref="G48:J48"/>
    <mergeCell ref="J10:O10"/>
    <mergeCell ref="L49:T49"/>
    <mergeCell ref="L48:T48"/>
    <mergeCell ref="L17:P17"/>
    <mergeCell ref="J13:O13"/>
    <mergeCell ref="G13:I13"/>
    <mergeCell ref="G12:I12"/>
    <mergeCell ref="S9:T9"/>
    <mergeCell ref="G47:J47"/>
    <mergeCell ref="G46:J46"/>
    <mergeCell ref="S10:T10"/>
    <mergeCell ref="S11:T11"/>
    <mergeCell ref="J12:O12"/>
    <mergeCell ref="S12:T12"/>
    <mergeCell ref="S7:T7"/>
    <mergeCell ref="S8:T8"/>
    <mergeCell ref="Q9:R9"/>
    <mergeCell ref="Q10:R10"/>
    <mergeCell ref="Q11:R11"/>
  </mergeCells>
  <dataValidations count="1">
    <dataValidation type="list" allowBlank="1" showInputMessage="1" showErrorMessage="1" sqref="I19:I43" xr:uid="{75CD9102-F4DB-414E-A850-FDCA4E176C47}">
      <formula1>"NRM,NR,NRF,NRD,LNC,NRAE,DS"</formula1>
    </dataValidation>
  </dataValidations>
  <pageMargins left="0.23622047244094491" right="0.23622047244094491" top="0" bottom="0" header="0.31496062992125984" footer="0.31496062992125984"/>
  <pageSetup paperSize="9" orientation="landscape" r:id="rId1"/>
  <ignoredErrors>
    <ignoredError sqref="T2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423A-1AC8-499D-B07C-7D421174935C}">
  <dimension ref="B2:AA27"/>
  <sheetViews>
    <sheetView showGridLines="0" zoomScaleNormal="100" workbookViewId="0">
      <selection activeCell="Y12" sqref="Y12"/>
    </sheetView>
  </sheetViews>
  <sheetFormatPr defaultColWidth="8.6640625" defaultRowHeight="14.4" x14ac:dyDescent="0.3"/>
  <cols>
    <col min="1" max="1" width="4.33203125" style="24" customWidth="1"/>
    <col min="2" max="7" width="8.6640625" style="24" hidden="1" customWidth="1"/>
    <col min="8" max="8" width="1.44140625" style="24" hidden="1" customWidth="1"/>
    <col min="9" max="9" width="8.6640625" style="22"/>
    <col min="10" max="10" width="22.44140625" style="23" customWidth="1"/>
    <col min="11" max="11" width="5" style="24" customWidth="1"/>
    <col min="12" max="12" width="5.88671875" style="24" customWidth="1"/>
    <col min="13" max="13" width="11.33203125" style="24" customWidth="1"/>
    <col min="14" max="14" width="7.88671875" style="24" customWidth="1"/>
    <col min="15" max="15" width="1.44140625" style="24" customWidth="1"/>
    <col min="16" max="16" width="7.88671875" style="31" customWidth="1"/>
    <col min="17" max="17" width="1.44140625" style="24" customWidth="1"/>
    <col min="18" max="18" width="7.88671875" style="31" customWidth="1"/>
    <col min="19" max="19" width="9.109375" style="24" customWidth="1"/>
    <col min="20" max="20" width="11.33203125" style="24" customWidth="1"/>
    <col min="21" max="21" width="12.109375" style="24" customWidth="1"/>
    <col min="22" max="22" width="17.5546875" style="24" customWidth="1"/>
    <col min="23" max="23" width="14.6640625" style="24" customWidth="1"/>
    <col min="24" max="16384" width="8.6640625" style="24"/>
  </cols>
  <sheetData>
    <row r="2" spans="9:27" x14ac:dyDescent="0.3">
      <c r="M2" s="99"/>
      <c r="N2" s="99"/>
      <c r="O2" s="99"/>
      <c r="P2" s="99"/>
      <c r="Q2" s="99"/>
      <c r="R2" s="99"/>
      <c r="S2" s="99"/>
    </row>
    <row r="3" spans="9:27" s="25" customFormat="1" x14ac:dyDescent="0.3">
      <c r="I3" s="22"/>
      <c r="J3" s="23"/>
      <c r="K3" s="24"/>
      <c r="L3" s="100" t="s">
        <v>0</v>
      </c>
      <c r="M3" s="100"/>
      <c r="N3" s="100"/>
      <c r="O3" s="100"/>
      <c r="P3" s="100"/>
      <c r="Q3" s="100"/>
      <c r="R3" s="100"/>
      <c r="S3" s="100"/>
      <c r="V3" s="24"/>
      <c r="W3" s="24"/>
      <c r="X3" s="24"/>
      <c r="Y3" s="24"/>
    </row>
    <row r="4" spans="9:27" s="25" customFormat="1" x14ac:dyDescent="0.3">
      <c r="I4" s="22"/>
      <c r="J4" s="23"/>
      <c r="K4" s="100" t="s">
        <v>1</v>
      </c>
      <c r="L4" s="100"/>
      <c r="M4" s="100"/>
      <c r="N4" s="100"/>
      <c r="O4" s="100"/>
      <c r="P4" s="100"/>
      <c r="Q4" s="100"/>
      <c r="R4" s="100"/>
      <c r="S4" s="100"/>
      <c r="V4" s="24"/>
    </row>
    <row r="5" spans="9:27" s="25" customFormat="1" x14ac:dyDescent="0.3">
      <c r="I5" s="22"/>
      <c r="J5" s="23"/>
      <c r="K5" s="101" t="s">
        <v>26</v>
      </c>
      <c r="L5" s="101"/>
      <c r="M5" s="101"/>
      <c r="N5" s="101"/>
      <c r="O5" s="101"/>
      <c r="P5" s="101"/>
      <c r="Q5" s="101"/>
      <c r="R5" s="101"/>
      <c r="S5" s="101"/>
      <c r="V5" s="24"/>
      <c r="W5" s="24"/>
    </row>
    <row r="6" spans="9:27" x14ac:dyDescent="0.3">
      <c r="I6" s="102" t="s">
        <v>2</v>
      </c>
      <c r="J6" s="103"/>
      <c r="K6" s="103"/>
      <c r="L6" s="104" t="s">
        <v>49</v>
      </c>
      <c r="M6" s="104"/>
      <c r="N6" s="104"/>
      <c r="O6" s="104"/>
      <c r="P6" s="104"/>
      <c r="Q6" s="104"/>
      <c r="R6" s="104"/>
      <c r="S6" s="104"/>
      <c r="T6" s="104"/>
      <c r="U6" s="104"/>
      <c r="V6" s="105"/>
    </row>
    <row r="7" spans="9:27" x14ac:dyDescent="0.3">
      <c r="I7" s="106" t="s">
        <v>3</v>
      </c>
      <c r="J7" s="107"/>
      <c r="K7" s="55"/>
      <c r="L7" s="108" t="s">
        <v>48</v>
      </c>
      <c r="M7" s="108"/>
      <c r="N7" s="108"/>
      <c r="O7" s="108"/>
      <c r="P7" s="108"/>
      <c r="Q7" s="108"/>
      <c r="R7" s="26"/>
      <c r="S7" s="5"/>
      <c r="T7" s="57"/>
      <c r="U7" s="109"/>
      <c r="V7" s="110"/>
    </row>
    <row r="8" spans="9:27" x14ac:dyDescent="0.3">
      <c r="I8" s="102" t="s">
        <v>60</v>
      </c>
      <c r="J8" s="103"/>
      <c r="K8" s="103"/>
      <c r="L8" s="104"/>
      <c r="M8" s="104"/>
      <c r="N8" s="104"/>
      <c r="O8" s="104"/>
      <c r="P8" s="104"/>
      <c r="Q8" s="104"/>
      <c r="R8" s="27"/>
      <c r="S8" s="4"/>
      <c r="T8" s="60"/>
      <c r="U8" s="104"/>
      <c r="V8" s="105"/>
      <c r="W8" s="28"/>
    </row>
    <row r="9" spans="9:27" x14ac:dyDescent="0.3">
      <c r="I9" s="102" t="s">
        <v>61</v>
      </c>
      <c r="J9" s="103"/>
      <c r="K9" s="103"/>
      <c r="L9" s="104"/>
      <c r="M9" s="104"/>
      <c r="N9" s="104"/>
      <c r="O9" s="104"/>
      <c r="P9" s="104"/>
      <c r="Q9" s="104"/>
      <c r="R9" s="27"/>
      <c r="S9" s="4"/>
      <c r="T9" s="61"/>
      <c r="U9" s="111"/>
      <c r="V9" s="112"/>
    </row>
    <row r="10" spans="9:27" x14ac:dyDescent="0.3">
      <c r="I10" s="102" t="s">
        <v>65</v>
      </c>
      <c r="J10" s="103"/>
      <c r="K10" s="103"/>
      <c r="L10" s="104"/>
      <c r="M10" s="104"/>
      <c r="N10" s="104"/>
      <c r="O10" s="104"/>
      <c r="P10" s="104"/>
      <c r="Q10" s="104"/>
      <c r="R10" s="27"/>
      <c r="S10" s="4"/>
      <c r="T10" s="60"/>
      <c r="U10" s="104"/>
      <c r="V10" s="105"/>
    </row>
    <row r="11" spans="9:27" x14ac:dyDescent="0.3">
      <c r="I11" s="102" t="s">
        <v>8</v>
      </c>
      <c r="J11" s="103"/>
      <c r="K11" s="103"/>
      <c r="L11" s="115"/>
      <c r="M11" s="115"/>
      <c r="N11" s="63"/>
      <c r="O11" s="63"/>
      <c r="P11" s="115"/>
      <c r="Q11" s="115"/>
      <c r="R11" s="27"/>
      <c r="S11" s="4"/>
      <c r="T11" s="64"/>
      <c r="U11" s="116"/>
      <c r="V11" s="117"/>
    </row>
    <row r="12" spans="9:27" x14ac:dyDescent="0.3">
      <c r="I12" s="102" t="s">
        <v>10</v>
      </c>
      <c r="J12" s="103"/>
      <c r="K12" s="103"/>
      <c r="L12" s="118"/>
      <c r="M12" s="118"/>
      <c r="N12" s="118"/>
      <c r="O12" s="118"/>
      <c r="P12" s="118"/>
      <c r="Q12" s="118"/>
      <c r="R12" s="27"/>
      <c r="S12" s="4" t="s">
        <v>11</v>
      </c>
      <c r="T12" s="66"/>
      <c r="U12" s="119"/>
      <c r="V12" s="120"/>
    </row>
    <row r="13" spans="9:27" x14ac:dyDescent="0.3">
      <c r="I13" s="102" t="s">
        <v>98</v>
      </c>
      <c r="J13" s="103"/>
      <c r="K13" s="103"/>
      <c r="L13" s="104"/>
      <c r="M13" s="104"/>
      <c r="N13" s="104"/>
      <c r="O13" s="104"/>
      <c r="P13" s="104"/>
      <c r="Q13" s="104"/>
      <c r="R13" s="27"/>
      <c r="S13" s="103"/>
      <c r="T13" s="103"/>
      <c r="U13" s="121"/>
      <c r="V13" s="122"/>
    </row>
    <row r="14" spans="9:27" s="25" customFormat="1" x14ac:dyDescent="0.3">
      <c r="I14" s="29"/>
      <c r="J14" s="30"/>
      <c r="M14" s="123"/>
      <c r="N14" s="123"/>
      <c r="O14" s="123"/>
      <c r="P14" s="123"/>
      <c r="Q14" s="123"/>
      <c r="R14" s="31"/>
      <c r="S14" s="24"/>
      <c r="T14" s="24"/>
      <c r="U14" s="24"/>
      <c r="V14" s="32"/>
      <c r="W14" s="32"/>
      <c r="AA14" s="69"/>
    </row>
    <row r="15" spans="9:27" s="25" customFormat="1" x14ac:dyDescent="0.3">
      <c r="I15" s="7" t="s">
        <v>13</v>
      </c>
      <c r="J15" s="70"/>
      <c r="K15" s="1"/>
      <c r="L15" s="113" t="s">
        <v>99</v>
      </c>
      <c r="M15" s="113"/>
      <c r="N15" s="113"/>
      <c r="O15" s="113"/>
      <c r="P15" s="113"/>
      <c r="Q15" s="113"/>
      <c r="R15" s="113"/>
      <c r="S15" s="114"/>
      <c r="T15" s="114"/>
      <c r="U15" s="114"/>
      <c r="V15" s="114"/>
      <c r="W15" s="32"/>
    </row>
    <row r="17" spans="4:22" ht="17.25" customHeight="1" x14ac:dyDescent="0.3">
      <c r="I17" s="130" t="s">
        <v>14</v>
      </c>
      <c r="J17" s="126" t="s">
        <v>27</v>
      </c>
      <c r="K17" s="132" t="s">
        <v>15</v>
      </c>
      <c r="L17" s="133"/>
      <c r="M17" s="132" t="s">
        <v>16</v>
      </c>
      <c r="N17" s="89"/>
      <c r="O17" s="89"/>
      <c r="P17" s="136"/>
      <c r="Q17" s="136"/>
      <c r="R17" s="136"/>
      <c r="S17" s="126" t="s">
        <v>17</v>
      </c>
      <c r="T17" s="124" t="s">
        <v>18</v>
      </c>
      <c r="U17" s="124" t="s">
        <v>30</v>
      </c>
      <c r="V17" s="126" t="s">
        <v>19</v>
      </c>
    </row>
    <row r="18" spans="4:22" ht="16.5" customHeight="1" x14ac:dyDescent="0.3">
      <c r="I18" s="131"/>
      <c r="J18" s="127"/>
      <c r="K18" s="134"/>
      <c r="L18" s="135"/>
      <c r="M18" s="134"/>
      <c r="N18" s="72" t="s">
        <v>100</v>
      </c>
      <c r="O18" s="72"/>
      <c r="P18" s="72" t="s">
        <v>101</v>
      </c>
      <c r="Q18" s="9"/>
      <c r="R18" s="72" t="s">
        <v>102</v>
      </c>
      <c r="S18" s="127"/>
      <c r="T18" s="125"/>
      <c r="U18" s="125"/>
      <c r="V18" s="127"/>
    </row>
    <row r="19" spans="4:22" ht="15" customHeight="1" x14ac:dyDescent="0.3">
      <c r="D19" s="36">
        <v>0.02</v>
      </c>
      <c r="E19" s="35">
        <f t="shared" ref="E19" si="0">SUM(P19:P19)</f>
        <v>0.2</v>
      </c>
      <c r="F19" s="37">
        <v>0</v>
      </c>
      <c r="G19" s="40">
        <f t="shared" ref="G19" si="1">SUM(R19:R19)</f>
        <v>0.15</v>
      </c>
      <c r="H19" s="33">
        <f>SUM(N19*E19*G19)</f>
        <v>1.0799999999999999E-2</v>
      </c>
      <c r="I19" s="80"/>
      <c r="J19" s="34" t="s">
        <v>103</v>
      </c>
      <c r="K19" s="12" t="s">
        <v>20</v>
      </c>
      <c r="L19" s="13">
        <v>3503</v>
      </c>
      <c r="M19" s="14" t="s">
        <v>22</v>
      </c>
      <c r="N19" s="73">
        <v>0.36</v>
      </c>
      <c r="O19" s="74" t="s">
        <v>21</v>
      </c>
      <c r="P19" s="76">
        <v>0.2</v>
      </c>
      <c r="Q19" s="36">
        <v>0.15</v>
      </c>
      <c r="R19" s="77">
        <v>0.15</v>
      </c>
      <c r="S19" s="15">
        <f t="shared" ref="S19" si="2">SUM(I19*N19*E19*G19+D19)</f>
        <v>0.02</v>
      </c>
      <c r="T19" s="78">
        <v>865</v>
      </c>
      <c r="U19" s="16">
        <f t="shared" ref="U19" si="3">SUM(N19*E19*G19*T19)</f>
        <v>9.3419999999999987</v>
      </c>
      <c r="V19" s="17">
        <f t="shared" ref="V19" si="4">SUM(S19*T19)</f>
        <v>17.3</v>
      </c>
    </row>
    <row r="20" spans="4:22" x14ac:dyDescent="0.3">
      <c r="D20" s="46"/>
      <c r="E20" s="47"/>
      <c r="F20" s="48"/>
      <c r="G20" s="49"/>
      <c r="H20" s="33"/>
      <c r="I20" s="86"/>
      <c r="J20" s="44"/>
      <c r="K20" s="12"/>
      <c r="L20" s="13"/>
      <c r="M20" s="14"/>
      <c r="N20" s="45"/>
      <c r="O20" s="46"/>
      <c r="P20" s="87"/>
      <c r="Q20" s="48"/>
      <c r="R20" s="77"/>
      <c r="S20" s="15"/>
      <c r="T20" s="78"/>
      <c r="U20" s="18"/>
      <c r="V20" s="19"/>
    </row>
    <row r="21" spans="4:22" x14ac:dyDescent="0.3">
      <c r="D21" s="46"/>
      <c r="E21" s="47"/>
      <c r="F21" s="48"/>
      <c r="G21" s="49"/>
      <c r="H21" s="33"/>
      <c r="I21" s="86"/>
      <c r="J21" s="44"/>
      <c r="K21" s="12"/>
      <c r="L21" s="13"/>
      <c r="M21" s="14"/>
      <c r="N21" s="45"/>
      <c r="O21" s="46"/>
      <c r="P21" s="87"/>
      <c r="Q21" s="48"/>
      <c r="R21" s="77"/>
      <c r="S21" s="15"/>
      <c r="T21" s="78"/>
      <c r="U21" s="18"/>
      <c r="V21" s="19"/>
    </row>
    <row r="22" spans="4:22" ht="5.0999999999999996" customHeight="1" x14ac:dyDescent="0.3">
      <c r="S22" s="31"/>
      <c r="U22" s="31"/>
    </row>
    <row r="23" spans="4:22" ht="18" customHeight="1" x14ac:dyDescent="0.3">
      <c r="P23" s="128" t="s">
        <v>36</v>
      </c>
      <c r="Q23" s="128"/>
      <c r="R23" s="128"/>
      <c r="S23" s="21">
        <f>SUM(S19:S21)</f>
        <v>0.02</v>
      </c>
      <c r="T23" s="3"/>
      <c r="U23" s="21"/>
      <c r="V23" s="20">
        <f>SUM(V19:V19)</f>
        <v>17.3</v>
      </c>
    </row>
    <row r="24" spans="4:22" ht="14.4" customHeight="1" x14ac:dyDescent="0.3">
      <c r="I24" s="101" t="s">
        <v>23</v>
      </c>
      <c r="J24" s="101"/>
      <c r="K24" s="101"/>
      <c r="L24" s="101"/>
      <c r="M24" s="24" t="s">
        <v>24</v>
      </c>
      <c r="P24" s="129"/>
      <c r="Q24" s="129"/>
      <c r="R24" s="129"/>
      <c r="S24" s="129"/>
      <c r="T24" s="129"/>
      <c r="U24" s="129"/>
      <c r="V24" s="129"/>
    </row>
    <row r="25" spans="4:22" ht="14.4" customHeight="1" x14ac:dyDescent="0.3">
      <c r="I25" s="137" t="s">
        <v>52</v>
      </c>
      <c r="J25" s="138"/>
      <c r="K25" s="138"/>
      <c r="L25" s="139"/>
      <c r="P25" s="129"/>
      <c r="Q25" s="129"/>
      <c r="R25" s="129"/>
      <c r="S25" s="129"/>
      <c r="T25" s="129"/>
      <c r="U25" s="129"/>
      <c r="V25" s="129"/>
    </row>
    <row r="26" spans="4:22" x14ac:dyDescent="0.3">
      <c r="I26" s="101" t="s">
        <v>47</v>
      </c>
      <c r="J26" s="101"/>
      <c r="K26" s="101"/>
      <c r="L26" s="101"/>
      <c r="P26" s="129"/>
      <c r="Q26" s="129"/>
      <c r="R26" s="129"/>
      <c r="S26" s="129"/>
      <c r="T26" s="129"/>
      <c r="U26" s="129"/>
      <c r="V26" s="129"/>
    </row>
    <row r="27" spans="4:22" x14ac:dyDescent="0.3">
      <c r="I27" s="140" t="s">
        <v>25</v>
      </c>
      <c r="J27" s="140"/>
      <c r="K27" s="140"/>
      <c r="L27" s="140"/>
      <c r="P27" s="129"/>
      <c r="Q27" s="129"/>
      <c r="R27" s="129"/>
      <c r="S27" s="129"/>
      <c r="T27" s="129"/>
      <c r="U27" s="129"/>
      <c r="V27" s="129"/>
    </row>
  </sheetData>
  <mergeCells count="50">
    <mergeCell ref="I25:L25"/>
    <mergeCell ref="P25:V25"/>
    <mergeCell ref="I26:L26"/>
    <mergeCell ref="P26:V26"/>
    <mergeCell ref="I27:L27"/>
    <mergeCell ref="P27:V27"/>
    <mergeCell ref="T17:T18"/>
    <mergeCell ref="U17:U18"/>
    <mergeCell ref="V17:V18"/>
    <mergeCell ref="P23:R23"/>
    <mergeCell ref="I24:L24"/>
    <mergeCell ref="P24:V24"/>
    <mergeCell ref="I17:I18"/>
    <mergeCell ref="J17:J18"/>
    <mergeCell ref="K17:L18"/>
    <mergeCell ref="M17:M18"/>
    <mergeCell ref="P17:R17"/>
    <mergeCell ref="S17:S18"/>
    <mergeCell ref="L15:R15"/>
    <mergeCell ref="S15:V15"/>
    <mergeCell ref="I11:K11"/>
    <mergeCell ref="L11:M11"/>
    <mergeCell ref="P11:Q11"/>
    <mergeCell ref="U11:V11"/>
    <mergeCell ref="I12:K12"/>
    <mergeCell ref="L12:Q12"/>
    <mergeCell ref="U12:V12"/>
    <mergeCell ref="I13:K13"/>
    <mergeCell ref="L13:Q13"/>
    <mergeCell ref="S13:T13"/>
    <mergeCell ref="U13:V13"/>
    <mergeCell ref="M14:Q14"/>
    <mergeCell ref="I9:K9"/>
    <mergeCell ref="L9:Q9"/>
    <mergeCell ref="U9:V9"/>
    <mergeCell ref="I10:K10"/>
    <mergeCell ref="L10:Q10"/>
    <mergeCell ref="U10:V10"/>
    <mergeCell ref="I7:J7"/>
    <mergeCell ref="L7:Q7"/>
    <mergeCell ref="U7:V7"/>
    <mergeCell ref="I8:K8"/>
    <mergeCell ref="L8:Q8"/>
    <mergeCell ref="U8:V8"/>
    <mergeCell ref="M2:S2"/>
    <mergeCell ref="L3:S3"/>
    <mergeCell ref="K4:S4"/>
    <mergeCell ref="K5:S5"/>
    <mergeCell ref="I6:K6"/>
    <mergeCell ref="L6:V6"/>
  </mergeCells>
  <dataValidations count="2">
    <dataValidation type="list" allowBlank="1" showInputMessage="1" showErrorMessage="1" sqref="K19:K21" xr:uid="{8343D043-13FE-48F0-BFD5-45CB3505B22B}">
      <formula1>"NRM,NR,NRF,NRD,LNC,NRAE,DS"</formula1>
    </dataValidation>
    <dataValidation type="list" allowBlank="1" showErrorMessage="1" sqref="J20:J21" xr:uid="{D321BBB0-141A-4C9A-8250-E623CA4ADD5D}">
      <formula1>"BLOCO,LAMINA,LAMINA BLOCO,PEÇAS,TORNEADOS,PERFILADOS"</formula1>
    </dataValidation>
  </dataValidations>
  <pageMargins left="0.23622047244094491" right="0.23622047244094491" top="0" bottom="0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Modeladas</vt:lpstr>
      <vt:lpstr>Retas</vt:lpstr>
      <vt:lpstr>Triângulo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Marcílio Coelho</cp:lastModifiedBy>
  <cp:revision/>
  <cp:lastPrinted>2026-08-19T19:18:50Z</cp:lastPrinted>
  <dcterms:created xsi:type="dcterms:W3CDTF">2024-03-14T19:36:59Z</dcterms:created>
  <dcterms:modified xsi:type="dcterms:W3CDTF">2026-09-10T14:25:34Z</dcterms:modified>
  <cp:category/>
  <cp:contentStatus/>
</cp:coreProperties>
</file>